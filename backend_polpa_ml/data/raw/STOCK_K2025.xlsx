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uthentifruits.sharepoint.com/sites/Commun/Documents partages/07. Suivi Opé Supply Chain/Fichier des Stocks Quadra/"/>
    </mc:Choice>
  </mc:AlternateContent>
  <xr:revisionPtr revIDLastSave="0" documentId="8_{069C8A06-5280-44A4-B9D2-198805DFDC32}" xr6:coauthVersionLast="47" xr6:coauthVersionMax="47" xr10:uidLastSave="{00000000-0000-0000-0000-000000000000}"/>
  <bookViews>
    <workbookView xWindow="-120" yWindow="-120" windowWidth="29040" windowHeight="15720" xr2:uid="{D520EB71-E560-4ADC-A695-864B945F5A25}"/>
  </bookViews>
  <sheets>
    <sheet name="2025" sheetId="23" r:id="rId1"/>
    <sheet name="06" sheetId="29" r:id="rId2"/>
    <sheet name="05" sheetId="27" r:id="rId3"/>
    <sheet name="04" sheetId="24" r:id="rId4"/>
    <sheet name="03" sheetId="21" r:id="rId5"/>
    <sheet name="02" sheetId="20" r:id="rId6"/>
    <sheet name="01" sheetId="18" r:id="rId7"/>
    <sheet name="12.2024" sheetId="17" r:id="rId8"/>
  </sheets>
  <definedNames>
    <definedName name="_xlnm._FilterDatabase" localSheetId="6" hidden="1">'01'!$A$2:$AD$146</definedName>
    <definedName name="_xlnm._FilterDatabase" localSheetId="5" hidden="1">'02'!$A$2:$AD$146</definedName>
    <definedName name="_xlnm._FilterDatabase" localSheetId="4" hidden="1">'03'!$A$2:$AC$146</definedName>
    <definedName name="_xlnm._FilterDatabase" localSheetId="3" hidden="1">'04'!$A$2:$AC$146</definedName>
    <definedName name="_xlnm._FilterDatabase" localSheetId="2" hidden="1">'05'!$A$2:$AC$146</definedName>
    <definedName name="_xlnm._FilterDatabase" localSheetId="1" hidden="1">'06'!$A$2:$AC$202</definedName>
    <definedName name="_xlnm._FilterDatabase" localSheetId="7" hidden="1">'12.2024'!$A$2:$X$254</definedName>
    <definedName name="_xlnm._FilterDatabase" localSheetId="0" hidden="1">'2025'!$A$2:$AD$202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2" i="23" l="1"/>
  <c r="E172" i="23"/>
  <c r="E171" i="23"/>
  <c r="H170" i="23"/>
  <c r="E170" i="23"/>
  <c r="H169" i="23"/>
  <c r="E169" i="23"/>
  <c r="H168" i="23"/>
  <c r="H167" i="23"/>
  <c r="E168" i="23"/>
  <c r="E167" i="23"/>
  <c r="H166" i="23"/>
  <c r="E166" i="23"/>
  <c r="J165" i="23"/>
  <c r="E165" i="23"/>
  <c r="E164" i="23"/>
  <c r="L136" i="23"/>
  <c r="Q4" i="23" l="1"/>
  <c r="R4" i="23"/>
  <c r="U97" i="23" l="1"/>
  <c r="U96" i="23"/>
  <c r="N136" i="23"/>
  <c r="U8" i="23" l="1"/>
  <c r="L148" i="23" l="1"/>
  <c r="E163" i="23" l="1"/>
  <c r="P135" i="23" l="1"/>
  <c r="P136" i="23" l="1"/>
  <c r="O136" i="23"/>
  <c r="O135" i="23"/>
  <c r="N115" i="23" l="1"/>
  <c r="K148" i="23" l="1"/>
  <c r="L135" i="23" l="1"/>
  <c r="K157" i="23"/>
  <c r="K156" i="23"/>
  <c r="K155" i="23"/>
  <c r="K154" i="23"/>
  <c r="K153" i="23"/>
  <c r="K152" i="23"/>
  <c r="L153" i="23"/>
  <c r="L154" i="23"/>
  <c r="L155" i="23"/>
  <c r="L156" i="23"/>
  <c r="L157" i="23"/>
  <c r="L152" i="23"/>
  <c r="L111" i="23" l="1"/>
  <c r="K111" i="23"/>
  <c r="L104" i="23"/>
  <c r="K104" i="23"/>
  <c r="L123" i="23"/>
  <c r="K123" i="23"/>
  <c r="H162" i="23" l="1"/>
  <c r="E162" i="23"/>
  <c r="Q79" i="23" l="1"/>
  <c r="Q96" i="23"/>
  <c r="Q115" i="23"/>
  <c r="Q81" i="23"/>
  <c r="Q22" i="23"/>
  <c r="Q17" i="23"/>
  <c r="Q19" i="23"/>
  <c r="Q18" i="23"/>
  <c r="Q15" i="23"/>
  <c r="Q8" i="23"/>
  <c r="V146" i="23"/>
  <c r="V147" i="23"/>
  <c r="V148" i="23"/>
  <c r="V149" i="23"/>
  <c r="V150" i="23"/>
  <c r="V151" i="23"/>
  <c r="V152" i="23"/>
  <c r="V153" i="23"/>
  <c r="V154" i="23"/>
  <c r="V155" i="23"/>
  <c r="V156" i="23"/>
  <c r="V157" i="23"/>
  <c r="V158" i="23"/>
  <c r="V159" i="23"/>
  <c r="V160" i="23"/>
  <c r="V161" i="23"/>
  <c r="V162" i="23"/>
  <c r="V163" i="23"/>
  <c r="V164" i="23"/>
  <c r="V165" i="23"/>
  <c r="V166" i="23"/>
  <c r="V167" i="23"/>
  <c r="V168" i="23"/>
  <c r="V169" i="23"/>
  <c r="V170" i="23"/>
  <c r="V171" i="23"/>
  <c r="V172" i="23"/>
  <c r="V173" i="23"/>
  <c r="V174" i="23"/>
  <c r="V175" i="23"/>
  <c r="V176" i="23"/>
  <c r="V177" i="23"/>
  <c r="V178" i="23"/>
  <c r="V179" i="23"/>
  <c r="V180" i="23"/>
  <c r="V181" i="23"/>
  <c r="V182" i="23"/>
  <c r="V183" i="23"/>
  <c r="V184" i="23"/>
  <c r="V185" i="23"/>
  <c r="V186" i="23"/>
  <c r="V187" i="23"/>
  <c r="V188" i="23"/>
  <c r="V189" i="23"/>
  <c r="V190" i="23"/>
  <c r="V191" i="23"/>
  <c r="V192" i="23"/>
  <c r="V193" i="23"/>
  <c r="V194" i="23"/>
  <c r="V195" i="23"/>
  <c r="V196" i="23"/>
  <c r="V197" i="23"/>
  <c r="V198" i="23"/>
  <c r="V199" i="23"/>
  <c r="V200" i="23"/>
  <c r="V201" i="23"/>
  <c r="N84" i="23" l="1"/>
  <c r="N90" i="23" l="1"/>
  <c r="L79" i="23" l="1"/>
  <c r="K79" i="23"/>
  <c r="M48" i="23"/>
  <c r="L48" i="23"/>
  <c r="M35" i="23"/>
  <c r="L35" i="23"/>
  <c r="L112" i="23"/>
  <c r="K112" i="23"/>
  <c r="S115" i="23"/>
  <c r="S81" i="23"/>
  <c r="S80" i="23"/>
  <c r="N97" i="23"/>
  <c r="N58" i="23" l="1"/>
  <c r="K105" i="23" l="1"/>
  <c r="U81" i="23"/>
  <c r="U10" i="23"/>
  <c r="H161" i="23" l="1"/>
  <c r="E161" i="23"/>
  <c r="O79" i="23"/>
  <c r="U22" i="23"/>
  <c r="H160" i="23" l="1"/>
  <c r="E160" i="23"/>
  <c r="H159" i="23"/>
  <c r="E159" i="23"/>
  <c r="N79" i="23" l="1"/>
  <c r="E158" i="23" l="1"/>
  <c r="K136" i="23" l="1"/>
  <c r="K135" i="23"/>
  <c r="N96" i="23"/>
  <c r="AB115" i="29"/>
  <c r="AA115" i="29"/>
  <c r="AA8" i="29"/>
  <c r="V202" i="29"/>
  <c r="U202" i="29"/>
  <c r="J201" i="29"/>
  <c r="J200" i="29"/>
  <c r="J199" i="29"/>
  <c r="J198" i="29"/>
  <c r="J197" i="29"/>
  <c r="J196" i="29"/>
  <c r="J195" i="29"/>
  <c r="J194" i="29"/>
  <c r="J193" i="29"/>
  <c r="J192" i="29"/>
  <c r="J191" i="29"/>
  <c r="J190" i="29"/>
  <c r="J189" i="29"/>
  <c r="J188" i="29"/>
  <c r="J187" i="29"/>
  <c r="J186" i="29"/>
  <c r="J185" i="29"/>
  <c r="J184" i="29"/>
  <c r="J183" i="29"/>
  <c r="J182" i="29"/>
  <c r="J181" i="29"/>
  <c r="J180" i="29"/>
  <c r="J179" i="29"/>
  <c r="J178" i="29"/>
  <c r="J177" i="29"/>
  <c r="J176" i="29"/>
  <c r="J175" i="29"/>
  <c r="J174" i="29"/>
  <c r="J173" i="29"/>
  <c r="J172" i="29"/>
  <c r="J171" i="29"/>
  <c r="J170" i="29"/>
  <c r="J169" i="29"/>
  <c r="J168" i="29"/>
  <c r="J167" i="29"/>
  <c r="J166" i="29"/>
  <c r="J165" i="29"/>
  <c r="J164" i="29"/>
  <c r="J163" i="29"/>
  <c r="J162" i="29"/>
  <c r="J161" i="29"/>
  <c r="J160" i="29"/>
  <c r="J159" i="29"/>
  <c r="J158" i="29"/>
  <c r="J157" i="29"/>
  <c r="E157" i="29"/>
  <c r="J156" i="29"/>
  <c r="E156" i="29"/>
  <c r="J155" i="29"/>
  <c r="E155" i="29"/>
  <c r="J154" i="29"/>
  <c r="E154" i="29"/>
  <c r="J153" i="29"/>
  <c r="E153" i="29"/>
  <c r="J152" i="29"/>
  <c r="E152" i="29"/>
  <c r="J151" i="29"/>
  <c r="E151" i="29"/>
  <c r="J150" i="29"/>
  <c r="E150" i="29"/>
  <c r="J149" i="29"/>
  <c r="E149" i="29"/>
  <c r="H148" i="29"/>
  <c r="J148" i="29" s="1"/>
  <c r="E148" i="29"/>
  <c r="H147" i="29"/>
  <c r="J147" i="29" s="1"/>
  <c r="E147" i="29"/>
  <c r="H146" i="29"/>
  <c r="J146" i="29" s="1"/>
  <c r="E146" i="29"/>
  <c r="AC145" i="29"/>
  <c r="U145" i="29"/>
  <c r="H145" i="29"/>
  <c r="J145" i="29" s="1"/>
  <c r="V145" i="29" s="1"/>
  <c r="E145" i="29"/>
  <c r="AC144" i="29"/>
  <c r="U144" i="29"/>
  <c r="J144" i="29"/>
  <c r="V144" i="29" s="1"/>
  <c r="E144" i="29"/>
  <c r="AC143" i="29"/>
  <c r="L143" i="29"/>
  <c r="U143" i="29" s="1"/>
  <c r="H143" i="29"/>
  <c r="J143" i="29" s="1"/>
  <c r="V143" i="29" s="1"/>
  <c r="E143" i="29"/>
  <c r="AC142" i="29"/>
  <c r="L142" i="29"/>
  <c r="U142" i="29" s="1"/>
  <c r="H142" i="29"/>
  <c r="J142" i="29" s="1"/>
  <c r="V142" i="29" s="1"/>
  <c r="E142" i="29"/>
  <c r="AC141" i="29"/>
  <c r="U141" i="29"/>
  <c r="J141" i="29"/>
  <c r="V141" i="29" s="1"/>
  <c r="E141" i="29"/>
  <c r="AC140" i="29"/>
  <c r="U140" i="29"/>
  <c r="V140" i="29" s="1"/>
  <c r="H140" i="29"/>
  <c r="J140" i="29" s="1"/>
  <c r="E140" i="29"/>
  <c r="AC139" i="29"/>
  <c r="U139" i="29"/>
  <c r="H139" i="29"/>
  <c r="J139" i="29" s="1"/>
  <c r="E139" i="29"/>
  <c r="AC138" i="29"/>
  <c r="U138" i="29"/>
  <c r="H138" i="29"/>
  <c r="J138" i="29" s="1"/>
  <c r="E138" i="29"/>
  <c r="AC137" i="29"/>
  <c r="U137" i="29"/>
  <c r="H137" i="29"/>
  <c r="J137" i="29" s="1"/>
  <c r="E137" i="29"/>
  <c r="AC136" i="29"/>
  <c r="U136" i="29"/>
  <c r="H136" i="29"/>
  <c r="J136" i="29" s="1"/>
  <c r="E136" i="29"/>
  <c r="AC135" i="29"/>
  <c r="U135" i="29"/>
  <c r="H135" i="29"/>
  <c r="J135" i="29" s="1"/>
  <c r="E135" i="29"/>
  <c r="AC134" i="29"/>
  <c r="U134" i="29"/>
  <c r="J134" i="29"/>
  <c r="V134" i="29" s="1"/>
  <c r="E134" i="29"/>
  <c r="AC133" i="29"/>
  <c r="U133" i="29"/>
  <c r="H133" i="29"/>
  <c r="J133" i="29" s="1"/>
  <c r="V133" i="29" s="1"/>
  <c r="E133" i="29"/>
  <c r="AC132" i="29"/>
  <c r="U132" i="29"/>
  <c r="J132" i="29"/>
  <c r="H132" i="29"/>
  <c r="E132" i="29"/>
  <c r="AC131" i="29"/>
  <c r="U131" i="29"/>
  <c r="H131" i="29"/>
  <c r="J131" i="29" s="1"/>
  <c r="V131" i="29" s="1"/>
  <c r="E131" i="29"/>
  <c r="AC130" i="29"/>
  <c r="U130" i="29"/>
  <c r="H130" i="29"/>
  <c r="J130" i="29" s="1"/>
  <c r="E130" i="29"/>
  <c r="AC129" i="29"/>
  <c r="U129" i="29"/>
  <c r="V129" i="29" s="1"/>
  <c r="J129" i="29"/>
  <c r="E129" i="29"/>
  <c r="AC128" i="29"/>
  <c r="U128" i="29"/>
  <c r="H128" i="29"/>
  <c r="J128" i="29" s="1"/>
  <c r="E128" i="29"/>
  <c r="AC127" i="29"/>
  <c r="U127" i="29"/>
  <c r="H127" i="29"/>
  <c r="J127" i="29" s="1"/>
  <c r="V127" i="29" s="1"/>
  <c r="E127" i="29"/>
  <c r="AC126" i="29"/>
  <c r="U126" i="29"/>
  <c r="H126" i="29"/>
  <c r="J126" i="29" s="1"/>
  <c r="V126" i="29" s="1"/>
  <c r="E126" i="29"/>
  <c r="AC125" i="29"/>
  <c r="U125" i="29"/>
  <c r="H125" i="29"/>
  <c r="J125" i="29" s="1"/>
  <c r="V125" i="29" s="1"/>
  <c r="E125" i="29"/>
  <c r="AC124" i="29"/>
  <c r="U124" i="29"/>
  <c r="H124" i="29"/>
  <c r="J124" i="29" s="1"/>
  <c r="V124" i="29" s="1"/>
  <c r="E124" i="29"/>
  <c r="AC123" i="29"/>
  <c r="U123" i="29"/>
  <c r="H123" i="29"/>
  <c r="J123" i="29" s="1"/>
  <c r="E123" i="29"/>
  <c r="AC122" i="29"/>
  <c r="U122" i="29"/>
  <c r="H122" i="29"/>
  <c r="J122" i="29" s="1"/>
  <c r="V122" i="29" s="1"/>
  <c r="E122" i="29"/>
  <c r="AC121" i="29"/>
  <c r="U121" i="29"/>
  <c r="H121" i="29"/>
  <c r="J121" i="29" s="1"/>
  <c r="V121" i="29" s="1"/>
  <c r="E121" i="29"/>
  <c r="AC120" i="29"/>
  <c r="U120" i="29"/>
  <c r="J120" i="29"/>
  <c r="V120" i="29" s="1"/>
  <c r="E120" i="29"/>
  <c r="AC119" i="29"/>
  <c r="U119" i="29"/>
  <c r="J119" i="29"/>
  <c r="V119" i="29" s="1"/>
  <c r="E119" i="29"/>
  <c r="AC118" i="29"/>
  <c r="U118" i="29"/>
  <c r="H118" i="29"/>
  <c r="J118" i="29" s="1"/>
  <c r="V118" i="29" s="1"/>
  <c r="E118" i="29"/>
  <c r="AC117" i="29"/>
  <c r="M117" i="29"/>
  <c r="U117" i="29" s="1"/>
  <c r="H117" i="29"/>
  <c r="J117" i="29" s="1"/>
  <c r="E117" i="29"/>
  <c r="AC116" i="29"/>
  <c r="U116" i="29"/>
  <c r="J116" i="29"/>
  <c r="V116" i="29" s="1"/>
  <c r="E116" i="29"/>
  <c r="Q115" i="29"/>
  <c r="P115" i="29"/>
  <c r="U115" i="29" s="1"/>
  <c r="M115" i="29"/>
  <c r="L115" i="29"/>
  <c r="K115" i="29"/>
  <c r="H115" i="29"/>
  <c r="J115" i="29" s="1"/>
  <c r="E115" i="29"/>
  <c r="AC114" i="29"/>
  <c r="U114" i="29"/>
  <c r="J114" i="29"/>
  <c r="V114" i="29" s="1"/>
  <c r="E114" i="29"/>
  <c r="AC113" i="29"/>
  <c r="U113" i="29"/>
  <c r="H113" i="29"/>
  <c r="J113" i="29" s="1"/>
  <c r="AC112" i="29"/>
  <c r="U112" i="29"/>
  <c r="H112" i="29"/>
  <c r="J112" i="29" s="1"/>
  <c r="V112" i="29" s="1"/>
  <c r="E112" i="29"/>
  <c r="AC111" i="29"/>
  <c r="U111" i="29"/>
  <c r="H111" i="29"/>
  <c r="J111" i="29" s="1"/>
  <c r="V111" i="29" s="1"/>
  <c r="AC110" i="29"/>
  <c r="U110" i="29"/>
  <c r="H110" i="29"/>
  <c r="J110" i="29" s="1"/>
  <c r="V110" i="29" s="1"/>
  <c r="E110" i="29"/>
  <c r="AC109" i="29"/>
  <c r="U109" i="29"/>
  <c r="H109" i="29"/>
  <c r="J109" i="29" s="1"/>
  <c r="E109" i="29"/>
  <c r="AC108" i="29"/>
  <c r="U108" i="29"/>
  <c r="L108" i="29"/>
  <c r="H108" i="29"/>
  <c r="J108" i="29" s="1"/>
  <c r="V108" i="29" s="1"/>
  <c r="E108" i="29"/>
  <c r="AC107" i="29"/>
  <c r="U107" i="29"/>
  <c r="H107" i="29"/>
  <c r="J107" i="29" s="1"/>
  <c r="V107" i="29" s="1"/>
  <c r="E107" i="29"/>
  <c r="AC106" i="29"/>
  <c r="U106" i="29"/>
  <c r="J106" i="29"/>
  <c r="V106" i="29" s="1"/>
  <c r="E106" i="29"/>
  <c r="AC105" i="29"/>
  <c r="U105" i="29"/>
  <c r="H105" i="29"/>
  <c r="J105" i="29" s="1"/>
  <c r="E105" i="29"/>
  <c r="AC104" i="29"/>
  <c r="U104" i="29"/>
  <c r="H104" i="29"/>
  <c r="J104" i="29" s="1"/>
  <c r="V104" i="29" s="1"/>
  <c r="E104" i="29"/>
  <c r="AC103" i="29"/>
  <c r="U103" i="29"/>
  <c r="K103" i="29"/>
  <c r="H103" i="29"/>
  <c r="J103" i="29" s="1"/>
  <c r="E103" i="29"/>
  <c r="AC102" i="29"/>
  <c r="M102" i="29"/>
  <c r="K102" i="29"/>
  <c r="U102" i="29" s="1"/>
  <c r="H102" i="29"/>
  <c r="J102" i="29" s="1"/>
  <c r="E102" i="29"/>
  <c r="AC101" i="29"/>
  <c r="K101" i="29"/>
  <c r="U101" i="29" s="1"/>
  <c r="H101" i="29"/>
  <c r="J101" i="29" s="1"/>
  <c r="V101" i="29" s="1"/>
  <c r="E101" i="29"/>
  <c r="AC100" i="29"/>
  <c r="U100" i="29"/>
  <c r="L100" i="29"/>
  <c r="H100" i="29"/>
  <c r="J100" i="29" s="1"/>
  <c r="V100" i="29" s="1"/>
  <c r="E100" i="29"/>
  <c r="AC99" i="29"/>
  <c r="U99" i="29"/>
  <c r="J99" i="29"/>
  <c r="V99" i="29" s="1"/>
  <c r="E99" i="29"/>
  <c r="AC98" i="29"/>
  <c r="U98" i="29"/>
  <c r="J98" i="29"/>
  <c r="E98" i="29"/>
  <c r="AC97" i="29"/>
  <c r="L97" i="29"/>
  <c r="K97" i="29"/>
  <c r="U97" i="29" s="1"/>
  <c r="H97" i="29"/>
  <c r="J97" i="29" s="1"/>
  <c r="V97" i="29" s="1"/>
  <c r="E97" i="29"/>
  <c r="L96" i="29"/>
  <c r="U96" i="29" s="1"/>
  <c r="K96" i="29"/>
  <c r="H96" i="29"/>
  <c r="J96" i="29" s="1"/>
  <c r="E96" i="29"/>
  <c r="AC95" i="29"/>
  <c r="U95" i="29"/>
  <c r="H95" i="29"/>
  <c r="J95" i="29" s="1"/>
  <c r="V95" i="29" s="1"/>
  <c r="E95" i="29"/>
  <c r="AC94" i="29"/>
  <c r="U94" i="29"/>
  <c r="V94" i="29" s="1"/>
  <c r="H94" i="29"/>
  <c r="J94" i="29" s="1"/>
  <c r="E94" i="29"/>
  <c r="AC93" i="29"/>
  <c r="U93" i="29"/>
  <c r="H93" i="29"/>
  <c r="J93" i="29" s="1"/>
  <c r="E93" i="29"/>
  <c r="AC92" i="29"/>
  <c r="L92" i="29"/>
  <c r="U92" i="29" s="1"/>
  <c r="J92" i="29"/>
  <c r="E92" i="29"/>
  <c r="AC91" i="29"/>
  <c r="U91" i="29"/>
  <c r="L91" i="29"/>
  <c r="H91" i="29"/>
  <c r="J91" i="29" s="1"/>
  <c r="E91" i="29"/>
  <c r="AC90" i="29"/>
  <c r="K90" i="29"/>
  <c r="U90" i="29" s="1"/>
  <c r="G90" i="29"/>
  <c r="H90" i="29" s="1"/>
  <c r="J90" i="29" s="1"/>
  <c r="V90" i="29" s="1"/>
  <c r="E90" i="29"/>
  <c r="AC89" i="29"/>
  <c r="K89" i="29"/>
  <c r="U89" i="29" s="1"/>
  <c r="G89" i="29"/>
  <c r="H89" i="29" s="1"/>
  <c r="J89" i="29" s="1"/>
  <c r="E89" i="29"/>
  <c r="AC88" i="29"/>
  <c r="U88" i="29"/>
  <c r="K88" i="29"/>
  <c r="H88" i="29"/>
  <c r="J88" i="29" s="1"/>
  <c r="V88" i="29" s="1"/>
  <c r="G88" i="29"/>
  <c r="E88" i="29"/>
  <c r="AC87" i="29"/>
  <c r="U87" i="29"/>
  <c r="H87" i="29"/>
  <c r="J87" i="29" s="1"/>
  <c r="V87" i="29" s="1"/>
  <c r="E87" i="29"/>
  <c r="AC86" i="29"/>
  <c r="U86" i="29"/>
  <c r="H86" i="29"/>
  <c r="J86" i="29" s="1"/>
  <c r="V86" i="29" s="1"/>
  <c r="E86" i="29"/>
  <c r="AC85" i="29"/>
  <c r="U85" i="29"/>
  <c r="J85" i="29"/>
  <c r="V85" i="29" s="1"/>
  <c r="E85" i="29"/>
  <c r="AC84" i="29"/>
  <c r="L84" i="29"/>
  <c r="K84" i="29"/>
  <c r="U84" i="29" s="1"/>
  <c r="H84" i="29"/>
  <c r="J84" i="29" s="1"/>
  <c r="V84" i="29" s="1"/>
  <c r="E84" i="29"/>
  <c r="AC83" i="29"/>
  <c r="L83" i="29"/>
  <c r="K83" i="29"/>
  <c r="U83" i="29" s="1"/>
  <c r="H83" i="29"/>
  <c r="J83" i="29" s="1"/>
  <c r="V83" i="29" s="1"/>
  <c r="E83" i="29"/>
  <c r="AC82" i="29"/>
  <c r="U82" i="29"/>
  <c r="R82" i="29"/>
  <c r="G82" i="29"/>
  <c r="H82" i="29" s="1"/>
  <c r="J82" i="29" s="1"/>
  <c r="E82" i="29"/>
  <c r="Q81" i="29"/>
  <c r="P81" i="29"/>
  <c r="N81" i="29"/>
  <c r="M81" i="29"/>
  <c r="L81" i="29"/>
  <c r="U81" i="29" s="1"/>
  <c r="K81" i="29"/>
  <c r="H81" i="29"/>
  <c r="J81" i="29" s="1"/>
  <c r="E81" i="29"/>
  <c r="Q80" i="29"/>
  <c r="P80" i="29"/>
  <c r="N80" i="29"/>
  <c r="U80" i="29" s="1"/>
  <c r="M80" i="29"/>
  <c r="L80" i="29"/>
  <c r="K80" i="29"/>
  <c r="H80" i="29"/>
  <c r="J80" i="29" s="1"/>
  <c r="E80" i="29"/>
  <c r="AC79" i="29"/>
  <c r="K79" i="29"/>
  <c r="U79" i="29" s="1"/>
  <c r="H79" i="29"/>
  <c r="J79" i="29" s="1"/>
  <c r="V79" i="29" s="1"/>
  <c r="E79" i="29"/>
  <c r="AC78" i="29"/>
  <c r="L78" i="29"/>
  <c r="U78" i="29" s="1"/>
  <c r="J78" i="29"/>
  <c r="V78" i="29" s="1"/>
  <c r="E78" i="29"/>
  <c r="AC77" i="29"/>
  <c r="U77" i="29"/>
  <c r="J77" i="29"/>
  <c r="V77" i="29" s="1"/>
  <c r="E77" i="29"/>
  <c r="AC76" i="29"/>
  <c r="U76" i="29"/>
  <c r="J76" i="29"/>
  <c r="V76" i="29" s="1"/>
  <c r="E76" i="29"/>
  <c r="AC75" i="29"/>
  <c r="L75" i="29"/>
  <c r="U75" i="29" s="1"/>
  <c r="H75" i="29"/>
  <c r="J75" i="29" s="1"/>
  <c r="E75" i="29"/>
  <c r="AC74" i="29"/>
  <c r="L74" i="29"/>
  <c r="U74" i="29" s="1"/>
  <c r="H74" i="29"/>
  <c r="J74" i="29" s="1"/>
  <c r="E74" i="29"/>
  <c r="AC73" i="29"/>
  <c r="U73" i="29"/>
  <c r="L73" i="29"/>
  <c r="H73" i="29"/>
  <c r="J73" i="29" s="1"/>
  <c r="E73" i="29"/>
  <c r="AC72" i="29"/>
  <c r="U72" i="29"/>
  <c r="J72" i="29"/>
  <c r="V72" i="29" s="1"/>
  <c r="E72" i="29"/>
  <c r="AC71" i="29"/>
  <c r="K71" i="29"/>
  <c r="U71" i="29" s="1"/>
  <c r="G71" i="29"/>
  <c r="H71" i="29" s="1"/>
  <c r="J71" i="29" s="1"/>
  <c r="V71" i="29" s="1"/>
  <c r="E71" i="29"/>
  <c r="AC70" i="29"/>
  <c r="K70" i="29"/>
  <c r="U70" i="29" s="1"/>
  <c r="G70" i="29"/>
  <c r="H70" i="29" s="1"/>
  <c r="J70" i="29" s="1"/>
  <c r="V70" i="29" s="1"/>
  <c r="E70" i="29"/>
  <c r="AC69" i="29"/>
  <c r="K69" i="29"/>
  <c r="U69" i="29" s="1"/>
  <c r="J69" i="29"/>
  <c r="E69" i="29"/>
  <c r="AC68" i="29"/>
  <c r="M68" i="29"/>
  <c r="K68" i="29"/>
  <c r="U68" i="29" s="1"/>
  <c r="E68" i="29"/>
  <c r="AC67" i="29"/>
  <c r="V67" i="29"/>
  <c r="U67" i="29"/>
  <c r="H67" i="29"/>
  <c r="E67" i="29"/>
  <c r="AC66" i="29"/>
  <c r="U66" i="29"/>
  <c r="J66" i="29"/>
  <c r="V66" i="29" s="1"/>
  <c r="E66" i="29"/>
  <c r="AC65" i="29"/>
  <c r="U65" i="29"/>
  <c r="J65" i="29"/>
  <c r="V65" i="29" s="1"/>
  <c r="E65" i="29"/>
  <c r="AC64" i="29"/>
  <c r="U64" i="29"/>
  <c r="N64" i="29"/>
  <c r="H64" i="29"/>
  <c r="J64" i="29" s="1"/>
  <c r="E64" i="29"/>
  <c r="AC63" i="29"/>
  <c r="L63" i="29"/>
  <c r="U63" i="29" s="1"/>
  <c r="H63" i="29"/>
  <c r="J63" i="29" s="1"/>
  <c r="E63" i="29"/>
  <c r="AC62" i="29"/>
  <c r="U62" i="29"/>
  <c r="L62" i="29"/>
  <c r="H62" i="29"/>
  <c r="J62" i="29" s="1"/>
  <c r="V62" i="29" s="1"/>
  <c r="E62" i="29"/>
  <c r="AC61" i="29"/>
  <c r="L61" i="29"/>
  <c r="U61" i="29" s="1"/>
  <c r="J61" i="29"/>
  <c r="V61" i="29" s="1"/>
  <c r="AC60" i="29"/>
  <c r="R60" i="29"/>
  <c r="Q60" i="29"/>
  <c r="U60" i="29" s="1"/>
  <c r="P60" i="29"/>
  <c r="M60" i="29"/>
  <c r="L60" i="29"/>
  <c r="K60" i="29"/>
  <c r="H60" i="29"/>
  <c r="J60" i="29" s="1"/>
  <c r="E60" i="29"/>
  <c r="AC59" i="29"/>
  <c r="U59" i="29"/>
  <c r="R59" i="29"/>
  <c r="Q59" i="29"/>
  <c r="P59" i="29"/>
  <c r="M59" i="29"/>
  <c r="L59" i="29"/>
  <c r="K59" i="29"/>
  <c r="H59" i="29"/>
  <c r="J59" i="29" s="1"/>
  <c r="E59" i="29"/>
  <c r="AC58" i="29"/>
  <c r="M58" i="29"/>
  <c r="U58" i="29" s="1"/>
  <c r="V58" i="29" s="1"/>
  <c r="K58" i="29"/>
  <c r="J58" i="29"/>
  <c r="E58" i="29"/>
  <c r="AC57" i="29"/>
  <c r="R57" i="29"/>
  <c r="M57" i="29"/>
  <c r="U57" i="29" s="1"/>
  <c r="G57" i="29"/>
  <c r="H57" i="29" s="1"/>
  <c r="J57" i="29" s="1"/>
  <c r="V57" i="29" s="1"/>
  <c r="E57" i="29"/>
  <c r="AC56" i="29"/>
  <c r="U56" i="29"/>
  <c r="V56" i="29" s="1"/>
  <c r="R56" i="29"/>
  <c r="M56" i="29"/>
  <c r="G56" i="29"/>
  <c r="H56" i="29" s="1"/>
  <c r="J56" i="29" s="1"/>
  <c r="E56" i="29"/>
  <c r="AC55" i="29"/>
  <c r="U55" i="29"/>
  <c r="H55" i="29"/>
  <c r="J55" i="29" s="1"/>
  <c r="E55" i="29"/>
  <c r="AC54" i="29"/>
  <c r="U54" i="29"/>
  <c r="H54" i="29"/>
  <c r="J54" i="29" s="1"/>
  <c r="V54" i="29" s="1"/>
  <c r="E54" i="29"/>
  <c r="AC53" i="29"/>
  <c r="R53" i="29"/>
  <c r="Q53" i="29"/>
  <c r="P53" i="29"/>
  <c r="U53" i="29" s="1"/>
  <c r="M53" i="29"/>
  <c r="L53" i="29"/>
  <c r="K53" i="29"/>
  <c r="H53" i="29"/>
  <c r="J53" i="29" s="1"/>
  <c r="E53" i="29"/>
  <c r="AC52" i="29"/>
  <c r="U52" i="29"/>
  <c r="J52" i="29"/>
  <c r="V52" i="29" s="1"/>
  <c r="E52" i="29"/>
  <c r="AC51" i="29"/>
  <c r="U51" i="29"/>
  <c r="J51" i="29"/>
  <c r="V51" i="29" s="1"/>
  <c r="E51" i="29"/>
  <c r="AC50" i="29"/>
  <c r="U50" i="29"/>
  <c r="J50" i="29"/>
  <c r="V50" i="29" s="1"/>
  <c r="E50" i="29"/>
  <c r="AC49" i="29"/>
  <c r="U49" i="29"/>
  <c r="H49" i="29"/>
  <c r="J49" i="29" s="1"/>
  <c r="V49" i="29" s="1"/>
  <c r="E49" i="29"/>
  <c r="AC48" i="29"/>
  <c r="U48" i="29"/>
  <c r="N48" i="29"/>
  <c r="M48" i="29"/>
  <c r="L48" i="29"/>
  <c r="K48" i="29"/>
  <c r="H48" i="29"/>
  <c r="J48" i="29" s="1"/>
  <c r="V48" i="29" s="1"/>
  <c r="E48" i="29"/>
  <c r="AC47" i="29"/>
  <c r="U47" i="29"/>
  <c r="J47" i="29"/>
  <c r="V47" i="29" s="1"/>
  <c r="E47" i="29"/>
  <c r="AC46" i="29"/>
  <c r="U46" i="29"/>
  <c r="R46" i="29"/>
  <c r="H46" i="29"/>
  <c r="J46" i="29" s="1"/>
  <c r="V46" i="29" s="1"/>
  <c r="E46" i="29"/>
  <c r="AC45" i="29"/>
  <c r="M45" i="29"/>
  <c r="U45" i="29" s="1"/>
  <c r="G45" i="29"/>
  <c r="H45" i="29" s="1"/>
  <c r="J45" i="29" s="1"/>
  <c r="V45" i="29" s="1"/>
  <c r="E45" i="29"/>
  <c r="AC44" i="29"/>
  <c r="U44" i="29"/>
  <c r="V44" i="29" s="1"/>
  <c r="M44" i="29"/>
  <c r="G44" i="29"/>
  <c r="H44" i="29" s="1"/>
  <c r="J44" i="29" s="1"/>
  <c r="E44" i="29"/>
  <c r="AC43" i="29"/>
  <c r="U43" i="29"/>
  <c r="H43" i="29"/>
  <c r="J43" i="29" s="1"/>
  <c r="E43" i="29"/>
  <c r="AC42" i="29"/>
  <c r="U42" i="29"/>
  <c r="H42" i="29"/>
  <c r="J42" i="29" s="1"/>
  <c r="V42" i="29" s="1"/>
  <c r="E42" i="29"/>
  <c r="AC41" i="29"/>
  <c r="R41" i="29"/>
  <c r="M41" i="29"/>
  <c r="U41" i="29" s="1"/>
  <c r="H41" i="29"/>
  <c r="J41" i="29" s="1"/>
  <c r="V41" i="29" s="1"/>
  <c r="G41" i="29"/>
  <c r="E41" i="29"/>
  <c r="AC40" i="29"/>
  <c r="U40" i="29"/>
  <c r="J40" i="29"/>
  <c r="E40" i="29"/>
  <c r="AC39" i="29"/>
  <c r="R39" i="29"/>
  <c r="Q39" i="29"/>
  <c r="U39" i="29" s="1"/>
  <c r="V39" i="29" s="1"/>
  <c r="P39" i="29"/>
  <c r="L39" i="29"/>
  <c r="K39" i="29"/>
  <c r="J39" i="29"/>
  <c r="E39" i="29"/>
  <c r="AC38" i="29"/>
  <c r="U38" i="29"/>
  <c r="J38" i="29"/>
  <c r="V38" i="29" s="1"/>
  <c r="E38" i="29"/>
  <c r="AC37" i="29"/>
  <c r="U37" i="29"/>
  <c r="G37" i="29"/>
  <c r="H37" i="29" s="1"/>
  <c r="J37" i="29" s="1"/>
  <c r="V37" i="29" s="1"/>
  <c r="E37" i="29"/>
  <c r="AC36" i="29"/>
  <c r="R36" i="29"/>
  <c r="Q36" i="29"/>
  <c r="P36" i="29"/>
  <c r="O36" i="29"/>
  <c r="U36" i="29" s="1"/>
  <c r="M36" i="29"/>
  <c r="L36" i="29"/>
  <c r="K36" i="29"/>
  <c r="H36" i="29"/>
  <c r="J36" i="29" s="1"/>
  <c r="E36" i="29"/>
  <c r="AC35" i="29"/>
  <c r="N35" i="29"/>
  <c r="M35" i="29"/>
  <c r="L35" i="29"/>
  <c r="U35" i="29" s="1"/>
  <c r="K35" i="29"/>
  <c r="H35" i="29"/>
  <c r="J35" i="29" s="1"/>
  <c r="E35" i="29"/>
  <c r="AC34" i="29"/>
  <c r="R34" i="29"/>
  <c r="M34" i="29"/>
  <c r="U34" i="29" s="1"/>
  <c r="H34" i="29"/>
  <c r="J34" i="29" s="1"/>
  <c r="E34" i="29"/>
  <c r="AC33" i="29"/>
  <c r="T33" i="29"/>
  <c r="S33" i="29"/>
  <c r="R33" i="29"/>
  <c r="Q33" i="29"/>
  <c r="P33" i="29"/>
  <c r="U33" i="29" s="1"/>
  <c r="J33" i="29"/>
  <c r="E33" i="29"/>
  <c r="AC32" i="29"/>
  <c r="M32" i="29"/>
  <c r="K32" i="29"/>
  <c r="U32" i="29" s="1"/>
  <c r="G32" i="29"/>
  <c r="H32" i="29" s="1"/>
  <c r="J32" i="29" s="1"/>
  <c r="V32" i="29" s="1"/>
  <c r="E32" i="29"/>
  <c r="AC31" i="29"/>
  <c r="U31" i="29"/>
  <c r="K31" i="29"/>
  <c r="J31" i="29"/>
  <c r="H31" i="29"/>
  <c r="E31" i="29"/>
  <c r="AC30" i="29"/>
  <c r="L30" i="29"/>
  <c r="K30" i="29"/>
  <c r="U30" i="29" s="1"/>
  <c r="G30" i="29"/>
  <c r="H30" i="29" s="1"/>
  <c r="J30" i="29" s="1"/>
  <c r="V30" i="29" s="1"/>
  <c r="E30" i="29"/>
  <c r="AC29" i="29"/>
  <c r="L29" i="29"/>
  <c r="K29" i="29"/>
  <c r="U29" i="29" s="1"/>
  <c r="H29" i="29"/>
  <c r="J29" i="29" s="1"/>
  <c r="E29" i="29"/>
  <c r="AC28" i="29"/>
  <c r="L28" i="29"/>
  <c r="K28" i="29"/>
  <c r="J28" i="29" s="1"/>
  <c r="E28" i="29"/>
  <c r="AC27" i="29"/>
  <c r="L27" i="29"/>
  <c r="U27" i="29" s="1"/>
  <c r="K27" i="29"/>
  <c r="H27" i="29"/>
  <c r="J27" i="29" s="1"/>
  <c r="E27" i="29"/>
  <c r="AC26" i="29"/>
  <c r="T26" i="29"/>
  <c r="S26" i="29"/>
  <c r="R26" i="29"/>
  <c r="Q26" i="29"/>
  <c r="P26" i="29"/>
  <c r="L26" i="29"/>
  <c r="K26" i="29"/>
  <c r="H26" i="29"/>
  <c r="J26" i="29" s="1"/>
  <c r="E26" i="29"/>
  <c r="AC25" i="29"/>
  <c r="L25" i="29"/>
  <c r="K25" i="29"/>
  <c r="U25" i="29" s="1"/>
  <c r="J25" i="29"/>
  <c r="V25" i="29" s="1"/>
  <c r="E25" i="29"/>
  <c r="AC24" i="29"/>
  <c r="T24" i="29"/>
  <c r="S24" i="29"/>
  <c r="R24" i="29"/>
  <c r="Q24" i="29"/>
  <c r="P24" i="29"/>
  <c r="M24" i="29"/>
  <c r="L24" i="29"/>
  <c r="K24" i="29"/>
  <c r="U24" i="29" s="1"/>
  <c r="H24" i="29"/>
  <c r="J24" i="29" s="1"/>
  <c r="V24" i="29" s="1"/>
  <c r="E24" i="29"/>
  <c r="AC23" i="29"/>
  <c r="K23" i="29"/>
  <c r="J23" i="29" s="1"/>
  <c r="E23" i="29"/>
  <c r="T22" i="29"/>
  <c r="S22" i="29"/>
  <c r="R22" i="29"/>
  <c r="Q22" i="29"/>
  <c r="U22" i="29" s="1"/>
  <c r="P22" i="29"/>
  <c r="N22" i="29"/>
  <c r="L22" i="29"/>
  <c r="K22" i="29"/>
  <c r="H22" i="29"/>
  <c r="J22" i="29" s="1"/>
  <c r="E22" i="29"/>
  <c r="AC21" i="29"/>
  <c r="U21" i="29"/>
  <c r="V21" i="29" s="1"/>
  <c r="T21" i="29"/>
  <c r="S21" i="29"/>
  <c r="R21" i="29"/>
  <c r="Q21" i="29"/>
  <c r="P21" i="29"/>
  <c r="L21" i="29"/>
  <c r="K21" i="29"/>
  <c r="H21" i="29"/>
  <c r="J21" i="29" s="1"/>
  <c r="E21" i="29"/>
  <c r="AC20" i="29"/>
  <c r="T20" i="29"/>
  <c r="S20" i="29"/>
  <c r="Q20" i="29"/>
  <c r="U20" i="29" s="1"/>
  <c r="P20" i="29"/>
  <c r="K20" i="29"/>
  <c r="J20" i="29"/>
  <c r="E20" i="29"/>
  <c r="T19" i="29"/>
  <c r="Q19" i="29"/>
  <c r="P19" i="29"/>
  <c r="K19" i="29"/>
  <c r="U19" i="29" s="1"/>
  <c r="J19" i="29"/>
  <c r="V19" i="29" s="1"/>
  <c r="AC19" i="29" s="1"/>
  <c r="E19" i="29"/>
  <c r="T18" i="29"/>
  <c r="R18" i="29"/>
  <c r="Q18" i="29"/>
  <c r="P18" i="29"/>
  <c r="K18" i="29"/>
  <c r="J18" i="29"/>
  <c r="E18" i="29"/>
  <c r="T17" i="29"/>
  <c r="Q17" i="29"/>
  <c r="P17" i="29"/>
  <c r="U17" i="29" s="1"/>
  <c r="H17" i="29"/>
  <c r="J17" i="29" s="1"/>
  <c r="V17" i="29" s="1"/>
  <c r="AC17" i="29" s="1"/>
  <c r="E17" i="29"/>
  <c r="AC16" i="29"/>
  <c r="U16" i="29"/>
  <c r="T16" i="29"/>
  <c r="R16" i="29"/>
  <c r="Q16" i="29"/>
  <c r="P16" i="29"/>
  <c r="H16" i="29"/>
  <c r="J16" i="29" s="1"/>
  <c r="E16" i="29"/>
  <c r="T15" i="29"/>
  <c r="S15" i="29"/>
  <c r="R15" i="29"/>
  <c r="Q15" i="29"/>
  <c r="U15" i="29" s="1"/>
  <c r="P15" i="29"/>
  <c r="K15" i="29"/>
  <c r="H15" i="29"/>
  <c r="J15" i="29" s="1"/>
  <c r="E15" i="29"/>
  <c r="AC14" i="29"/>
  <c r="T14" i="29"/>
  <c r="Q14" i="29"/>
  <c r="P14" i="29"/>
  <c r="K14" i="29"/>
  <c r="J14" i="29" s="1"/>
  <c r="E14" i="29"/>
  <c r="AC13" i="29"/>
  <c r="T13" i="29"/>
  <c r="R13" i="29"/>
  <c r="Q13" i="29"/>
  <c r="U13" i="29" s="1"/>
  <c r="P13" i="29"/>
  <c r="K13" i="29"/>
  <c r="J13" i="29"/>
  <c r="E13" i="29"/>
  <c r="AC12" i="29"/>
  <c r="T12" i="29"/>
  <c r="S12" i="29"/>
  <c r="R12" i="29"/>
  <c r="Q12" i="29"/>
  <c r="P12" i="29"/>
  <c r="M12" i="29"/>
  <c r="U12" i="29" s="1"/>
  <c r="J12" i="29"/>
  <c r="V12" i="29" s="1"/>
  <c r="E12" i="29"/>
  <c r="AC11" i="29"/>
  <c r="T11" i="29"/>
  <c r="R11" i="29"/>
  <c r="Q11" i="29"/>
  <c r="P11" i="29"/>
  <c r="O11" i="29"/>
  <c r="N11" i="29"/>
  <c r="L11" i="29"/>
  <c r="K11" i="29"/>
  <c r="U11" i="29" s="1"/>
  <c r="H11" i="29"/>
  <c r="J11" i="29" s="1"/>
  <c r="V11" i="29" s="1"/>
  <c r="E11" i="29"/>
  <c r="T10" i="29"/>
  <c r="R10" i="29"/>
  <c r="Q10" i="29"/>
  <c r="P10" i="29"/>
  <c r="O10" i="29"/>
  <c r="U10" i="29" s="1"/>
  <c r="H10" i="29"/>
  <c r="J10" i="29" s="1"/>
  <c r="V10" i="29" s="1"/>
  <c r="AC10" i="29" s="1"/>
  <c r="E10" i="29"/>
  <c r="AC9" i="29"/>
  <c r="R9" i="29"/>
  <c r="Q9" i="29"/>
  <c r="P9" i="29"/>
  <c r="L9" i="29"/>
  <c r="K9" i="29"/>
  <c r="J9" i="29" s="1"/>
  <c r="E9" i="29"/>
  <c r="T8" i="29"/>
  <c r="R8" i="29"/>
  <c r="Q8" i="29"/>
  <c r="P8" i="29"/>
  <c r="U8" i="29" s="1"/>
  <c r="J8" i="29"/>
  <c r="E8" i="29"/>
  <c r="U7" i="29"/>
  <c r="R7" i="29"/>
  <c r="Q7" i="29"/>
  <c r="P7" i="29"/>
  <c r="J7" i="29"/>
  <c r="E7" i="29"/>
  <c r="AC6" i="29"/>
  <c r="T6" i="29"/>
  <c r="S6" i="29"/>
  <c r="Q6" i="29"/>
  <c r="P6" i="29"/>
  <c r="U6" i="29" s="1"/>
  <c r="V6" i="29" s="1"/>
  <c r="J6" i="29"/>
  <c r="E6" i="29"/>
  <c r="AC5" i="29"/>
  <c r="T5" i="29"/>
  <c r="S5" i="29"/>
  <c r="Q5" i="29"/>
  <c r="U5" i="29" s="1"/>
  <c r="P5" i="29"/>
  <c r="J5" i="29"/>
  <c r="E5" i="29"/>
  <c r="AC4" i="29"/>
  <c r="S4" i="29"/>
  <c r="Q4" i="29"/>
  <c r="P4" i="29"/>
  <c r="U4" i="29" s="1"/>
  <c r="J4" i="29"/>
  <c r="V4" i="29" s="1"/>
  <c r="E4" i="29"/>
  <c r="AC3" i="29"/>
  <c r="U3" i="29"/>
  <c r="T3" i="29"/>
  <c r="S3" i="29"/>
  <c r="R3" i="29"/>
  <c r="Q3" i="29"/>
  <c r="P3" i="29"/>
  <c r="K3" i="29"/>
  <c r="H3" i="29"/>
  <c r="J3" i="29" s="1"/>
  <c r="E3" i="29"/>
  <c r="E15" i="23"/>
  <c r="H15" i="23"/>
  <c r="K15" i="23"/>
  <c r="R15" i="23"/>
  <c r="S15" i="23"/>
  <c r="T15" i="23"/>
  <c r="U15" i="23"/>
  <c r="J15" i="23" l="1"/>
  <c r="V15" i="23"/>
  <c r="V137" i="29"/>
  <c r="V105" i="29"/>
  <c r="V132" i="29"/>
  <c r="V7" i="29"/>
  <c r="AC7" i="29" s="1"/>
  <c r="V53" i="29"/>
  <c r="V82" i="29"/>
  <c r="V130" i="29"/>
  <c r="V43" i="29"/>
  <c r="V55" i="29"/>
  <c r="V60" i="29"/>
  <c r="V63" i="29"/>
  <c r="V81" i="29"/>
  <c r="AC81" i="29" s="1"/>
  <c r="V93" i="29"/>
  <c r="V98" i="29"/>
  <c r="V103" i="29"/>
  <c r="V128" i="29"/>
  <c r="V135" i="29"/>
  <c r="V138" i="29"/>
  <c r="V115" i="29"/>
  <c r="AC115" i="29" s="1"/>
  <c r="V20" i="29"/>
  <c r="V34" i="29"/>
  <c r="V3" i="29"/>
  <c r="V75" i="29"/>
  <c r="V92" i="29"/>
  <c r="V73" i="29"/>
  <c r="V16" i="29"/>
  <c r="V31" i="29"/>
  <c r="V91" i="29"/>
  <c r="V96" i="29"/>
  <c r="AC96" i="29" s="1"/>
  <c r="V109" i="29"/>
  <c r="V59" i="29"/>
  <c r="V64" i="29"/>
  <c r="V80" i="29"/>
  <c r="V113" i="29"/>
  <c r="V123" i="29"/>
  <c r="V136" i="29"/>
  <c r="V139" i="29"/>
  <c r="V35" i="29"/>
  <c r="V27" i="29"/>
  <c r="V117" i="29"/>
  <c r="V36" i="29"/>
  <c r="AC8" i="29"/>
  <c r="V15" i="29"/>
  <c r="AC15" i="29" s="1"/>
  <c r="V89" i="29"/>
  <c r="V102" i="29"/>
  <c r="J68" i="29"/>
  <c r="V68" i="29" s="1"/>
  <c r="V74" i="29"/>
  <c r="U18" i="29"/>
  <c r="V18" i="29" s="1"/>
  <c r="AC18" i="29" s="1"/>
  <c r="V22" i="29"/>
  <c r="AC22" i="29" s="1"/>
  <c r="U23" i="29"/>
  <c r="V23" i="29" s="1"/>
  <c r="U26" i="29"/>
  <c r="V26" i="29" s="1"/>
  <c r="V29" i="29"/>
  <c r="V40" i="29"/>
  <c r="U28" i="29"/>
  <c r="V28" i="29" s="1"/>
  <c r="U9" i="29"/>
  <c r="V9" i="29" s="1"/>
  <c r="V13" i="29"/>
  <c r="AC80" i="29"/>
  <c r="V5" i="29"/>
  <c r="U14" i="29"/>
  <c r="V14" i="29" s="1"/>
  <c r="V8" i="29"/>
  <c r="V33" i="29"/>
  <c r="V69" i="29"/>
  <c r="M143" i="23"/>
  <c r="M142" i="23"/>
  <c r="S82" i="23"/>
  <c r="J157" i="23"/>
  <c r="W157" i="23" s="1"/>
  <c r="J156" i="23"/>
  <c r="W156" i="23" s="1"/>
  <c r="J155" i="23"/>
  <c r="W155" i="23" s="1"/>
  <c r="J154" i="23"/>
  <c r="W154" i="23" s="1"/>
  <c r="J153" i="23"/>
  <c r="W153" i="23" s="1"/>
  <c r="E153" i="23"/>
  <c r="E154" i="23"/>
  <c r="E155" i="23"/>
  <c r="E156" i="23"/>
  <c r="E157" i="23"/>
  <c r="E152" i="23"/>
  <c r="W15" i="23" l="1"/>
  <c r="AD15" i="23" s="1"/>
  <c r="AC1" i="29"/>
  <c r="E150" i="23"/>
  <c r="E151" i="23"/>
  <c r="E136" i="23"/>
  <c r="E149" i="23"/>
  <c r="R115" i="23" l="1"/>
  <c r="R22" i="23"/>
  <c r="R19" i="23"/>
  <c r="R18" i="23"/>
  <c r="N117" i="23"/>
  <c r="N68" i="23"/>
  <c r="O81" i="23"/>
  <c r="H148" i="23"/>
  <c r="J148" i="23" s="1"/>
  <c r="W148" i="23" s="1"/>
  <c r="J149" i="23"/>
  <c r="W149" i="23" s="1"/>
  <c r="J150" i="23"/>
  <c r="W150" i="23" s="1"/>
  <c r="J151" i="23"/>
  <c r="W151" i="23" s="1"/>
  <c r="J152" i="23"/>
  <c r="W152" i="23" s="1"/>
  <c r="J158" i="23"/>
  <c r="W158" i="23" s="1"/>
  <c r="J159" i="23"/>
  <c r="W159" i="23" s="1"/>
  <c r="J160" i="23"/>
  <c r="W160" i="23" s="1"/>
  <c r="J161" i="23"/>
  <c r="W161" i="23" s="1"/>
  <c r="J162" i="23"/>
  <c r="W162" i="23" s="1"/>
  <c r="J163" i="23"/>
  <c r="W163" i="23" s="1"/>
  <c r="J164" i="23"/>
  <c r="W164" i="23" s="1"/>
  <c r="W165" i="23"/>
  <c r="J166" i="23"/>
  <c r="W166" i="23" s="1"/>
  <c r="J167" i="23"/>
  <c r="W167" i="23" s="1"/>
  <c r="J168" i="23"/>
  <c r="W168" i="23" s="1"/>
  <c r="J169" i="23"/>
  <c r="W169" i="23" s="1"/>
  <c r="J170" i="23"/>
  <c r="W170" i="23" s="1"/>
  <c r="J171" i="23"/>
  <c r="W171" i="23" s="1"/>
  <c r="J172" i="23"/>
  <c r="W172" i="23" s="1"/>
  <c r="J173" i="23"/>
  <c r="W173" i="23" s="1"/>
  <c r="J174" i="23"/>
  <c r="W174" i="23" s="1"/>
  <c r="J175" i="23"/>
  <c r="W175" i="23" s="1"/>
  <c r="J176" i="23"/>
  <c r="W176" i="23" s="1"/>
  <c r="J177" i="23"/>
  <c r="W177" i="23" s="1"/>
  <c r="J178" i="23"/>
  <c r="W178" i="23" s="1"/>
  <c r="J179" i="23"/>
  <c r="W179" i="23" s="1"/>
  <c r="J180" i="23"/>
  <c r="W180" i="23" s="1"/>
  <c r="J181" i="23"/>
  <c r="W181" i="23" s="1"/>
  <c r="J182" i="23"/>
  <c r="W182" i="23" s="1"/>
  <c r="J183" i="23"/>
  <c r="W183" i="23" s="1"/>
  <c r="J184" i="23"/>
  <c r="W184" i="23" s="1"/>
  <c r="J185" i="23"/>
  <c r="W185" i="23" s="1"/>
  <c r="J186" i="23"/>
  <c r="W186" i="23" s="1"/>
  <c r="J187" i="23"/>
  <c r="W187" i="23" s="1"/>
  <c r="J188" i="23"/>
  <c r="W188" i="23" s="1"/>
  <c r="J189" i="23"/>
  <c r="W189" i="23" s="1"/>
  <c r="J190" i="23"/>
  <c r="W190" i="23" s="1"/>
  <c r="J191" i="23"/>
  <c r="W191" i="23" s="1"/>
  <c r="J192" i="23"/>
  <c r="W192" i="23" s="1"/>
  <c r="J193" i="23"/>
  <c r="W193" i="23" s="1"/>
  <c r="J194" i="23"/>
  <c r="W194" i="23" s="1"/>
  <c r="J195" i="23"/>
  <c r="W195" i="23" s="1"/>
  <c r="J196" i="23"/>
  <c r="W196" i="23" s="1"/>
  <c r="J197" i="23"/>
  <c r="W197" i="23" s="1"/>
  <c r="J198" i="23"/>
  <c r="W198" i="23" s="1"/>
  <c r="J199" i="23"/>
  <c r="W199" i="23" s="1"/>
  <c r="J200" i="23"/>
  <c r="W200" i="23" s="1"/>
  <c r="J201" i="23"/>
  <c r="W201" i="23" s="1"/>
  <c r="H147" i="23"/>
  <c r="J147" i="23" s="1"/>
  <c r="W147" i="23" s="1"/>
  <c r="E147" i="23"/>
  <c r="E146" i="23"/>
  <c r="H146" i="23"/>
  <c r="J146" i="23" s="1"/>
  <c r="W146" i="23" s="1"/>
  <c r="E148" i="23"/>
  <c r="H145" i="23"/>
  <c r="E145" i="23"/>
  <c r="E144" i="23" l="1"/>
  <c r="E143" i="23" l="1"/>
  <c r="H143" i="23"/>
  <c r="H142" i="23"/>
  <c r="E142" i="23"/>
  <c r="E141" i="23"/>
  <c r="H138" i="23"/>
  <c r="E138" i="23"/>
  <c r="E139" i="23"/>
  <c r="H139" i="23"/>
  <c r="E140" i="23"/>
  <c r="H140" i="23"/>
  <c r="H137" i="23" l="1"/>
  <c r="E137" i="23"/>
  <c r="N81" i="23" l="1"/>
  <c r="S57" i="23"/>
  <c r="H136" i="23"/>
  <c r="H135" i="23"/>
  <c r="E135" i="23"/>
  <c r="S7" i="23" l="1"/>
  <c r="Q80" i="23"/>
  <c r="Q39" i="23"/>
  <c r="Q10" i="23"/>
  <c r="J134" i="23" l="1"/>
  <c r="E134" i="23"/>
  <c r="K103" i="23" l="1"/>
  <c r="L97" i="23" l="1"/>
  <c r="K97" i="23"/>
  <c r="R81" i="23"/>
  <c r="R80" i="23"/>
  <c r="R39" i="23"/>
  <c r="R17" i="23"/>
  <c r="R10" i="23"/>
  <c r="R8" i="23"/>
  <c r="R7" i="23"/>
  <c r="H133" i="23" l="1"/>
  <c r="E133" i="23"/>
  <c r="H131" i="23"/>
  <c r="H132" i="23" l="1"/>
  <c r="E132" i="23"/>
  <c r="E131" i="23"/>
  <c r="H130" i="23"/>
  <c r="E130" i="23"/>
  <c r="H111" i="23" l="1"/>
  <c r="H112" i="23"/>
  <c r="H113" i="23"/>
  <c r="E129" i="23" l="1"/>
  <c r="N80" i="23" l="1"/>
  <c r="L96" i="23" l="1"/>
  <c r="K96" i="23"/>
  <c r="J98" i="23"/>
  <c r="H127" i="23" l="1"/>
  <c r="E127" i="23"/>
  <c r="H128" i="23"/>
  <c r="E128" i="23"/>
  <c r="H126" i="23"/>
  <c r="E126" i="23"/>
  <c r="H125" i="23"/>
  <c r="E125" i="23"/>
  <c r="H124" i="23"/>
  <c r="E124" i="23"/>
  <c r="U18" i="23" l="1"/>
  <c r="V122" i="23" l="1"/>
  <c r="V123" i="23"/>
  <c r="Q7" i="23"/>
  <c r="AD123" i="23"/>
  <c r="H123" i="23"/>
  <c r="J123" i="23" s="1"/>
  <c r="E123" i="23"/>
  <c r="H104" i="23"/>
  <c r="E104" i="23"/>
  <c r="W123" i="23" l="1"/>
  <c r="V146" i="27" l="1"/>
  <c r="U146" i="27"/>
  <c r="AC145" i="27"/>
  <c r="U145" i="27"/>
  <c r="J145" i="27"/>
  <c r="V145" i="27" s="1"/>
  <c r="AC144" i="27"/>
  <c r="U144" i="27"/>
  <c r="J144" i="27"/>
  <c r="V144" i="27" s="1"/>
  <c r="AC143" i="27"/>
  <c r="U143" i="27"/>
  <c r="J143" i="27"/>
  <c r="V143" i="27" s="1"/>
  <c r="AC142" i="27"/>
  <c r="U142" i="27"/>
  <c r="J142" i="27"/>
  <c r="V142" i="27" s="1"/>
  <c r="AC141" i="27"/>
  <c r="U141" i="27"/>
  <c r="J141" i="27"/>
  <c r="V141" i="27" s="1"/>
  <c r="AC140" i="27"/>
  <c r="U140" i="27"/>
  <c r="J140" i="27"/>
  <c r="V140" i="27" s="1"/>
  <c r="AC139" i="27"/>
  <c r="U139" i="27"/>
  <c r="J139" i="27"/>
  <c r="V139" i="27" s="1"/>
  <c r="AC138" i="27"/>
  <c r="U138" i="27"/>
  <c r="J138" i="27"/>
  <c r="V138" i="27" s="1"/>
  <c r="AC137" i="27"/>
  <c r="U137" i="27"/>
  <c r="J137" i="27"/>
  <c r="V137" i="27" s="1"/>
  <c r="AC136" i="27"/>
  <c r="U136" i="27"/>
  <c r="J136" i="27"/>
  <c r="V136" i="27" s="1"/>
  <c r="AC135" i="27"/>
  <c r="U135" i="27"/>
  <c r="J135" i="27"/>
  <c r="V135" i="27" s="1"/>
  <c r="AC134" i="27"/>
  <c r="U134" i="27"/>
  <c r="J134" i="27"/>
  <c r="V134" i="27" s="1"/>
  <c r="AC133" i="27"/>
  <c r="U133" i="27"/>
  <c r="J133" i="27"/>
  <c r="V133" i="27" s="1"/>
  <c r="AC132" i="27"/>
  <c r="U132" i="27"/>
  <c r="J132" i="27"/>
  <c r="V132" i="27" s="1"/>
  <c r="AC131" i="27"/>
  <c r="U131" i="27"/>
  <c r="J131" i="27"/>
  <c r="V131" i="27" s="1"/>
  <c r="AC130" i="27"/>
  <c r="U130" i="27"/>
  <c r="J130" i="27"/>
  <c r="V130" i="27" s="1"/>
  <c r="AC129" i="27"/>
  <c r="U129" i="27"/>
  <c r="J129" i="27"/>
  <c r="V129" i="27" s="1"/>
  <c r="AC128" i="27"/>
  <c r="U128" i="27"/>
  <c r="J128" i="27"/>
  <c r="V128" i="27" s="1"/>
  <c r="AC127" i="27"/>
  <c r="U127" i="27"/>
  <c r="J127" i="27"/>
  <c r="V127" i="27" s="1"/>
  <c r="AC126" i="27"/>
  <c r="U126" i="27"/>
  <c r="J126" i="27"/>
  <c r="V126" i="27" s="1"/>
  <c r="AC125" i="27"/>
  <c r="U125" i="27"/>
  <c r="J125" i="27"/>
  <c r="V125" i="27" s="1"/>
  <c r="AC124" i="27"/>
  <c r="U124" i="27"/>
  <c r="J124" i="27"/>
  <c r="V124" i="27" s="1"/>
  <c r="AC123" i="27"/>
  <c r="U123" i="27"/>
  <c r="J123" i="27"/>
  <c r="V123" i="27" s="1"/>
  <c r="AC122" i="27"/>
  <c r="U122" i="27"/>
  <c r="H122" i="27"/>
  <c r="J122" i="27" s="1"/>
  <c r="E122" i="27"/>
  <c r="AC121" i="27"/>
  <c r="U121" i="27"/>
  <c r="H121" i="27"/>
  <c r="J121" i="27" s="1"/>
  <c r="E121" i="27"/>
  <c r="AC120" i="27"/>
  <c r="U120" i="27"/>
  <c r="H120" i="27"/>
  <c r="J120" i="27" s="1"/>
  <c r="E120" i="27"/>
  <c r="AC119" i="27"/>
  <c r="U119" i="27"/>
  <c r="H119" i="27"/>
  <c r="J119" i="27" s="1"/>
  <c r="V119" i="27" s="1"/>
  <c r="E119" i="27"/>
  <c r="AC118" i="27"/>
  <c r="U118" i="27"/>
  <c r="H118" i="27"/>
  <c r="J118" i="27" s="1"/>
  <c r="V118" i="27" s="1"/>
  <c r="E118" i="27"/>
  <c r="AC117" i="27"/>
  <c r="U117" i="27"/>
  <c r="J117" i="27"/>
  <c r="H117" i="27"/>
  <c r="E117" i="27"/>
  <c r="AC116" i="27"/>
  <c r="U116" i="27"/>
  <c r="J116" i="27"/>
  <c r="V116" i="27" s="1"/>
  <c r="E116" i="27"/>
  <c r="AC115" i="27"/>
  <c r="L115" i="27"/>
  <c r="K115" i="27"/>
  <c r="U115" i="27" s="1"/>
  <c r="H115" i="27"/>
  <c r="J115" i="27" s="1"/>
  <c r="V115" i="27" s="1"/>
  <c r="E115" i="27"/>
  <c r="AC114" i="27"/>
  <c r="U114" i="27"/>
  <c r="J114" i="27"/>
  <c r="E114" i="27"/>
  <c r="AC113" i="27"/>
  <c r="U113" i="27"/>
  <c r="H113" i="27"/>
  <c r="J113" i="27" s="1"/>
  <c r="V113" i="27" s="1"/>
  <c r="AC112" i="27"/>
  <c r="U112" i="27"/>
  <c r="H112" i="27"/>
  <c r="J112" i="27" s="1"/>
  <c r="E112" i="27"/>
  <c r="AC111" i="27"/>
  <c r="U111" i="27"/>
  <c r="H111" i="27"/>
  <c r="J111" i="27" s="1"/>
  <c r="AC110" i="27"/>
  <c r="U110" i="27"/>
  <c r="H110" i="27"/>
  <c r="J110" i="27" s="1"/>
  <c r="V110" i="27" s="1"/>
  <c r="E110" i="27"/>
  <c r="AC109" i="27"/>
  <c r="U109" i="27"/>
  <c r="H109" i="27"/>
  <c r="J109" i="27" s="1"/>
  <c r="E109" i="27"/>
  <c r="AC108" i="27"/>
  <c r="U108" i="27"/>
  <c r="L108" i="27"/>
  <c r="H108" i="27"/>
  <c r="J108" i="27" s="1"/>
  <c r="E108" i="27"/>
  <c r="AC107" i="27"/>
  <c r="U107" i="27"/>
  <c r="H107" i="27"/>
  <c r="J107" i="27" s="1"/>
  <c r="V107" i="27" s="1"/>
  <c r="E107" i="27"/>
  <c r="AC106" i="27"/>
  <c r="U106" i="27"/>
  <c r="J106" i="27"/>
  <c r="E106" i="27"/>
  <c r="AC105" i="27"/>
  <c r="U105" i="27"/>
  <c r="H105" i="27"/>
  <c r="J105" i="27" s="1"/>
  <c r="E105" i="27"/>
  <c r="AC104" i="27"/>
  <c r="U104" i="27"/>
  <c r="J104" i="27"/>
  <c r="V104" i="27" s="1"/>
  <c r="AC103" i="27"/>
  <c r="U103" i="27"/>
  <c r="H103" i="27"/>
  <c r="J103" i="27" s="1"/>
  <c r="E103" i="27"/>
  <c r="AC102" i="27"/>
  <c r="M102" i="27"/>
  <c r="K102" i="27"/>
  <c r="U102" i="27" s="1"/>
  <c r="H102" i="27"/>
  <c r="J102" i="27" s="1"/>
  <c r="E102" i="27"/>
  <c r="AC101" i="27"/>
  <c r="U101" i="27"/>
  <c r="K101" i="27"/>
  <c r="H101" i="27"/>
  <c r="J101" i="27" s="1"/>
  <c r="E101" i="27"/>
  <c r="AC100" i="27"/>
  <c r="U100" i="27"/>
  <c r="L100" i="27"/>
  <c r="H100" i="27"/>
  <c r="J100" i="27" s="1"/>
  <c r="E100" i="27"/>
  <c r="AC99" i="27"/>
  <c r="U99" i="27"/>
  <c r="J99" i="27"/>
  <c r="E99" i="27"/>
  <c r="AC98" i="27"/>
  <c r="U98" i="27"/>
  <c r="J98" i="27"/>
  <c r="E98" i="27"/>
  <c r="AC97" i="27"/>
  <c r="U97" i="27"/>
  <c r="H97" i="27"/>
  <c r="J97" i="27" s="1"/>
  <c r="E97" i="27"/>
  <c r="AC96" i="27"/>
  <c r="U96" i="27"/>
  <c r="H96" i="27"/>
  <c r="J96" i="27" s="1"/>
  <c r="V96" i="27" s="1"/>
  <c r="E96" i="27"/>
  <c r="AC95" i="27"/>
  <c r="U95" i="27"/>
  <c r="H95" i="27"/>
  <c r="J95" i="27" s="1"/>
  <c r="E95" i="27"/>
  <c r="AC94" i="27"/>
  <c r="U94" i="27"/>
  <c r="H94" i="27"/>
  <c r="J94" i="27" s="1"/>
  <c r="E94" i="27"/>
  <c r="AC93" i="27"/>
  <c r="U93" i="27"/>
  <c r="H93" i="27"/>
  <c r="J93" i="27" s="1"/>
  <c r="V93" i="27" s="1"/>
  <c r="E93" i="27"/>
  <c r="AC92" i="27"/>
  <c r="L92" i="27"/>
  <c r="U92" i="27" s="1"/>
  <c r="J92" i="27"/>
  <c r="E92" i="27"/>
  <c r="AC91" i="27"/>
  <c r="U91" i="27"/>
  <c r="L91" i="27"/>
  <c r="H91" i="27"/>
  <c r="J91" i="27" s="1"/>
  <c r="V91" i="27" s="1"/>
  <c r="E91" i="27"/>
  <c r="AC90" i="27"/>
  <c r="U90" i="27"/>
  <c r="K90" i="27"/>
  <c r="G90" i="27"/>
  <c r="H90" i="27" s="1"/>
  <c r="J90" i="27" s="1"/>
  <c r="E90" i="27"/>
  <c r="AC89" i="27"/>
  <c r="K89" i="27"/>
  <c r="U89" i="27" s="1"/>
  <c r="H89" i="27"/>
  <c r="J89" i="27" s="1"/>
  <c r="G89" i="27"/>
  <c r="E89" i="27"/>
  <c r="AC88" i="27"/>
  <c r="K88" i="27"/>
  <c r="U88" i="27" s="1"/>
  <c r="G88" i="27"/>
  <c r="H88" i="27" s="1"/>
  <c r="J88" i="27" s="1"/>
  <c r="E88" i="27"/>
  <c r="AC87" i="27"/>
  <c r="U87" i="27"/>
  <c r="H87" i="27"/>
  <c r="J87" i="27" s="1"/>
  <c r="V87" i="27" s="1"/>
  <c r="E87" i="27"/>
  <c r="AC86" i="27"/>
  <c r="U86" i="27"/>
  <c r="H86" i="27"/>
  <c r="J86" i="27" s="1"/>
  <c r="E86" i="27"/>
  <c r="AC85" i="27"/>
  <c r="U85" i="27"/>
  <c r="J85" i="27"/>
  <c r="V85" i="27" s="1"/>
  <c r="E85" i="27"/>
  <c r="AC84" i="27"/>
  <c r="U84" i="27"/>
  <c r="L84" i="27"/>
  <c r="K84" i="27"/>
  <c r="H84" i="27"/>
  <c r="J84" i="27" s="1"/>
  <c r="E84" i="27"/>
  <c r="AC83" i="27"/>
  <c r="L83" i="27"/>
  <c r="K83" i="27"/>
  <c r="U83" i="27" s="1"/>
  <c r="H83" i="27"/>
  <c r="J83" i="27" s="1"/>
  <c r="V83" i="27" s="1"/>
  <c r="E83" i="27"/>
  <c r="AC82" i="27"/>
  <c r="U82" i="27"/>
  <c r="H82" i="27"/>
  <c r="J82" i="27" s="1"/>
  <c r="G82" i="27"/>
  <c r="E82" i="27"/>
  <c r="AC81" i="27"/>
  <c r="L81" i="27"/>
  <c r="U81" i="27" s="1"/>
  <c r="K81" i="27"/>
  <c r="H81" i="27"/>
  <c r="J81" i="27" s="1"/>
  <c r="V81" i="27" s="1"/>
  <c r="E81" i="27"/>
  <c r="AB80" i="27"/>
  <c r="AA80" i="27"/>
  <c r="R80" i="27"/>
  <c r="Q80" i="27"/>
  <c r="P80" i="27"/>
  <c r="N80" i="27"/>
  <c r="M80" i="27"/>
  <c r="L80" i="27"/>
  <c r="K80" i="27"/>
  <c r="U80" i="27" s="1"/>
  <c r="H80" i="27"/>
  <c r="J80" i="27" s="1"/>
  <c r="E80" i="27"/>
  <c r="AC79" i="27"/>
  <c r="K79" i="27"/>
  <c r="U79" i="27" s="1"/>
  <c r="H79" i="27"/>
  <c r="J79" i="27" s="1"/>
  <c r="V79" i="27" s="1"/>
  <c r="E79" i="27"/>
  <c r="AC78" i="27"/>
  <c r="L78" i="27"/>
  <c r="U78" i="27" s="1"/>
  <c r="J78" i="27"/>
  <c r="E78" i="27"/>
  <c r="AC77" i="27"/>
  <c r="U77" i="27"/>
  <c r="J77" i="27"/>
  <c r="E77" i="27"/>
  <c r="AC76" i="27"/>
  <c r="U76" i="27"/>
  <c r="J76" i="27"/>
  <c r="V76" i="27" s="1"/>
  <c r="E76" i="27"/>
  <c r="AC75" i="27"/>
  <c r="L75" i="27"/>
  <c r="U75" i="27" s="1"/>
  <c r="H75" i="27"/>
  <c r="J75" i="27" s="1"/>
  <c r="E75" i="27"/>
  <c r="AC74" i="27"/>
  <c r="L74" i="27"/>
  <c r="U74" i="27" s="1"/>
  <c r="H74" i="27"/>
  <c r="J74" i="27" s="1"/>
  <c r="E74" i="27"/>
  <c r="AC73" i="27"/>
  <c r="L73" i="27"/>
  <c r="U73" i="27" s="1"/>
  <c r="H73" i="27"/>
  <c r="J73" i="27" s="1"/>
  <c r="V73" i="27" s="1"/>
  <c r="E73" i="27"/>
  <c r="AC72" i="27"/>
  <c r="U72" i="27"/>
  <c r="V72" i="27" s="1"/>
  <c r="J72" i="27"/>
  <c r="E72" i="27"/>
  <c r="AC71" i="27"/>
  <c r="K71" i="27"/>
  <c r="U71" i="27" s="1"/>
  <c r="G71" i="27"/>
  <c r="H71" i="27" s="1"/>
  <c r="J71" i="27" s="1"/>
  <c r="E71" i="27"/>
  <c r="AC70" i="27"/>
  <c r="U70" i="27"/>
  <c r="K70" i="27"/>
  <c r="G70" i="27"/>
  <c r="H70" i="27" s="1"/>
  <c r="J70" i="27" s="1"/>
  <c r="E70" i="27"/>
  <c r="AC69" i="27"/>
  <c r="K69" i="27"/>
  <c r="U69" i="27" s="1"/>
  <c r="J69" i="27"/>
  <c r="V69" i="27" s="1"/>
  <c r="E69" i="27"/>
  <c r="AC68" i="27"/>
  <c r="K68" i="27"/>
  <c r="U68" i="27" s="1"/>
  <c r="J68" i="27"/>
  <c r="E68" i="27"/>
  <c r="AC67" i="27"/>
  <c r="U67" i="27"/>
  <c r="H67" i="27"/>
  <c r="J67" i="27" s="1"/>
  <c r="E67" i="27"/>
  <c r="AC66" i="27"/>
  <c r="U66" i="27"/>
  <c r="J66" i="27"/>
  <c r="V66" i="27" s="1"/>
  <c r="E66" i="27"/>
  <c r="AC65" i="27"/>
  <c r="U65" i="27"/>
  <c r="J65" i="27"/>
  <c r="E65" i="27"/>
  <c r="AC64" i="27"/>
  <c r="U64" i="27"/>
  <c r="N64" i="27"/>
  <c r="H64" i="27"/>
  <c r="J64" i="27" s="1"/>
  <c r="E64" i="27"/>
  <c r="AC63" i="27"/>
  <c r="L63" i="27"/>
  <c r="U63" i="27" s="1"/>
  <c r="H63" i="27"/>
  <c r="J63" i="27" s="1"/>
  <c r="E63" i="27"/>
  <c r="AC62" i="27"/>
  <c r="L62" i="27"/>
  <c r="U62" i="27" s="1"/>
  <c r="H62" i="27"/>
  <c r="J62" i="27" s="1"/>
  <c r="V62" i="27" s="1"/>
  <c r="E62" i="27"/>
  <c r="AC61" i="27"/>
  <c r="L61" i="27"/>
  <c r="U61" i="27" s="1"/>
  <c r="J61" i="27"/>
  <c r="AC60" i="27"/>
  <c r="R60" i="27"/>
  <c r="Q60" i="27"/>
  <c r="P60" i="27"/>
  <c r="M60" i="27"/>
  <c r="L60" i="27"/>
  <c r="K60" i="27"/>
  <c r="U60" i="27" s="1"/>
  <c r="H60" i="27"/>
  <c r="J60" i="27" s="1"/>
  <c r="V60" i="27" s="1"/>
  <c r="E60" i="27"/>
  <c r="AC59" i="27"/>
  <c r="R59" i="27"/>
  <c r="Q59" i="27"/>
  <c r="P59" i="27"/>
  <c r="M59" i="27"/>
  <c r="L59" i="27"/>
  <c r="K59" i="27"/>
  <c r="U59" i="27" s="1"/>
  <c r="H59" i="27"/>
  <c r="J59" i="27" s="1"/>
  <c r="E59" i="27"/>
  <c r="AC58" i="27"/>
  <c r="K58" i="27"/>
  <c r="U58" i="27" s="1"/>
  <c r="J58" i="27"/>
  <c r="V58" i="27" s="1"/>
  <c r="E58" i="27"/>
  <c r="AC57" i="27"/>
  <c r="R57" i="27"/>
  <c r="M57" i="27"/>
  <c r="U57" i="27" s="1"/>
  <c r="H57" i="27"/>
  <c r="J57" i="27" s="1"/>
  <c r="V57" i="27" s="1"/>
  <c r="G57" i="27"/>
  <c r="E57" i="27"/>
  <c r="AC56" i="27"/>
  <c r="U56" i="27"/>
  <c r="M56" i="27"/>
  <c r="G56" i="27"/>
  <c r="H56" i="27" s="1"/>
  <c r="J56" i="27" s="1"/>
  <c r="V56" i="27" s="1"/>
  <c r="E56" i="27"/>
  <c r="AC55" i="27"/>
  <c r="U55" i="27"/>
  <c r="H55" i="27"/>
  <c r="J55" i="27" s="1"/>
  <c r="E55" i="27"/>
  <c r="AC54" i="27"/>
  <c r="U54" i="27"/>
  <c r="H54" i="27"/>
  <c r="J54" i="27" s="1"/>
  <c r="E54" i="27"/>
  <c r="AC53" i="27"/>
  <c r="V53" i="27"/>
  <c r="R53" i="27"/>
  <c r="Q53" i="27"/>
  <c r="P53" i="27"/>
  <c r="M53" i="27"/>
  <c r="L53" i="27"/>
  <c r="K53" i="27"/>
  <c r="U53" i="27" s="1"/>
  <c r="H53" i="27"/>
  <c r="J53" i="27" s="1"/>
  <c r="E53" i="27"/>
  <c r="AC52" i="27"/>
  <c r="U52" i="27"/>
  <c r="J52" i="27"/>
  <c r="V52" i="27" s="1"/>
  <c r="E52" i="27"/>
  <c r="AC51" i="27"/>
  <c r="U51" i="27"/>
  <c r="J51" i="27"/>
  <c r="V51" i="27" s="1"/>
  <c r="E51" i="27"/>
  <c r="AC50" i="27"/>
  <c r="U50" i="27"/>
  <c r="J50" i="27"/>
  <c r="E50" i="27"/>
  <c r="AC49" i="27"/>
  <c r="U49" i="27"/>
  <c r="H49" i="27"/>
  <c r="J49" i="27" s="1"/>
  <c r="V49" i="27" s="1"/>
  <c r="E49" i="27"/>
  <c r="AC48" i="27"/>
  <c r="N48" i="27"/>
  <c r="M48" i="27"/>
  <c r="U48" i="27" s="1"/>
  <c r="L48" i="27"/>
  <c r="K48" i="27"/>
  <c r="H48" i="27"/>
  <c r="J48" i="27" s="1"/>
  <c r="E48" i="27"/>
  <c r="AC47" i="27"/>
  <c r="U47" i="27"/>
  <c r="J47" i="27"/>
  <c r="E47" i="27"/>
  <c r="AC46" i="27"/>
  <c r="U46" i="27"/>
  <c r="R46" i="27"/>
  <c r="H46" i="27"/>
  <c r="J46" i="27" s="1"/>
  <c r="V46" i="27" s="1"/>
  <c r="E46" i="27"/>
  <c r="AC45" i="27"/>
  <c r="M45" i="27"/>
  <c r="U45" i="27" s="1"/>
  <c r="G45" i="27"/>
  <c r="H45" i="27" s="1"/>
  <c r="J45" i="27" s="1"/>
  <c r="E45" i="27"/>
  <c r="AC44" i="27"/>
  <c r="M44" i="27"/>
  <c r="U44" i="27" s="1"/>
  <c r="G44" i="27"/>
  <c r="H44" i="27" s="1"/>
  <c r="J44" i="27" s="1"/>
  <c r="E44" i="27"/>
  <c r="AC43" i="27"/>
  <c r="U43" i="27"/>
  <c r="H43" i="27"/>
  <c r="J43" i="27" s="1"/>
  <c r="E43" i="27"/>
  <c r="AC42" i="27"/>
  <c r="U42" i="27"/>
  <c r="H42" i="27"/>
  <c r="J42" i="27" s="1"/>
  <c r="V42" i="27" s="1"/>
  <c r="E42" i="27"/>
  <c r="AC41" i="27"/>
  <c r="U41" i="27"/>
  <c r="R41" i="27"/>
  <c r="M41" i="27"/>
  <c r="G41" i="27"/>
  <c r="H41" i="27" s="1"/>
  <c r="J41" i="27" s="1"/>
  <c r="E41" i="27"/>
  <c r="AC40" i="27"/>
  <c r="U40" i="27"/>
  <c r="J40" i="27"/>
  <c r="V40" i="27" s="1"/>
  <c r="E40" i="27"/>
  <c r="R39" i="27"/>
  <c r="Q39" i="27"/>
  <c r="P39" i="27"/>
  <c r="L39" i="27"/>
  <c r="K39" i="27"/>
  <c r="U39" i="27" s="1"/>
  <c r="J39" i="27"/>
  <c r="E39" i="27"/>
  <c r="AC38" i="27"/>
  <c r="U38" i="27"/>
  <c r="V38" i="27" s="1"/>
  <c r="J38" i="27"/>
  <c r="E38" i="27"/>
  <c r="AC37" i="27"/>
  <c r="U37" i="27"/>
  <c r="G37" i="27"/>
  <c r="H37" i="27" s="1"/>
  <c r="J37" i="27" s="1"/>
  <c r="E37" i="27"/>
  <c r="AC36" i="27"/>
  <c r="U36" i="27"/>
  <c r="V36" i="27" s="1"/>
  <c r="R36" i="27"/>
  <c r="Q36" i="27"/>
  <c r="P36" i="27"/>
  <c r="O36" i="27"/>
  <c r="M36" i="27"/>
  <c r="L36" i="27"/>
  <c r="K36" i="27"/>
  <c r="H36" i="27"/>
  <c r="J36" i="27" s="1"/>
  <c r="E36" i="27"/>
  <c r="AC35" i="27"/>
  <c r="N35" i="27"/>
  <c r="M35" i="27"/>
  <c r="L35" i="27"/>
  <c r="K35" i="27"/>
  <c r="U35" i="27" s="1"/>
  <c r="V35" i="27" s="1"/>
  <c r="H35" i="27"/>
  <c r="J35" i="27" s="1"/>
  <c r="E35" i="27"/>
  <c r="AC34" i="27"/>
  <c r="U34" i="27"/>
  <c r="R34" i="27"/>
  <c r="M34" i="27"/>
  <c r="H34" i="27"/>
  <c r="J34" i="27" s="1"/>
  <c r="E34" i="27"/>
  <c r="AC33" i="27"/>
  <c r="T33" i="27"/>
  <c r="S33" i="27"/>
  <c r="R33" i="27"/>
  <c r="Q33" i="27"/>
  <c r="P33" i="27"/>
  <c r="U33" i="27" s="1"/>
  <c r="J33" i="27"/>
  <c r="E33" i="27"/>
  <c r="AC32" i="27"/>
  <c r="U32" i="27"/>
  <c r="M32" i="27"/>
  <c r="K32" i="27"/>
  <c r="G32" i="27"/>
  <c r="H32" i="27" s="1"/>
  <c r="J32" i="27" s="1"/>
  <c r="E32" i="27"/>
  <c r="AC31" i="27"/>
  <c r="K31" i="27"/>
  <c r="U31" i="27" s="1"/>
  <c r="H31" i="27"/>
  <c r="J31" i="27" s="1"/>
  <c r="E31" i="27"/>
  <c r="AC30" i="27"/>
  <c r="L30" i="27"/>
  <c r="K30" i="27"/>
  <c r="H30" i="27"/>
  <c r="G30" i="27"/>
  <c r="E30" i="27"/>
  <c r="AC29" i="27"/>
  <c r="L29" i="27"/>
  <c r="K29" i="27"/>
  <c r="U29" i="27" s="1"/>
  <c r="J29" i="27"/>
  <c r="V29" i="27" s="1"/>
  <c r="H29" i="27"/>
  <c r="E29" i="27"/>
  <c r="AC28" i="27"/>
  <c r="L28" i="27"/>
  <c r="K28" i="27"/>
  <c r="U28" i="27" s="1"/>
  <c r="J28" i="27"/>
  <c r="E28" i="27"/>
  <c r="AC27" i="27"/>
  <c r="L27" i="27"/>
  <c r="K27" i="27"/>
  <c r="U27" i="27" s="1"/>
  <c r="H27" i="27"/>
  <c r="J27" i="27" s="1"/>
  <c r="E27" i="27"/>
  <c r="AC26" i="27"/>
  <c r="T26" i="27"/>
  <c r="S26" i="27"/>
  <c r="R26" i="27"/>
  <c r="Q26" i="27"/>
  <c r="P26" i="27"/>
  <c r="L26" i="27"/>
  <c r="K26" i="27"/>
  <c r="H26" i="27"/>
  <c r="E26" i="27"/>
  <c r="AC25" i="27"/>
  <c r="L25" i="27"/>
  <c r="K25" i="27"/>
  <c r="U25" i="27" s="1"/>
  <c r="J25" i="27"/>
  <c r="E25" i="27"/>
  <c r="AC24" i="27"/>
  <c r="T24" i="27"/>
  <c r="S24" i="27"/>
  <c r="R24" i="27"/>
  <c r="Q24" i="27"/>
  <c r="P24" i="27"/>
  <c r="M24" i="27"/>
  <c r="L24" i="27"/>
  <c r="K24" i="27"/>
  <c r="U24" i="27" s="1"/>
  <c r="H24" i="27"/>
  <c r="J24" i="27" s="1"/>
  <c r="V24" i="27" s="1"/>
  <c r="E24" i="27"/>
  <c r="AC23" i="27"/>
  <c r="K23" i="27"/>
  <c r="U23" i="27" s="1"/>
  <c r="J23" i="27"/>
  <c r="E23" i="27"/>
  <c r="U22" i="27"/>
  <c r="T22" i="27"/>
  <c r="S22" i="27"/>
  <c r="R22" i="27"/>
  <c r="Q22" i="27"/>
  <c r="P22" i="27"/>
  <c r="N22" i="27"/>
  <c r="L22" i="27"/>
  <c r="K22" i="27"/>
  <c r="H22" i="27"/>
  <c r="J22" i="27" s="1"/>
  <c r="E22" i="27"/>
  <c r="AC21" i="27"/>
  <c r="U21" i="27"/>
  <c r="V21" i="27" s="1"/>
  <c r="T21" i="27"/>
  <c r="S21" i="27"/>
  <c r="R21" i="27"/>
  <c r="Q21" i="27"/>
  <c r="P21" i="27"/>
  <c r="L21" i="27"/>
  <c r="K21" i="27"/>
  <c r="H21" i="27"/>
  <c r="J21" i="27" s="1"/>
  <c r="E21" i="27"/>
  <c r="AC20" i="27"/>
  <c r="U20" i="27"/>
  <c r="T20" i="27"/>
  <c r="S20" i="27"/>
  <c r="Q20" i="27"/>
  <c r="P20" i="27"/>
  <c r="K20" i="27"/>
  <c r="J20" i="27" s="1"/>
  <c r="E20" i="27"/>
  <c r="T19" i="27"/>
  <c r="Q19" i="27"/>
  <c r="U19" i="27" s="1"/>
  <c r="V19" i="27" s="1"/>
  <c r="AC19" i="27" s="1"/>
  <c r="P19" i="27"/>
  <c r="K19" i="27"/>
  <c r="J19" i="27"/>
  <c r="E19" i="27"/>
  <c r="T18" i="27"/>
  <c r="R18" i="27"/>
  <c r="Q18" i="27"/>
  <c r="P18" i="27"/>
  <c r="K18" i="27"/>
  <c r="E18" i="27"/>
  <c r="T17" i="27"/>
  <c r="Q17" i="27"/>
  <c r="P17" i="27"/>
  <c r="U17" i="27" s="1"/>
  <c r="J17" i="27"/>
  <c r="V17" i="27" s="1"/>
  <c r="AC17" i="27" s="1"/>
  <c r="H17" i="27"/>
  <c r="E17" i="27"/>
  <c r="AC16" i="27"/>
  <c r="T16" i="27"/>
  <c r="R16" i="27"/>
  <c r="Q16" i="27"/>
  <c r="P16" i="27"/>
  <c r="U16" i="27" s="1"/>
  <c r="H16" i="27"/>
  <c r="J16" i="27" s="1"/>
  <c r="E16" i="27"/>
  <c r="U15" i="27"/>
  <c r="T15" i="27"/>
  <c r="S15" i="27"/>
  <c r="R15" i="27"/>
  <c r="Q15" i="27"/>
  <c r="P15" i="27"/>
  <c r="K15" i="27"/>
  <c r="H15" i="27"/>
  <c r="J15" i="27" s="1"/>
  <c r="E15" i="27"/>
  <c r="AC14" i="27"/>
  <c r="U14" i="27"/>
  <c r="V14" i="27" s="1"/>
  <c r="T14" i="27"/>
  <c r="Q14" i="27"/>
  <c r="P14" i="27"/>
  <c r="K14" i="27"/>
  <c r="J14" i="27"/>
  <c r="E14" i="27"/>
  <c r="AC13" i="27"/>
  <c r="T13" i="27"/>
  <c r="R13" i="27"/>
  <c r="Q13" i="27"/>
  <c r="U13" i="27" s="1"/>
  <c r="V13" i="27" s="1"/>
  <c r="P13" i="27"/>
  <c r="K13" i="27"/>
  <c r="J13" i="27"/>
  <c r="E13" i="27"/>
  <c r="AC12" i="27"/>
  <c r="T12" i="27"/>
  <c r="S12" i="27"/>
  <c r="R12" i="27"/>
  <c r="Q12" i="27"/>
  <c r="P12" i="27"/>
  <c r="U12" i="27" s="1"/>
  <c r="M12" i="27"/>
  <c r="J12" i="27"/>
  <c r="E12" i="27"/>
  <c r="AC11" i="27"/>
  <c r="T11" i="27"/>
  <c r="R11" i="27"/>
  <c r="Q11" i="27"/>
  <c r="P11" i="27"/>
  <c r="O11" i="27"/>
  <c r="N11" i="27"/>
  <c r="L11" i="27"/>
  <c r="K11" i="27"/>
  <c r="H11" i="27"/>
  <c r="J11" i="27" s="1"/>
  <c r="E11" i="27"/>
  <c r="T10" i="27"/>
  <c r="R10" i="27"/>
  <c r="Q10" i="27"/>
  <c r="P10" i="27"/>
  <c r="U10" i="27" s="1"/>
  <c r="O10" i="27"/>
  <c r="H10" i="27"/>
  <c r="J10" i="27" s="1"/>
  <c r="E10" i="27"/>
  <c r="AC9" i="27"/>
  <c r="R9" i="27"/>
  <c r="Q9" i="27"/>
  <c r="P9" i="27"/>
  <c r="L9" i="27"/>
  <c r="K9" i="27"/>
  <c r="E9" i="27"/>
  <c r="AB8" i="27"/>
  <c r="AA8" i="27"/>
  <c r="T8" i="27"/>
  <c r="R8" i="27"/>
  <c r="Q8" i="27"/>
  <c r="P8" i="27"/>
  <c r="U8" i="27" s="1"/>
  <c r="J8" i="27"/>
  <c r="E8" i="27"/>
  <c r="Q7" i="27"/>
  <c r="U7" i="27" s="1"/>
  <c r="P7" i="27"/>
  <c r="J7" i="27"/>
  <c r="V7" i="27" s="1"/>
  <c r="AC7" i="27" s="1"/>
  <c r="E7" i="27"/>
  <c r="AC6" i="27"/>
  <c r="U6" i="27"/>
  <c r="T6" i="27"/>
  <c r="S6" i="27"/>
  <c r="Q6" i="27"/>
  <c r="P6" i="27"/>
  <c r="J6" i="27"/>
  <c r="E6" i="27"/>
  <c r="AC5" i="27"/>
  <c r="T5" i="27"/>
  <c r="S5" i="27"/>
  <c r="Q5" i="27"/>
  <c r="P5" i="27"/>
  <c r="U5" i="27" s="1"/>
  <c r="J5" i="27"/>
  <c r="E5" i="27"/>
  <c r="AC4" i="27"/>
  <c r="S4" i="27"/>
  <c r="Q4" i="27"/>
  <c r="P4" i="27"/>
  <c r="U4" i="27" s="1"/>
  <c r="J4" i="27"/>
  <c r="E4" i="27"/>
  <c r="AC3" i="27"/>
  <c r="T3" i="27"/>
  <c r="S3" i="27"/>
  <c r="R3" i="27"/>
  <c r="Q3" i="27"/>
  <c r="P3" i="27"/>
  <c r="K3" i="27"/>
  <c r="U3" i="27" s="1"/>
  <c r="H3" i="27"/>
  <c r="J3" i="27" s="1"/>
  <c r="E3" i="27"/>
  <c r="AD9" i="23"/>
  <c r="AD11" i="23"/>
  <c r="AD12" i="23"/>
  <c r="AD13" i="23"/>
  <c r="AD14" i="23"/>
  <c r="AD16" i="23"/>
  <c r="AD20" i="23"/>
  <c r="AD21" i="23"/>
  <c r="AD23" i="23"/>
  <c r="AD24" i="23"/>
  <c r="AD25" i="23"/>
  <c r="AD26" i="23"/>
  <c r="AD27" i="23"/>
  <c r="AD28" i="23"/>
  <c r="AD29" i="23"/>
  <c r="AD30" i="23"/>
  <c r="AD31" i="23"/>
  <c r="AD32" i="23"/>
  <c r="AD33" i="23"/>
  <c r="AD34" i="23"/>
  <c r="AD35" i="23"/>
  <c r="AD36" i="23"/>
  <c r="AD37" i="23"/>
  <c r="AD38" i="23"/>
  <c r="AD40" i="23"/>
  <c r="AD41" i="23"/>
  <c r="AD42" i="23"/>
  <c r="AD43" i="23"/>
  <c r="AD44" i="23"/>
  <c r="AD45" i="23"/>
  <c r="AD46" i="23"/>
  <c r="AD47" i="23"/>
  <c r="AD48" i="23"/>
  <c r="AD49" i="23"/>
  <c r="AD50" i="23"/>
  <c r="AD51" i="23"/>
  <c r="AD52" i="23"/>
  <c r="AD53" i="23"/>
  <c r="AD54" i="23"/>
  <c r="AD55" i="23"/>
  <c r="AD56" i="23"/>
  <c r="AD57" i="23"/>
  <c r="AD58" i="23"/>
  <c r="AD59" i="23"/>
  <c r="AD60" i="23"/>
  <c r="AD61" i="23"/>
  <c r="AD62" i="23"/>
  <c r="AD63" i="23"/>
  <c r="AD64" i="23"/>
  <c r="AD65" i="23"/>
  <c r="AD66" i="23"/>
  <c r="AD67" i="23"/>
  <c r="AD68" i="23"/>
  <c r="AD69" i="23"/>
  <c r="AD70" i="23"/>
  <c r="AD71" i="23"/>
  <c r="AD72" i="23"/>
  <c r="AD73" i="23"/>
  <c r="AD74" i="23"/>
  <c r="AD75" i="23"/>
  <c r="AD76" i="23"/>
  <c r="AD77" i="23"/>
  <c r="AD78" i="23"/>
  <c r="AD79" i="23"/>
  <c r="AD81" i="23"/>
  <c r="AD82" i="23"/>
  <c r="AD83" i="23"/>
  <c r="AD84" i="23"/>
  <c r="AD85" i="23"/>
  <c r="AD86" i="23"/>
  <c r="AD87" i="23"/>
  <c r="AD88" i="23"/>
  <c r="AD89" i="23"/>
  <c r="AD90" i="23"/>
  <c r="AD91" i="23"/>
  <c r="AD92" i="23"/>
  <c r="AD93" i="23"/>
  <c r="AD94" i="23"/>
  <c r="AD95" i="23"/>
  <c r="AD96" i="23"/>
  <c r="AD97" i="23"/>
  <c r="AD98" i="23"/>
  <c r="AD99" i="23"/>
  <c r="AD100" i="23"/>
  <c r="AD101" i="23"/>
  <c r="AD102" i="23"/>
  <c r="AD103" i="23"/>
  <c r="AD104" i="23"/>
  <c r="AD105" i="23"/>
  <c r="AD106" i="23"/>
  <c r="AD107" i="23"/>
  <c r="AD108" i="23"/>
  <c r="AD109" i="23"/>
  <c r="AD110" i="23"/>
  <c r="AD111" i="23"/>
  <c r="AD112" i="23"/>
  <c r="AD113" i="23"/>
  <c r="AD114" i="23"/>
  <c r="AD115" i="23"/>
  <c r="AD116" i="23"/>
  <c r="AD117" i="23"/>
  <c r="AD118" i="23"/>
  <c r="AD119" i="23"/>
  <c r="AD120" i="23"/>
  <c r="AD121" i="23"/>
  <c r="AD122" i="23"/>
  <c r="AD124" i="23"/>
  <c r="AD125" i="23"/>
  <c r="AD126" i="23"/>
  <c r="AD127" i="23"/>
  <c r="AD128" i="23"/>
  <c r="AD129" i="23"/>
  <c r="AD130" i="23"/>
  <c r="AD131" i="23"/>
  <c r="AD132" i="23"/>
  <c r="AD133" i="23"/>
  <c r="AD134" i="23"/>
  <c r="AD135" i="23"/>
  <c r="AD136" i="23"/>
  <c r="AD137" i="23"/>
  <c r="AD138" i="23"/>
  <c r="AD139" i="23"/>
  <c r="AD140" i="23"/>
  <c r="AD141" i="23"/>
  <c r="AD142" i="23"/>
  <c r="AD143" i="23"/>
  <c r="AD144" i="23"/>
  <c r="AD145" i="23"/>
  <c r="AD3" i="23"/>
  <c r="AD4" i="23"/>
  <c r="AD5" i="23"/>
  <c r="AD6" i="23"/>
  <c r="V20" i="27" l="1"/>
  <c r="V28" i="27"/>
  <c r="V59" i="27"/>
  <c r="V77" i="27"/>
  <c r="V86" i="27"/>
  <c r="V100" i="27"/>
  <c r="V63" i="27"/>
  <c r="V15" i="27"/>
  <c r="AC15" i="27" s="1"/>
  <c r="V6" i="27"/>
  <c r="V33" i="27"/>
  <c r="V48" i="27"/>
  <c r="V50" i="27"/>
  <c r="V16" i="27"/>
  <c r="V98" i="27"/>
  <c r="V121" i="27"/>
  <c r="V111" i="27"/>
  <c r="V82" i="27"/>
  <c r="V31" i="27"/>
  <c r="V54" i="27"/>
  <c r="V80" i="27"/>
  <c r="AC80" i="27" s="1"/>
  <c r="V99" i="27"/>
  <c r="V84" i="27"/>
  <c r="V4" i="27"/>
  <c r="V12" i="27"/>
  <c r="V41" i="27"/>
  <c r="V43" i="27"/>
  <c r="V89" i="27"/>
  <c r="V94" i="27"/>
  <c r="V97" i="27"/>
  <c r="V105" i="27"/>
  <c r="V32" i="27"/>
  <c r="V39" i="27"/>
  <c r="AC39" i="27" s="1"/>
  <c r="V55" i="27"/>
  <c r="V108" i="27"/>
  <c r="V114" i="27"/>
  <c r="V3" i="27"/>
  <c r="V23" i="27"/>
  <c r="V34" i="27"/>
  <c r="V44" i="27"/>
  <c r="V67" i="27"/>
  <c r="V70" i="27"/>
  <c r="V92" i="27"/>
  <c r="V95" i="27"/>
  <c r="V64" i="27"/>
  <c r="V90" i="27"/>
  <c r="V122" i="27"/>
  <c r="V10" i="27"/>
  <c r="AC10" i="27" s="1"/>
  <c r="J30" i="27"/>
  <c r="V37" i="27"/>
  <c r="V47" i="27"/>
  <c r="V103" i="27"/>
  <c r="V106" i="27"/>
  <c r="V109" i="27"/>
  <c r="V117" i="27"/>
  <c r="V101" i="27"/>
  <c r="V5" i="27"/>
  <c r="V25" i="27"/>
  <c r="V45" i="27"/>
  <c r="V65" i="27"/>
  <c r="V68" i="27"/>
  <c r="V88" i="27"/>
  <c r="V112" i="27"/>
  <c r="V120" i="27"/>
  <c r="V78" i="27"/>
  <c r="V74" i="27"/>
  <c r="U30" i="27"/>
  <c r="V27" i="27"/>
  <c r="J26" i="27"/>
  <c r="U26" i="27"/>
  <c r="V75" i="27"/>
  <c r="J9" i="27"/>
  <c r="U9" i="27"/>
  <c r="V22" i="27"/>
  <c r="AC22" i="27" s="1"/>
  <c r="V102" i="27"/>
  <c r="V8" i="27"/>
  <c r="AC8" i="27" s="1"/>
  <c r="J18" i="27"/>
  <c r="U18" i="27"/>
  <c r="V61" i="27"/>
  <c r="U11" i="27"/>
  <c r="V11" i="27" s="1"/>
  <c r="V71" i="27"/>
  <c r="L115" i="23"/>
  <c r="K69" i="23"/>
  <c r="H79" i="23"/>
  <c r="V9" i="27" l="1"/>
  <c r="V30" i="27"/>
  <c r="V26" i="27"/>
  <c r="V18" i="27"/>
  <c r="AC18" i="27" s="1"/>
  <c r="AC1" i="27" s="1"/>
  <c r="K115" i="23"/>
  <c r="S46" i="23"/>
  <c r="S39" i="23"/>
  <c r="S60" i="23"/>
  <c r="S59" i="23"/>
  <c r="S53" i="23"/>
  <c r="M100" i="23" l="1"/>
  <c r="M108" i="23"/>
  <c r="H122" i="23" l="1"/>
  <c r="E122" i="23"/>
  <c r="H121" i="23"/>
  <c r="E121" i="23"/>
  <c r="O80" i="23" l="1"/>
  <c r="E120" i="23"/>
  <c r="E119" i="23"/>
  <c r="E118" i="23" l="1"/>
  <c r="H118" i="23"/>
  <c r="H117" i="23"/>
  <c r="E117" i="23"/>
  <c r="N102" i="23"/>
  <c r="K102" i="23"/>
  <c r="E116" i="23" l="1"/>
  <c r="H115" i="23" l="1"/>
  <c r="E115" i="23"/>
  <c r="E114" i="23" l="1"/>
  <c r="Q53" i="23" l="1"/>
  <c r="Q24" i="23"/>
  <c r="S33" i="23"/>
  <c r="H110" i="23" l="1"/>
  <c r="K240" i="17" l="1"/>
  <c r="K239" i="17"/>
  <c r="E112" i="23" l="1"/>
  <c r="N60" i="23" l="1"/>
  <c r="N59" i="23"/>
  <c r="M78" i="23" l="1"/>
  <c r="R60" i="23" l="1"/>
  <c r="R59" i="23"/>
  <c r="R53" i="23"/>
  <c r="K90" i="23" l="1"/>
  <c r="E110" i="23" l="1"/>
  <c r="H109" i="23"/>
  <c r="E109" i="23"/>
  <c r="H108" i="23" l="1"/>
  <c r="E108" i="23"/>
  <c r="L81" i="23" l="1"/>
  <c r="L84" i="23"/>
  <c r="K81" i="23" l="1"/>
  <c r="K84" i="23" l="1"/>
  <c r="H107" i="23"/>
  <c r="E107" i="23"/>
  <c r="E106" i="23"/>
  <c r="E105" i="23" l="1"/>
  <c r="H105" i="23"/>
  <c r="H103" i="23" l="1"/>
  <c r="E103" i="23"/>
  <c r="K71" i="23" l="1"/>
  <c r="M92" i="23"/>
  <c r="M91" i="23"/>
  <c r="K101" i="23" l="1"/>
  <c r="H101" i="23"/>
  <c r="H100" i="23"/>
  <c r="Q60" i="23" l="1"/>
  <c r="Q59" i="23"/>
  <c r="Q33" i="23"/>
  <c r="H102" i="23"/>
  <c r="E102" i="23"/>
  <c r="E101" i="23"/>
  <c r="E100" i="23" l="1"/>
  <c r="O64" i="23"/>
  <c r="O3" i="17" l="1"/>
  <c r="P5" i="17"/>
  <c r="P6" i="17"/>
  <c r="M7" i="17"/>
  <c r="M9" i="17"/>
  <c r="Q9" i="17" s="1"/>
  <c r="P10" i="17"/>
  <c r="P11" i="17"/>
  <c r="P12" i="17"/>
  <c r="P14" i="17"/>
  <c r="P15" i="17"/>
  <c r="P21" i="17"/>
  <c r="P23" i="17"/>
  <c r="N29" i="17"/>
  <c r="N38" i="17"/>
  <c r="M39" i="17"/>
  <c r="N39" i="17"/>
  <c r="O58" i="17"/>
  <c r="O59" i="17"/>
  <c r="P67" i="17"/>
  <c r="O80" i="17"/>
  <c r="P88" i="17"/>
  <c r="O115" i="17"/>
  <c r="N118" i="17"/>
  <c r="O118" i="17"/>
  <c r="P118" i="17"/>
  <c r="O134" i="17"/>
  <c r="P134" i="17"/>
  <c r="P135" i="17"/>
  <c r="N139" i="17"/>
  <c r="O139" i="17"/>
  <c r="P139" i="17"/>
  <c r="M142" i="17"/>
  <c r="P142" i="17"/>
  <c r="N151" i="17"/>
  <c r="O151" i="17"/>
  <c r="M153" i="17"/>
  <c r="P153" i="17"/>
  <c r="M156" i="17"/>
  <c r="P156" i="17"/>
  <c r="P157" i="17"/>
  <c r="P158" i="17"/>
  <c r="P163" i="17"/>
  <c r="P165" i="17"/>
  <c r="P167" i="17"/>
  <c r="M171" i="17"/>
  <c r="N171" i="17"/>
  <c r="P174" i="17"/>
  <c r="P175" i="17"/>
  <c r="M177" i="17"/>
  <c r="M178" i="17"/>
  <c r="N192" i="17"/>
  <c r="M194" i="17"/>
  <c r="M195" i="17"/>
  <c r="M196" i="17"/>
  <c r="N200" i="17"/>
  <c r="P200" i="17"/>
  <c r="M201" i="17"/>
  <c r="M202" i="17"/>
  <c r="P203" i="17"/>
  <c r="P211" i="17"/>
  <c r="M215" i="17"/>
  <c r="P219" i="17"/>
  <c r="U13" i="23" l="1"/>
  <c r="E99" i="23"/>
  <c r="K89" i="23"/>
  <c r="AA60" i="24" l="1"/>
  <c r="AC68" i="24"/>
  <c r="AC69" i="24"/>
  <c r="AC70" i="24"/>
  <c r="AC72" i="24"/>
  <c r="AC100" i="24"/>
  <c r="AC101" i="24"/>
  <c r="AC102" i="24"/>
  <c r="AC103" i="24"/>
  <c r="AC104" i="24"/>
  <c r="AC105" i="24"/>
  <c r="AC106" i="24"/>
  <c r="AC107" i="24"/>
  <c r="AC108" i="24"/>
  <c r="AC109" i="24"/>
  <c r="AC110" i="24"/>
  <c r="AC111" i="24"/>
  <c r="AC112" i="24"/>
  <c r="AC113" i="24"/>
  <c r="AC114" i="24"/>
  <c r="AC115" i="24"/>
  <c r="AC116" i="24"/>
  <c r="AC117" i="24"/>
  <c r="AC118" i="24"/>
  <c r="AC119" i="24"/>
  <c r="AC120" i="24"/>
  <c r="AC121" i="24"/>
  <c r="AC122" i="24"/>
  <c r="AC123" i="24"/>
  <c r="AC124" i="24"/>
  <c r="AC125" i="24"/>
  <c r="AC126" i="24"/>
  <c r="AC127" i="24"/>
  <c r="AC128" i="24"/>
  <c r="AC129" i="24"/>
  <c r="AC130" i="24"/>
  <c r="AC131" i="24"/>
  <c r="AC132" i="24"/>
  <c r="AC133" i="24"/>
  <c r="AC134" i="24"/>
  <c r="AC135" i="24"/>
  <c r="AA8" i="24"/>
  <c r="AB8" i="24" s="1"/>
  <c r="AB99" i="24"/>
  <c r="AC99" i="24" s="1"/>
  <c r="AB98" i="24"/>
  <c r="AC98" i="24" s="1"/>
  <c r="AB97" i="24"/>
  <c r="AC97" i="24" s="1"/>
  <c r="AB96" i="24"/>
  <c r="AC96" i="24" s="1"/>
  <c r="AB95" i="24"/>
  <c r="AC95" i="24" s="1"/>
  <c r="AB94" i="24"/>
  <c r="AC94" i="24" s="1"/>
  <c r="AB93" i="24"/>
  <c r="AC93" i="24" s="1"/>
  <c r="AB92" i="24"/>
  <c r="AC92" i="24" s="1"/>
  <c r="AB91" i="24"/>
  <c r="AC91" i="24" s="1"/>
  <c r="AB90" i="24"/>
  <c r="AC90" i="24" s="1"/>
  <c r="AB89" i="24"/>
  <c r="AC89" i="24" s="1"/>
  <c r="AB88" i="24"/>
  <c r="AC88" i="24" s="1"/>
  <c r="AB87" i="24"/>
  <c r="AC87" i="24" s="1"/>
  <c r="AB86" i="24"/>
  <c r="AC86" i="24" s="1"/>
  <c r="AB85" i="24"/>
  <c r="AC85" i="24" s="1"/>
  <c r="AB84" i="24"/>
  <c r="AC84" i="24" s="1"/>
  <c r="AB83" i="24"/>
  <c r="AC83" i="24" s="1"/>
  <c r="AB82" i="24"/>
  <c r="AC82" i="24" s="1"/>
  <c r="AB81" i="24"/>
  <c r="AC81" i="24" s="1"/>
  <c r="AB80" i="24"/>
  <c r="AC80" i="24" s="1"/>
  <c r="AB79" i="24"/>
  <c r="AC79" i="24" s="1"/>
  <c r="AB78" i="24"/>
  <c r="AC78" i="24" s="1"/>
  <c r="AB77" i="24"/>
  <c r="AC77" i="24" s="1"/>
  <c r="AB76" i="24"/>
  <c r="AC76" i="24" s="1"/>
  <c r="AB75" i="24"/>
  <c r="AC75" i="24" s="1"/>
  <c r="AB74" i="24"/>
  <c r="AC74" i="24" s="1"/>
  <c r="AB73" i="24"/>
  <c r="AC73" i="24" s="1"/>
  <c r="AB72" i="24"/>
  <c r="AB71" i="24"/>
  <c r="AC71" i="24" s="1"/>
  <c r="AB70" i="24"/>
  <c r="AB69" i="24"/>
  <c r="AB68" i="24"/>
  <c r="AB67" i="24"/>
  <c r="AC67" i="24" s="1"/>
  <c r="AB66" i="24"/>
  <c r="AC66" i="24" s="1"/>
  <c r="AB65" i="24"/>
  <c r="AC65" i="24" s="1"/>
  <c r="AB64" i="24"/>
  <c r="AC64" i="24" s="1"/>
  <c r="AB63" i="24"/>
  <c r="AC63" i="24" s="1"/>
  <c r="AB62" i="24"/>
  <c r="AC62" i="24" s="1"/>
  <c r="AB61" i="24"/>
  <c r="AC61" i="24" s="1"/>
  <c r="AB59" i="24"/>
  <c r="AB58" i="24"/>
  <c r="AC58" i="24" s="1"/>
  <c r="AB57" i="24"/>
  <c r="AC57" i="24" s="1"/>
  <c r="AB56" i="24"/>
  <c r="AC56" i="24" s="1"/>
  <c r="AB55" i="24"/>
  <c r="AC55" i="24" s="1"/>
  <c r="AB54" i="24"/>
  <c r="AC54" i="24" s="1"/>
  <c r="AB52" i="24"/>
  <c r="AC52" i="24" s="1"/>
  <c r="AB51" i="24"/>
  <c r="AC51" i="24" s="1"/>
  <c r="AB50" i="24"/>
  <c r="AC50" i="24" s="1"/>
  <c r="AB49" i="24"/>
  <c r="AC49" i="24" s="1"/>
  <c r="AB48" i="24"/>
  <c r="AC48" i="24" s="1"/>
  <c r="AB47" i="24"/>
  <c r="AC47" i="24" s="1"/>
  <c r="AB46" i="24"/>
  <c r="AC46" i="24" s="1"/>
  <c r="AB45" i="24"/>
  <c r="AC45" i="24" s="1"/>
  <c r="AB44" i="24"/>
  <c r="AC44" i="24" s="1"/>
  <c r="AB43" i="24"/>
  <c r="AC43" i="24" s="1"/>
  <c r="AB42" i="24"/>
  <c r="AC42" i="24" s="1"/>
  <c r="AB41" i="24"/>
  <c r="AC41" i="24" s="1"/>
  <c r="AB40" i="24"/>
  <c r="AC40" i="24" s="1"/>
  <c r="AB39" i="24"/>
  <c r="AB38" i="24"/>
  <c r="AC38" i="24" s="1"/>
  <c r="AB37" i="24"/>
  <c r="AC37" i="24" s="1"/>
  <c r="AB36" i="24"/>
  <c r="AC36" i="24" s="1"/>
  <c r="AB35" i="24"/>
  <c r="AC35" i="24" s="1"/>
  <c r="AB34" i="24"/>
  <c r="AC34" i="24" s="1"/>
  <c r="AB33" i="24"/>
  <c r="AC33" i="24" s="1"/>
  <c r="AB32" i="24"/>
  <c r="AC32" i="24" s="1"/>
  <c r="AB31" i="24"/>
  <c r="AC31" i="24" s="1"/>
  <c r="AB30" i="24"/>
  <c r="AC30" i="24" s="1"/>
  <c r="AB29" i="24"/>
  <c r="AC29" i="24" s="1"/>
  <c r="AB28" i="24"/>
  <c r="AC28" i="24" s="1"/>
  <c r="AB27" i="24"/>
  <c r="AC27" i="24" s="1"/>
  <c r="AB26" i="24"/>
  <c r="AC26" i="24" s="1"/>
  <c r="AB25" i="24"/>
  <c r="AC25" i="24" s="1"/>
  <c r="AB23" i="24"/>
  <c r="AC23" i="24" s="1"/>
  <c r="AB21" i="24"/>
  <c r="AC21" i="24" s="1"/>
  <c r="AB20" i="24"/>
  <c r="AC20" i="24" s="1"/>
  <c r="AB19" i="24"/>
  <c r="AB18" i="24"/>
  <c r="AB16" i="24"/>
  <c r="AC16" i="24" s="1"/>
  <c r="AB14" i="24"/>
  <c r="AC14" i="24" s="1"/>
  <c r="AB13" i="24"/>
  <c r="AC13" i="24" s="1"/>
  <c r="AB12" i="24"/>
  <c r="AC12" i="24" s="1"/>
  <c r="AB11" i="24"/>
  <c r="AC11" i="24" s="1"/>
  <c r="AB9" i="24"/>
  <c r="AC9" i="24" s="1"/>
  <c r="AB7" i="24"/>
  <c r="AB6" i="24"/>
  <c r="AC6" i="24" s="1"/>
  <c r="AB5" i="24"/>
  <c r="AC5" i="24" s="1"/>
  <c r="AB4" i="24"/>
  <c r="AC4" i="24" s="1"/>
  <c r="AB3" i="24"/>
  <c r="AC3" i="24" s="1"/>
  <c r="V146" i="24"/>
  <c r="U146" i="24"/>
  <c r="U145" i="24"/>
  <c r="J145" i="24"/>
  <c r="V145" i="24" s="1"/>
  <c r="U144" i="24"/>
  <c r="J144" i="24"/>
  <c r="V144" i="24" s="1"/>
  <c r="U143" i="24"/>
  <c r="J143" i="24"/>
  <c r="V143" i="24" s="1"/>
  <c r="U142" i="24"/>
  <c r="J142" i="24"/>
  <c r="V142" i="24" s="1"/>
  <c r="U141" i="24"/>
  <c r="J141" i="24"/>
  <c r="V141" i="24" s="1"/>
  <c r="U140" i="24"/>
  <c r="J140" i="24"/>
  <c r="V140" i="24" s="1"/>
  <c r="U139" i="24"/>
  <c r="J139" i="24"/>
  <c r="V139" i="24" s="1"/>
  <c r="U138" i="24"/>
  <c r="J138" i="24"/>
  <c r="V138" i="24" s="1"/>
  <c r="U137" i="24"/>
  <c r="J137" i="24"/>
  <c r="V137" i="24" s="1"/>
  <c r="U136" i="24"/>
  <c r="J136" i="24"/>
  <c r="V136" i="24" s="1"/>
  <c r="U135" i="24"/>
  <c r="J135" i="24"/>
  <c r="V135" i="24" s="1"/>
  <c r="U134" i="24"/>
  <c r="J134" i="24"/>
  <c r="V134" i="24" s="1"/>
  <c r="V133" i="24"/>
  <c r="U133" i="24"/>
  <c r="J133" i="24"/>
  <c r="U132" i="24"/>
  <c r="J132" i="24"/>
  <c r="V132" i="24" s="1"/>
  <c r="U131" i="24"/>
  <c r="J131" i="24"/>
  <c r="V131" i="24" s="1"/>
  <c r="U130" i="24"/>
  <c r="J130" i="24"/>
  <c r="V130" i="24" s="1"/>
  <c r="U129" i="24"/>
  <c r="J129" i="24"/>
  <c r="V129" i="24" s="1"/>
  <c r="U128" i="24"/>
  <c r="J128" i="24"/>
  <c r="V128" i="24" s="1"/>
  <c r="U127" i="24"/>
  <c r="J127" i="24"/>
  <c r="V127" i="24" s="1"/>
  <c r="U126" i="24"/>
  <c r="J126" i="24"/>
  <c r="V126" i="24" s="1"/>
  <c r="U125" i="24"/>
  <c r="J125" i="24"/>
  <c r="V125" i="24" s="1"/>
  <c r="U124" i="24"/>
  <c r="J124" i="24"/>
  <c r="V124" i="24" s="1"/>
  <c r="U123" i="24"/>
  <c r="J123" i="24"/>
  <c r="V123" i="24" s="1"/>
  <c r="U122" i="24"/>
  <c r="J122" i="24"/>
  <c r="V122" i="24" s="1"/>
  <c r="V121" i="24"/>
  <c r="U121" i="24"/>
  <c r="J121" i="24"/>
  <c r="U120" i="24"/>
  <c r="J120" i="24"/>
  <c r="V120" i="24" s="1"/>
  <c r="U119" i="24"/>
  <c r="J119" i="24"/>
  <c r="V119" i="24" s="1"/>
  <c r="U118" i="24"/>
  <c r="J118" i="24"/>
  <c r="V118" i="24" s="1"/>
  <c r="U117" i="24"/>
  <c r="J117" i="24"/>
  <c r="V117" i="24" s="1"/>
  <c r="U116" i="24"/>
  <c r="J116" i="24"/>
  <c r="V116" i="24" s="1"/>
  <c r="U115" i="24"/>
  <c r="J115" i="24"/>
  <c r="V115" i="24" s="1"/>
  <c r="U114" i="24"/>
  <c r="J114" i="24"/>
  <c r="V114" i="24" s="1"/>
  <c r="U113" i="24"/>
  <c r="J113" i="24"/>
  <c r="V113" i="24" s="1"/>
  <c r="U112" i="24"/>
  <c r="J112" i="24"/>
  <c r="V112" i="24" s="1"/>
  <c r="U111" i="24"/>
  <c r="J111" i="24"/>
  <c r="V111" i="24" s="1"/>
  <c r="U110" i="24"/>
  <c r="J110" i="24"/>
  <c r="V110" i="24" s="1"/>
  <c r="U109" i="24"/>
  <c r="J109" i="24"/>
  <c r="V109" i="24" s="1"/>
  <c r="U108" i="24"/>
  <c r="J108" i="24"/>
  <c r="V108" i="24" s="1"/>
  <c r="U107" i="24"/>
  <c r="J107" i="24"/>
  <c r="V107" i="24" s="1"/>
  <c r="U106" i="24"/>
  <c r="J106" i="24"/>
  <c r="V106" i="24" s="1"/>
  <c r="V105" i="24"/>
  <c r="U105" i="24"/>
  <c r="J105" i="24"/>
  <c r="U104" i="24"/>
  <c r="J104" i="24"/>
  <c r="V104" i="24" s="1"/>
  <c r="U103" i="24"/>
  <c r="J103" i="24"/>
  <c r="V103" i="24" s="1"/>
  <c r="U102" i="24"/>
  <c r="J102" i="24"/>
  <c r="V102" i="24" s="1"/>
  <c r="V101" i="24"/>
  <c r="U101" i="24"/>
  <c r="J101" i="24"/>
  <c r="U100" i="24"/>
  <c r="J100" i="24"/>
  <c r="V100" i="24" s="1"/>
  <c r="U99" i="24"/>
  <c r="J99" i="24"/>
  <c r="V99" i="24" s="1"/>
  <c r="U98" i="24"/>
  <c r="J98" i="24"/>
  <c r="E98" i="24"/>
  <c r="U97" i="24"/>
  <c r="H97" i="24"/>
  <c r="J97" i="24" s="1"/>
  <c r="E97" i="24"/>
  <c r="U96" i="24"/>
  <c r="H96" i="24"/>
  <c r="J96" i="24" s="1"/>
  <c r="E96" i="24"/>
  <c r="U95" i="24"/>
  <c r="H95" i="24"/>
  <c r="J95" i="24" s="1"/>
  <c r="E95" i="24"/>
  <c r="U94" i="24"/>
  <c r="H94" i="24"/>
  <c r="J94" i="24" s="1"/>
  <c r="E94" i="24"/>
  <c r="U93" i="24"/>
  <c r="H93" i="24"/>
  <c r="J93" i="24" s="1"/>
  <c r="E93" i="24"/>
  <c r="U92" i="24"/>
  <c r="J92" i="24"/>
  <c r="E92" i="24"/>
  <c r="U91" i="24"/>
  <c r="H91" i="24"/>
  <c r="J91" i="24" s="1"/>
  <c r="E91" i="24"/>
  <c r="U90" i="24"/>
  <c r="G90" i="24"/>
  <c r="H90" i="24" s="1"/>
  <c r="J90" i="24" s="1"/>
  <c r="V90" i="24" s="1"/>
  <c r="E90" i="24"/>
  <c r="U89" i="24"/>
  <c r="G89" i="24"/>
  <c r="H89" i="24" s="1"/>
  <c r="J89" i="24" s="1"/>
  <c r="E89" i="24"/>
  <c r="U88" i="24"/>
  <c r="K88" i="24"/>
  <c r="G88" i="24"/>
  <c r="H88" i="24" s="1"/>
  <c r="J88" i="24" s="1"/>
  <c r="E88" i="24"/>
  <c r="U87" i="24"/>
  <c r="H87" i="24"/>
  <c r="J87" i="24" s="1"/>
  <c r="E87" i="24"/>
  <c r="U86" i="24"/>
  <c r="H86" i="24"/>
  <c r="J86" i="24" s="1"/>
  <c r="E86" i="24"/>
  <c r="U85" i="24"/>
  <c r="V85" i="24" s="1"/>
  <c r="J85" i="24"/>
  <c r="E85" i="24"/>
  <c r="U84" i="24"/>
  <c r="H84" i="24"/>
  <c r="J84" i="24" s="1"/>
  <c r="V84" i="24" s="1"/>
  <c r="E84" i="24"/>
  <c r="L83" i="24"/>
  <c r="K83" i="24"/>
  <c r="U83" i="24" s="1"/>
  <c r="H83" i="24"/>
  <c r="E83" i="24"/>
  <c r="U82" i="24"/>
  <c r="G82" i="24"/>
  <c r="H82" i="24" s="1"/>
  <c r="J82" i="24" s="1"/>
  <c r="E82" i="24"/>
  <c r="U81" i="24"/>
  <c r="J81" i="24"/>
  <c r="H81" i="24"/>
  <c r="E81" i="24"/>
  <c r="L80" i="24"/>
  <c r="K80" i="24"/>
  <c r="U80" i="24" s="1"/>
  <c r="H80" i="24"/>
  <c r="J80" i="24" s="1"/>
  <c r="E80" i="24"/>
  <c r="U79" i="24"/>
  <c r="J79" i="24"/>
  <c r="E79" i="24"/>
  <c r="U78" i="24"/>
  <c r="J78" i="24"/>
  <c r="E78" i="24"/>
  <c r="U77" i="24"/>
  <c r="J77" i="24"/>
  <c r="V77" i="24" s="1"/>
  <c r="E77" i="24"/>
  <c r="U76" i="24"/>
  <c r="J76" i="24"/>
  <c r="E76" i="24"/>
  <c r="L75" i="24"/>
  <c r="U75" i="24" s="1"/>
  <c r="H75" i="24"/>
  <c r="J75" i="24" s="1"/>
  <c r="E75" i="24"/>
  <c r="L74" i="24"/>
  <c r="U74" i="24" s="1"/>
  <c r="H74" i="24"/>
  <c r="J74" i="24" s="1"/>
  <c r="E74" i="24"/>
  <c r="L73" i="24"/>
  <c r="U73" i="24" s="1"/>
  <c r="H73" i="24"/>
  <c r="J73" i="24" s="1"/>
  <c r="V73" i="24" s="1"/>
  <c r="E73" i="24"/>
  <c r="U72" i="24"/>
  <c r="J72" i="24"/>
  <c r="E72" i="24"/>
  <c r="U71" i="24"/>
  <c r="G71" i="24"/>
  <c r="H71" i="24" s="1"/>
  <c r="J71" i="24" s="1"/>
  <c r="E71" i="24"/>
  <c r="K70" i="24"/>
  <c r="U70" i="24" s="1"/>
  <c r="G70" i="24"/>
  <c r="H70" i="24" s="1"/>
  <c r="J70" i="24" s="1"/>
  <c r="E70" i="24"/>
  <c r="U69" i="24"/>
  <c r="J69" i="24"/>
  <c r="V69" i="24" s="1"/>
  <c r="E69" i="24"/>
  <c r="K68" i="24"/>
  <c r="U68" i="24" s="1"/>
  <c r="J68" i="24"/>
  <c r="E68" i="24"/>
  <c r="U67" i="24"/>
  <c r="H67" i="24"/>
  <c r="J67" i="24" s="1"/>
  <c r="V67" i="24" s="1"/>
  <c r="E67" i="24"/>
  <c r="U66" i="24"/>
  <c r="J66" i="24"/>
  <c r="E66" i="24"/>
  <c r="U65" i="24"/>
  <c r="J65" i="24"/>
  <c r="E65" i="24"/>
  <c r="U64" i="24"/>
  <c r="H64" i="24"/>
  <c r="J64" i="24" s="1"/>
  <c r="V64" i="24" s="1"/>
  <c r="E64" i="24"/>
  <c r="L63" i="24"/>
  <c r="U63" i="24" s="1"/>
  <c r="H63" i="24"/>
  <c r="J63" i="24" s="1"/>
  <c r="V63" i="24" s="1"/>
  <c r="E63" i="24"/>
  <c r="L62" i="24"/>
  <c r="U62" i="24" s="1"/>
  <c r="H62" i="24"/>
  <c r="J62" i="24" s="1"/>
  <c r="E62" i="24"/>
  <c r="L61" i="24"/>
  <c r="U61" i="24" s="1"/>
  <c r="J61" i="24"/>
  <c r="V61" i="24" s="1"/>
  <c r="Q60" i="24"/>
  <c r="U60" i="24" s="1"/>
  <c r="P60" i="24"/>
  <c r="L60" i="24"/>
  <c r="K60" i="24"/>
  <c r="H60" i="24"/>
  <c r="J60" i="24" s="1"/>
  <c r="E60" i="24"/>
  <c r="R59" i="24"/>
  <c r="Q59" i="24"/>
  <c r="P59" i="24"/>
  <c r="L59" i="24"/>
  <c r="K59" i="24"/>
  <c r="H59" i="24"/>
  <c r="J59" i="24" s="1"/>
  <c r="E59" i="24"/>
  <c r="K58" i="24"/>
  <c r="U58" i="24" s="1"/>
  <c r="J58" i="24"/>
  <c r="E58" i="24"/>
  <c r="M57" i="24"/>
  <c r="U57" i="24" s="1"/>
  <c r="H57" i="24"/>
  <c r="J57" i="24" s="1"/>
  <c r="G57" i="24"/>
  <c r="E57" i="24"/>
  <c r="M56" i="24"/>
  <c r="U56" i="24" s="1"/>
  <c r="G56" i="24"/>
  <c r="H56" i="24" s="1"/>
  <c r="J56" i="24" s="1"/>
  <c r="E56" i="24"/>
  <c r="U55" i="24"/>
  <c r="H55" i="24"/>
  <c r="J55" i="24" s="1"/>
  <c r="E55" i="24"/>
  <c r="U54" i="24"/>
  <c r="H54" i="24"/>
  <c r="J54" i="24" s="1"/>
  <c r="V54" i="24" s="1"/>
  <c r="E54" i="24"/>
  <c r="R53" i="24"/>
  <c r="Q53" i="24"/>
  <c r="P53" i="24"/>
  <c r="U53" i="24" s="1"/>
  <c r="M53" i="24"/>
  <c r="L53" i="24"/>
  <c r="K53" i="24"/>
  <c r="H53" i="24"/>
  <c r="J53" i="24" s="1"/>
  <c r="E53" i="24"/>
  <c r="U52" i="24"/>
  <c r="J52" i="24"/>
  <c r="E52" i="24"/>
  <c r="U51" i="24"/>
  <c r="J51" i="24"/>
  <c r="E51" i="24"/>
  <c r="U50" i="24"/>
  <c r="J50" i="24"/>
  <c r="E50" i="24"/>
  <c r="U49" i="24"/>
  <c r="H49" i="24"/>
  <c r="J49" i="24" s="1"/>
  <c r="E49" i="24"/>
  <c r="N48" i="24"/>
  <c r="M48" i="24"/>
  <c r="L48" i="24"/>
  <c r="K48" i="24"/>
  <c r="U48" i="24" s="1"/>
  <c r="H48" i="24"/>
  <c r="J48" i="24" s="1"/>
  <c r="E48" i="24"/>
  <c r="U47" i="24"/>
  <c r="V47" i="24" s="1"/>
  <c r="J47" i="24"/>
  <c r="E47" i="24"/>
  <c r="U46" i="24"/>
  <c r="H46" i="24"/>
  <c r="J46" i="24" s="1"/>
  <c r="E46" i="24"/>
  <c r="M45" i="24"/>
  <c r="U45" i="24" s="1"/>
  <c r="H45" i="24"/>
  <c r="J45" i="24" s="1"/>
  <c r="G45" i="24"/>
  <c r="E45" i="24"/>
  <c r="M44" i="24"/>
  <c r="U44" i="24" s="1"/>
  <c r="G44" i="24"/>
  <c r="H44" i="24" s="1"/>
  <c r="J44" i="24" s="1"/>
  <c r="E44" i="24"/>
  <c r="U43" i="24"/>
  <c r="H43" i="24"/>
  <c r="J43" i="24" s="1"/>
  <c r="E43" i="24"/>
  <c r="U42" i="24"/>
  <c r="H42" i="24"/>
  <c r="J42" i="24" s="1"/>
  <c r="E42" i="24"/>
  <c r="R41" i="24"/>
  <c r="M41" i="24"/>
  <c r="U41" i="24" s="1"/>
  <c r="G41" i="24"/>
  <c r="H41" i="24" s="1"/>
  <c r="J41" i="24" s="1"/>
  <c r="E41" i="24"/>
  <c r="U40" i="24"/>
  <c r="V40" i="24" s="1"/>
  <c r="J40" i="24"/>
  <c r="E40" i="24"/>
  <c r="U39" i="24"/>
  <c r="R39" i="24"/>
  <c r="Q39" i="24"/>
  <c r="P39" i="24"/>
  <c r="L39" i="24"/>
  <c r="K39" i="24"/>
  <c r="J39" i="24"/>
  <c r="E39" i="24"/>
  <c r="U38" i="24"/>
  <c r="J38" i="24"/>
  <c r="E38" i="24"/>
  <c r="U37" i="24"/>
  <c r="G37" i="24"/>
  <c r="H37" i="24" s="1"/>
  <c r="J37" i="24" s="1"/>
  <c r="E37" i="24"/>
  <c r="R36" i="24"/>
  <c r="Q36" i="24"/>
  <c r="P36" i="24"/>
  <c r="U36" i="24" s="1"/>
  <c r="O36" i="24"/>
  <c r="M36" i="24"/>
  <c r="L36" i="24"/>
  <c r="K36" i="24"/>
  <c r="H36" i="24"/>
  <c r="J36" i="24" s="1"/>
  <c r="V36" i="24" s="1"/>
  <c r="E36" i="24"/>
  <c r="N35" i="24"/>
  <c r="M35" i="24"/>
  <c r="U35" i="24" s="1"/>
  <c r="L35" i="24"/>
  <c r="K35" i="24"/>
  <c r="H35" i="24"/>
  <c r="J35" i="24" s="1"/>
  <c r="E35" i="24"/>
  <c r="U34" i="24"/>
  <c r="R34" i="24"/>
  <c r="M34" i="24"/>
  <c r="H34" i="24"/>
  <c r="J34" i="24" s="1"/>
  <c r="E34" i="24"/>
  <c r="T33" i="24"/>
  <c r="S33" i="24"/>
  <c r="R33" i="24"/>
  <c r="Q33" i="24"/>
  <c r="P33" i="24"/>
  <c r="U33" i="24" s="1"/>
  <c r="J33" i="24"/>
  <c r="E33" i="24"/>
  <c r="M32" i="24"/>
  <c r="K32" i="24"/>
  <c r="U32" i="24" s="1"/>
  <c r="G32" i="24"/>
  <c r="H32" i="24" s="1"/>
  <c r="J32" i="24" s="1"/>
  <c r="V32" i="24" s="1"/>
  <c r="E32" i="24"/>
  <c r="K31" i="24"/>
  <c r="U31" i="24" s="1"/>
  <c r="V31" i="24" s="1"/>
  <c r="H31" i="24"/>
  <c r="J31" i="24" s="1"/>
  <c r="E31" i="24"/>
  <c r="L30" i="24"/>
  <c r="K30" i="24"/>
  <c r="U30" i="24" s="1"/>
  <c r="G30" i="24"/>
  <c r="H30" i="24" s="1"/>
  <c r="J30" i="24" s="1"/>
  <c r="E30" i="24"/>
  <c r="L29" i="24"/>
  <c r="K29" i="24"/>
  <c r="U29" i="24" s="1"/>
  <c r="H29" i="24"/>
  <c r="J29" i="24" s="1"/>
  <c r="E29" i="24"/>
  <c r="L28" i="24"/>
  <c r="U28" i="24" s="1"/>
  <c r="V28" i="24" s="1"/>
  <c r="K28" i="24"/>
  <c r="J28" i="24"/>
  <c r="E28" i="24"/>
  <c r="L27" i="24"/>
  <c r="K27" i="24"/>
  <c r="U27" i="24" s="1"/>
  <c r="H27" i="24"/>
  <c r="J27" i="24" s="1"/>
  <c r="E27" i="24"/>
  <c r="T26" i="24"/>
  <c r="S26" i="24"/>
  <c r="R26" i="24"/>
  <c r="Q26" i="24"/>
  <c r="P26" i="24"/>
  <c r="L26" i="24"/>
  <c r="K26" i="24"/>
  <c r="H26" i="24"/>
  <c r="J26" i="24" s="1"/>
  <c r="E26" i="24"/>
  <c r="L25" i="24"/>
  <c r="K25" i="24"/>
  <c r="U25" i="24" s="1"/>
  <c r="J25" i="24"/>
  <c r="E25" i="24"/>
  <c r="T24" i="24"/>
  <c r="S24" i="24"/>
  <c r="R24" i="24"/>
  <c r="Q24" i="24"/>
  <c r="P24" i="24"/>
  <c r="M24" i="24"/>
  <c r="L24" i="24"/>
  <c r="K24" i="24"/>
  <c r="U24" i="24" s="1"/>
  <c r="H24" i="24"/>
  <c r="J24" i="24" s="1"/>
  <c r="E24" i="24"/>
  <c r="U23" i="24"/>
  <c r="K23" i="24"/>
  <c r="J23" i="24"/>
  <c r="E23" i="24"/>
  <c r="U22" i="24"/>
  <c r="V22" i="24" s="1"/>
  <c r="T22" i="24"/>
  <c r="S22" i="24"/>
  <c r="R22" i="24"/>
  <c r="Q22" i="24"/>
  <c r="P22" i="24"/>
  <c r="N22" i="24"/>
  <c r="L22" i="24"/>
  <c r="K22" i="24"/>
  <c r="H22" i="24"/>
  <c r="J22" i="24" s="1"/>
  <c r="E22" i="24"/>
  <c r="U21" i="24"/>
  <c r="T21" i="24"/>
  <c r="S21" i="24"/>
  <c r="R21" i="24"/>
  <c r="Q21" i="24"/>
  <c r="P21" i="24"/>
  <c r="L21" i="24"/>
  <c r="K21" i="24"/>
  <c r="H21" i="24"/>
  <c r="J21" i="24" s="1"/>
  <c r="E21" i="24"/>
  <c r="U20" i="24"/>
  <c r="T20" i="24"/>
  <c r="S20" i="24"/>
  <c r="Q20" i="24"/>
  <c r="P20" i="24"/>
  <c r="K20" i="24"/>
  <c r="J20" i="24"/>
  <c r="E20" i="24"/>
  <c r="T19" i="24"/>
  <c r="Q19" i="24"/>
  <c r="P19" i="24"/>
  <c r="U19" i="24" s="1"/>
  <c r="K19" i="24"/>
  <c r="J19" i="24"/>
  <c r="E19" i="24"/>
  <c r="T18" i="24"/>
  <c r="R18" i="24"/>
  <c r="Q18" i="24"/>
  <c r="P18" i="24"/>
  <c r="K18" i="24"/>
  <c r="U18" i="24" s="1"/>
  <c r="J18" i="24"/>
  <c r="E18" i="24"/>
  <c r="T17" i="24"/>
  <c r="Q17" i="24"/>
  <c r="P17" i="24"/>
  <c r="U17" i="24" s="1"/>
  <c r="H17" i="24"/>
  <c r="J17" i="24" s="1"/>
  <c r="V17" i="24" s="1"/>
  <c r="E17" i="24"/>
  <c r="U16" i="24"/>
  <c r="V16" i="24" s="1"/>
  <c r="T16" i="24"/>
  <c r="R16" i="24"/>
  <c r="Q16" i="24"/>
  <c r="P16" i="24"/>
  <c r="H16" i="24"/>
  <c r="J16" i="24" s="1"/>
  <c r="E16" i="24"/>
  <c r="U15" i="24"/>
  <c r="T15" i="24"/>
  <c r="S15" i="24"/>
  <c r="R15" i="24"/>
  <c r="Q15" i="24"/>
  <c r="P15" i="24"/>
  <c r="K15" i="24"/>
  <c r="H15" i="24"/>
  <c r="J15" i="24" s="1"/>
  <c r="E15" i="24"/>
  <c r="T14" i="24"/>
  <c r="Q14" i="24"/>
  <c r="P14" i="24"/>
  <c r="U14" i="24" s="1"/>
  <c r="K14" i="24"/>
  <c r="J14" i="24"/>
  <c r="E14" i="24"/>
  <c r="T13" i="24"/>
  <c r="R13" i="24"/>
  <c r="Q13" i="24"/>
  <c r="P13" i="24"/>
  <c r="K13" i="24"/>
  <c r="U13" i="24" s="1"/>
  <c r="J13" i="24"/>
  <c r="E13" i="24"/>
  <c r="T12" i="24"/>
  <c r="S12" i="24"/>
  <c r="R12" i="24"/>
  <c r="Q12" i="24"/>
  <c r="P12" i="24"/>
  <c r="M12" i="24"/>
  <c r="U12" i="24" s="1"/>
  <c r="J12" i="24"/>
  <c r="V12" i="24" s="1"/>
  <c r="E12" i="24"/>
  <c r="T11" i="24"/>
  <c r="R11" i="24"/>
  <c r="Q11" i="24"/>
  <c r="P11" i="24"/>
  <c r="O11" i="24"/>
  <c r="N11" i="24"/>
  <c r="L11" i="24"/>
  <c r="K11" i="24"/>
  <c r="H11" i="24"/>
  <c r="J11" i="24" s="1"/>
  <c r="E11" i="24"/>
  <c r="T10" i="24"/>
  <c r="R10" i="24"/>
  <c r="Q10" i="24"/>
  <c r="P10" i="24"/>
  <c r="U10" i="24" s="1"/>
  <c r="O10" i="24"/>
  <c r="H10" i="24"/>
  <c r="J10" i="24" s="1"/>
  <c r="E10" i="24"/>
  <c r="R9" i="24"/>
  <c r="Q9" i="24"/>
  <c r="P9" i="24"/>
  <c r="L9" i="24"/>
  <c r="K9" i="24"/>
  <c r="J9" i="24"/>
  <c r="E9" i="24"/>
  <c r="T8" i="24"/>
  <c r="R8" i="24"/>
  <c r="Q8" i="24"/>
  <c r="P8" i="24"/>
  <c r="U8" i="24" s="1"/>
  <c r="J8" i="24"/>
  <c r="E8" i="24"/>
  <c r="Q7" i="24"/>
  <c r="U7" i="24" s="1"/>
  <c r="P7" i="24"/>
  <c r="J7" i="24"/>
  <c r="E7" i="24"/>
  <c r="T6" i="24"/>
  <c r="S6" i="24"/>
  <c r="Q6" i="24"/>
  <c r="P6" i="24"/>
  <c r="U6" i="24" s="1"/>
  <c r="J6" i="24"/>
  <c r="E6" i="24"/>
  <c r="T5" i="24"/>
  <c r="S5" i="24"/>
  <c r="Q5" i="24"/>
  <c r="P5" i="24"/>
  <c r="U5" i="24" s="1"/>
  <c r="J5" i="24"/>
  <c r="E5" i="24"/>
  <c r="U4" i="24"/>
  <c r="S4" i="24"/>
  <c r="Q4" i="24"/>
  <c r="P4" i="24"/>
  <c r="J4" i="24"/>
  <c r="E4" i="24"/>
  <c r="T3" i="24"/>
  <c r="S3" i="24"/>
  <c r="R3" i="24"/>
  <c r="Q3" i="24"/>
  <c r="U3" i="24" s="1"/>
  <c r="P3" i="24"/>
  <c r="K3" i="24"/>
  <c r="H3" i="24"/>
  <c r="J3" i="24" s="1"/>
  <c r="E3" i="24"/>
  <c r="U33" i="23"/>
  <c r="V5" i="24" l="1"/>
  <c r="V25" i="24"/>
  <c r="V33" i="24"/>
  <c r="V42" i="24"/>
  <c r="V55" i="24"/>
  <c r="V37" i="24"/>
  <c r="V43" i="24"/>
  <c r="V88" i="24"/>
  <c r="V8" i="24"/>
  <c r="AC8" i="24" s="1"/>
  <c r="V18" i="24"/>
  <c r="AC18" i="24" s="1"/>
  <c r="V50" i="24"/>
  <c r="V81" i="24"/>
  <c r="V92" i="24"/>
  <c r="V66" i="24"/>
  <c r="V38" i="24"/>
  <c r="V82" i="24"/>
  <c r="V97" i="24"/>
  <c r="V34" i="24"/>
  <c r="V45" i="24"/>
  <c r="V52" i="24"/>
  <c r="V94" i="24"/>
  <c r="V98" i="24"/>
  <c r="V76" i="24"/>
  <c r="V80" i="24"/>
  <c r="V51" i="24"/>
  <c r="V4" i="24"/>
  <c r="V20" i="24"/>
  <c r="V27" i="24"/>
  <c r="V95" i="24"/>
  <c r="V3" i="24"/>
  <c r="V21" i="24"/>
  <c r="V29" i="24"/>
  <c r="V39" i="24"/>
  <c r="AC39" i="24" s="1"/>
  <c r="V48" i="24"/>
  <c r="V62" i="24"/>
  <c r="V70" i="24"/>
  <c r="V74" i="24"/>
  <c r="V78" i="24"/>
  <c r="AB15" i="24"/>
  <c r="AB17" i="24"/>
  <c r="AC17" i="24" s="1"/>
  <c r="AB53" i="24"/>
  <c r="V15" i="24"/>
  <c r="V24" i="24"/>
  <c r="V46" i="24"/>
  <c r="V58" i="24"/>
  <c r="V71" i="24"/>
  <c r="V75" i="24"/>
  <c r="V79" i="24"/>
  <c r="V89" i="24"/>
  <c r="V93" i="24"/>
  <c r="V96" i="24"/>
  <c r="V86" i="24"/>
  <c r="V57" i="24"/>
  <c r="V23" i="24"/>
  <c r="V19" i="24"/>
  <c r="AC19" i="24" s="1"/>
  <c r="V7" i="24"/>
  <c r="AC7" i="24" s="1"/>
  <c r="V14" i="24"/>
  <c r="V10" i="24"/>
  <c r="V49" i="24"/>
  <c r="V53" i="24"/>
  <c r="V6" i="24"/>
  <c r="V60" i="24"/>
  <c r="V72" i="24"/>
  <c r="V87" i="24"/>
  <c r="AB10" i="24"/>
  <c r="AB22" i="24"/>
  <c r="AC22" i="24" s="1"/>
  <c r="V44" i="24"/>
  <c r="V56" i="24"/>
  <c r="V65" i="24"/>
  <c r="V91" i="24"/>
  <c r="AB24" i="24"/>
  <c r="AB60" i="24"/>
  <c r="V30" i="24"/>
  <c r="V41" i="24"/>
  <c r="U59" i="24"/>
  <c r="V59" i="24" s="1"/>
  <c r="AC59" i="24" s="1"/>
  <c r="U9" i="24"/>
  <c r="V9" i="24" s="1"/>
  <c r="V13" i="24"/>
  <c r="V35" i="24"/>
  <c r="V68" i="24"/>
  <c r="U11" i="24"/>
  <c r="V11" i="24" s="1"/>
  <c r="U26" i="24"/>
  <c r="V26" i="24" s="1"/>
  <c r="J83" i="24"/>
  <c r="V83" i="24" s="1"/>
  <c r="R24" i="23"/>
  <c r="M75" i="23"/>
  <c r="M74" i="23"/>
  <c r="Q6" i="23"/>
  <c r="Q5" i="23"/>
  <c r="AC15" i="24" l="1"/>
  <c r="AC24" i="24"/>
  <c r="AC10" i="24"/>
  <c r="AC1" i="24" s="1"/>
  <c r="AC60" i="24"/>
  <c r="AC53" i="24"/>
  <c r="E98" i="23"/>
  <c r="E97" i="23"/>
  <c r="H97" i="23"/>
  <c r="J97" i="23" s="1"/>
  <c r="H96" i="23"/>
  <c r="J96" i="23" s="1"/>
  <c r="E96" i="23"/>
  <c r="E95" i="23" l="1"/>
  <c r="H95" i="23"/>
  <c r="J95" i="23" s="1"/>
  <c r="H94" i="23" l="1"/>
  <c r="E94" i="23"/>
  <c r="S13" i="23" l="1"/>
  <c r="S18" i="23"/>
  <c r="H91" i="23" l="1"/>
  <c r="E91" i="23"/>
  <c r="O48" i="23" l="1"/>
  <c r="N48" i="23"/>
  <c r="L83" i="23" l="1"/>
  <c r="H93" i="23"/>
  <c r="E93" i="23"/>
  <c r="E92" i="23" l="1"/>
  <c r="K83" i="23" l="1"/>
  <c r="T20" i="23"/>
  <c r="T26" i="23"/>
  <c r="R33" i="23"/>
  <c r="R20" i="23"/>
  <c r="N57" i="23"/>
  <c r="N56" i="23"/>
  <c r="J92" i="23"/>
  <c r="J91" i="23" l="1"/>
  <c r="Q13" i="23"/>
  <c r="L29" i="23" l="1"/>
  <c r="Q26" i="23"/>
  <c r="U20" i="23" l="1"/>
  <c r="U26" i="23"/>
  <c r="K80" i="23"/>
  <c r="L80" i="23"/>
  <c r="S36" i="23"/>
  <c r="G90" i="23" l="1"/>
  <c r="H90" i="23" s="1"/>
  <c r="E90" i="23"/>
  <c r="M63" i="23" l="1"/>
  <c r="M62" i="23"/>
  <c r="N53" i="23"/>
  <c r="K88" i="23"/>
  <c r="V87" i="23" l="1"/>
  <c r="R26" i="23" l="1"/>
  <c r="R13" i="23"/>
  <c r="G89" i="23"/>
  <c r="H89" i="23" s="1"/>
  <c r="E89" i="23"/>
  <c r="G88" i="23"/>
  <c r="Q20" i="23" l="1"/>
  <c r="U6" i="23"/>
  <c r="T6" i="23" l="1"/>
  <c r="R6" i="23"/>
  <c r="U24" i="23"/>
  <c r="K70" i="23" l="1"/>
  <c r="H88" i="23"/>
  <c r="E88" i="23"/>
  <c r="G70" i="23"/>
  <c r="T24" i="23"/>
  <c r="H87" i="23"/>
  <c r="E87" i="23"/>
  <c r="H86" i="23"/>
  <c r="E86" i="23"/>
  <c r="K58" i="23" l="1"/>
  <c r="K58" i="21"/>
  <c r="AB9" i="21"/>
  <c r="AB5" i="21"/>
  <c r="AA8" i="21"/>
  <c r="AB8" i="21" s="1"/>
  <c r="AB146" i="21"/>
  <c r="AC146" i="21" s="1"/>
  <c r="AB145" i="21"/>
  <c r="AC145" i="21" s="1"/>
  <c r="AB144" i="21"/>
  <c r="AC144" i="21" s="1"/>
  <c r="AB143" i="21"/>
  <c r="AC143" i="21" s="1"/>
  <c r="AB142" i="21"/>
  <c r="AC142" i="21" s="1"/>
  <c r="AB141" i="21"/>
  <c r="AC141" i="21" s="1"/>
  <c r="AB140" i="21"/>
  <c r="AC140" i="21" s="1"/>
  <c r="AB139" i="21"/>
  <c r="AC139" i="21" s="1"/>
  <c r="AB138" i="21"/>
  <c r="AC138" i="21" s="1"/>
  <c r="AB137" i="21"/>
  <c r="AC137" i="21" s="1"/>
  <c r="AB136" i="21"/>
  <c r="AC136" i="21" s="1"/>
  <c r="AB135" i="21"/>
  <c r="AC135" i="21" s="1"/>
  <c r="AB134" i="21"/>
  <c r="AC134" i="21" s="1"/>
  <c r="AB133" i="21"/>
  <c r="AC133" i="21" s="1"/>
  <c r="AB132" i="21"/>
  <c r="AC132" i="21" s="1"/>
  <c r="AB131" i="21"/>
  <c r="AC131" i="21" s="1"/>
  <c r="AB130" i="21"/>
  <c r="AC130" i="21" s="1"/>
  <c r="AB129" i="21"/>
  <c r="AC129" i="21" s="1"/>
  <c r="AB128" i="21"/>
  <c r="AC128" i="21" s="1"/>
  <c r="AB127" i="21"/>
  <c r="AC127" i="21" s="1"/>
  <c r="AB126" i="21"/>
  <c r="AC126" i="21" s="1"/>
  <c r="AB125" i="21"/>
  <c r="AC125" i="21" s="1"/>
  <c r="AB124" i="21"/>
  <c r="AC124" i="21" s="1"/>
  <c r="AB123" i="21"/>
  <c r="AC123" i="21" s="1"/>
  <c r="AB122" i="21"/>
  <c r="AC122" i="21" s="1"/>
  <c r="AB121" i="21"/>
  <c r="AC121" i="21" s="1"/>
  <c r="AB120" i="21"/>
  <c r="AC120" i="21" s="1"/>
  <c r="AB119" i="21"/>
  <c r="AC119" i="21" s="1"/>
  <c r="AB118" i="21"/>
  <c r="AC118" i="21" s="1"/>
  <c r="AB117" i="21"/>
  <c r="AC117" i="21" s="1"/>
  <c r="AB116" i="21"/>
  <c r="AC116" i="21" s="1"/>
  <c r="AB115" i="21"/>
  <c r="AC115" i="21" s="1"/>
  <c r="AB114" i="21"/>
  <c r="AC114" i="21" s="1"/>
  <c r="AB113" i="21"/>
  <c r="AC113" i="21" s="1"/>
  <c r="AB112" i="21"/>
  <c r="AC112" i="21" s="1"/>
  <c r="AB111" i="21"/>
  <c r="AC111" i="21" s="1"/>
  <c r="AB110" i="21"/>
  <c r="AC110" i="21" s="1"/>
  <c r="AB109" i="21"/>
  <c r="AC109" i="21" s="1"/>
  <c r="AB108" i="21"/>
  <c r="AC108" i="21" s="1"/>
  <c r="AB107" i="21"/>
  <c r="AC107" i="21" s="1"/>
  <c r="AB106" i="21"/>
  <c r="AC106" i="21" s="1"/>
  <c r="AB105" i="21"/>
  <c r="AC105" i="21" s="1"/>
  <c r="AB104" i="21"/>
  <c r="AC104" i="21" s="1"/>
  <c r="AB103" i="21"/>
  <c r="AC103" i="21" s="1"/>
  <c r="AB102" i="21"/>
  <c r="AC102" i="21" s="1"/>
  <c r="AB101" i="21"/>
  <c r="AC101" i="21" s="1"/>
  <c r="AB100" i="21"/>
  <c r="AC100" i="21" s="1"/>
  <c r="AB99" i="21"/>
  <c r="AC99" i="21" s="1"/>
  <c r="AB98" i="21"/>
  <c r="AC98" i="21" s="1"/>
  <c r="AB97" i="21"/>
  <c r="AC97" i="21" s="1"/>
  <c r="AB96" i="21"/>
  <c r="AC96" i="21" s="1"/>
  <c r="AB95" i="21"/>
  <c r="AC95" i="21" s="1"/>
  <c r="AB94" i="21"/>
  <c r="AC94" i="21" s="1"/>
  <c r="AB93" i="21"/>
  <c r="AC93" i="21" s="1"/>
  <c r="AB92" i="21"/>
  <c r="AC92" i="21" s="1"/>
  <c r="AB91" i="21"/>
  <c r="AC91" i="21" s="1"/>
  <c r="AB90" i="21"/>
  <c r="AC90" i="21" s="1"/>
  <c r="AB89" i="21"/>
  <c r="AC89" i="21" s="1"/>
  <c r="AB88" i="21"/>
  <c r="AC88" i="21" s="1"/>
  <c r="AB87" i="21"/>
  <c r="AC87" i="21" s="1"/>
  <c r="AB86" i="21"/>
  <c r="AC86" i="21" s="1"/>
  <c r="AB85" i="21"/>
  <c r="AC85" i="21" s="1"/>
  <c r="AB84" i="21"/>
  <c r="AC84" i="21" s="1"/>
  <c r="AB83" i="21"/>
  <c r="AC83" i="21" s="1"/>
  <c r="AB82" i="21"/>
  <c r="AC82" i="21" s="1"/>
  <c r="AB81" i="21"/>
  <c r="AC81" i="21" s="1"/>
  <c r="AB80" i="21"/>
  <c r="AC80" i="21" s="1"/>
  <c r="AB79" i="21"/>
  <c r="AC79" i="21" s="1"/>
  <c r="AB78" i="21"/>
  <c r="AC78" i="21" s="1"/>
  <c r="AB77" i="21"/>
  <c r="AC77" i="21" s="1"/>
  <c r="AB76" i="21"/>
  <c r="AC76" i="21" s="1"/>
  <c r="AB75" i="21"/>
  <c r="AC75" i="21" s="1"/>
  <c r="AB74" i="21"/>
  <c r="AC74" i="21" s="1"/>
  <c r="AB73" i="21"/>
  <c r="AC73" i="21" s="1"/>
  <c r="AB72" i="21"/>
  <c r="AC72" i="21" s="1"/>
  <c r="AB71" i="21"/>
  <c r="AC71" i="21" s="1"/>
  <c r="AB70" i="21"/>
  <c r="AC70" i="21" s="1"/>
  <c r="AB69" i="21"/>
  <c r="AC69" i="21" s="1"/>
  <c r="AB68" i="21"/>
  <c r="AC68" i="21" s="1"/>
  <c r="AB67" i="21"/>
  <c r="AC67" i="21" s="1"/>
  <c r="AB66" i="21"/>
  <c r="AC66" i="21" s="1"/>
  <c r="AB65" i="21"/>
  <c r="AC65" i="21" s="1"/>
  <c r="AB64" i="21"/>
  <c r="AC64" i="21" s="1"/>
  <c r="AB63" i="21"/>
  <c r="AC63" i="21" s="1"/>
  <c r="AB62" i="21"/>
  <c r="AC62" i="21" s="1"/>
  <c r="AB61" i="21"/>
  <c r="AC61" i="21" s="1"/>
  <c r="AB60" i="21"/>
  <c r="AC60" i="21" s="1"/>
  <c r="AB59" i="21"/>
  <c r="AC59" i="21" s="1"/>
  <c r="AB58" i="21"/>
  <c r="AC58" i="21" s="1"/>
  <c r="AB57" i="21"/>
  <c r="AC57" i="21" s="1"/>
  <c r="AB56" i="21"/>
  <c r="AC56" i="21" s="1"/>
  <c r="AB55" i="21"/>
  <c r="AC55" i="21" s="1"/>
  <c r="AB54" i="21"/>
  <c r="AC54" i="21" s="1"/>
  <c r="AB52" i="21"/>
  <c r="AC52" i="21" s="1"/>
  <c r="AB51" i="21"/>
  <c r="AC51" i="21" s="1"/>
  <c r="AB50" i="21"/>
  <c r="AC50" i="21" s="1"/>
  <c r="AB49" i="21"/>
  <c r="AC49" i="21" s="1"/>
  <c r="AB48" i="21"/>
  <c r="AC48" i="21" s="1"/>
  <c r="AB47" i="21"/>
  <c r="AC47" i="21" s="1"/>
  <c r="AB46" i="21"/>
  <c r="AC46" i="21" s="1"/>
  <c r="AB45" i="21"/>
  <c r="AC45" i="21" s="1"/>
  <c r="AB44" i="21"/>
  <c r="AC44" i="21" s="1"/>
  <c r="AB43" i="21"/>
  <c r="AC43" i="21" s="1"/>
  <c r="AB42" i="21"/>
  <c r="AC42" i="21" s="1"/>
  <c r="AB41" i="21"/>
  <c r="AC41" i="21" s="1"/>
  <c r="AB40" i="21"/>
  <c r="AC40" i="21" s="1"/>
  <c r="AB39" i="21"/>
  <c r="AB38" i="21"/>
  <c r="AC38" i="21" s="1"/>
  <c r="AB37" i="21"/>
  <c r="AC37" i="21" s="1"/>
  <c r="AB35" i="21"/>
  <c r="AC35" i="21" s="1"/>
  <c r="AB34" i="21"/>
  <c r="AC34" i="21" s="1"/>
  <c r="AB33" i="21"/>
  <c r="AB32" i="21"/>
  <c r="AC32" i="21" s="1"/>
  <c r="AB31" i="21"/>
  <c r="AC31" i="21" s="1"/>
  <c r="AB30" i="21"/>
  <c r="AC30" i="21" s="1"/>
  <c r="AB29" i="21"/>
  <c r="AC29" i="21" s="1"/>
  <c r="AB28" i="21"/>
  <c r="AC28" i="21" s="1"/>
  <c r="AB27" i="21"/>
  <c r="AC27" i="21" s="1"/>
  <c r="AB25" i="21"/>
  <c r="AC25" i="21" s="1"/>
  <c r="AB23" i="21"/>
  <c r="AC23" i="21" s="1"/>
  <c r="AB20" i="21"/>
  <c r="AB19" i="21"/>
  <c r="AB18" i="21"/>
  <c r="AB14" i="21"/>
  <c r="AB13" i="21"/>
  <c r="AB12" i="21"/>
  <c r="AB7" i="21"/>
  <c r="AB6" i="21"/>
  <c r="AB4" i="21"/>
  <c r="K68" i="23"/>
  <c r="L28" i="23"/>
  <c r="W202" i="23" l="1"/>
  <c r="V202" i="23"/>
  <c r="V145" i="23"/>
  <c r="J145" i="23"/>
  <c r="V144" i="23"/>
  <c r="J144" i="23"/>
  <c r="V143" i="23"/>
  <c r="J143" i="23"/>
  <c r="V142" i="23"/>
  <c r="J142" i="23"/>
  <c r="V141" i="23"/>
  <c r="J141" i="23"/>
  <c r="V140" i="23"/>
  <c r="J140" i="23"/>
  <c r="V139" i="23"/>
  <c r="J139" i="23"/>
  <c r="V138" i="23"/>
  <c r="J138" i="23"/>
  <c r="V137" i="23"/>
  <c r="J137" i="23"/>
  <c r="V136" i="23"/>
  <c r="J136" i="23"/>
  <c r="V135" i="23"/>
  <c r="J135" i="23"/>
  <c r="V134" i="23"/>
  <c r="W134" i="23" s="1"/>
  <c r="V133" i="23"/>
  <c r="J133" i="23"/>
  <c r="V132" i="23"/>
  <c r="J132" i="23"/>
  <c r="V131" i="23"/>
  <c r="J131" i="23"/>
  <c r="V130" i="23"/>
  <c r="J130" i="23"/>
  <c r="V129" i="23"/>
  <c r="J129" i="23"/>
  <c r="V128" i="23"/>
  <c r="J128" i="23"/>
  <c r="V127" i="23"/>
  <c r="J127" i="23"/>
  <c r="V126" i="23"/>
  <c r="J126" i="23"/>
  <c r="V125" i="23"/>
  <c r="J125" i="23"/>
  <c r="V124" i="23"/>
  <c r="J124" i="23"/>
  <c r="J122" i="23"/>
  <c r="V121" i="23"/>
  <c r="J121" i="23"/>
  <c r="V120" i="23"/>
  <c r="J120" i="23"/>
  <c r="V119" i="23"/>
  <c r="J119" i="23"/>
  <c r="V118" i="23"/>
  <c r="J118" i="23"/>
  <c r="V117" i="23"/>
  <c r="J117" i="23"/>
  <c r="V116" i="23"/>
  <c r="J116" i="23"/>
  <c r="V115" i="23"/>
  <c r="J115" i="23"/>
  <c r="V114" i="23"/>
  <c r="J114" i="23"/>
  <c r="V113" i="23"/>
  <c r="J113" i="23"/>
  <c r="V112" i="23"/>
  <c r="J112" i="23"/>
  <c r="V111" i="23"/>
  <c r="J111" i="23"/>
  <c r="V110" i="23"/>
  <c r="J110" i="23"/>
  <c r="V109" i="23"/>
  <c r="J109" i="23"/>
  <c r="V108" i="23"/>
  <c r="J108" i="23"/>
  <c r="V107" i="23"/>
  <c r="J107" i="23"/>
  <c r="V106" i="23"/>
  <c r="J106" i="23"/>
  <c r="V105" i="23"/>
  <c r="J105" i="23"/>
  <c r="V104" i="23"/>
  <c r="J104" i="23"/>
  <c r="V103" i="23"/>
  <c r="J103" i="23"/>
  <c r="V102" i="23"/>
  <c r="J102" i="23"/>
  <c r="V101" i="23"/>
  <c r="J101" i="23"/>
  <c r="V100" i="23"/>
  <c r="J100" i="23"/>
  <c r="V99" i="23"/>
  <c r="J99" i="23"/>
  <c r="V98" i="23"/>
  <c r="V97" i="23"/>
  <c r="V96" i="23"/>
  <c r="V95" i="23"/>
  <c r="V94" i="23"/>
  <c r="J94" i="23"/>
  <c r="V93" i="23"/>
  <c r="J93" i="23"/>
  <c r="V92" i="23"/>
  <c r="W92" i="23" s="1"/>
  <c r="V91" i="23"/>
  <c r="W91" i="23" s="1"/>
  <c r="V90" i="23"/>
  <c r="J90" i="23"/>
  <c r="V89" i="23"/>
  <c r="J89" i="23"/>
  <c r="V88" i="23"/>
  <c r="J88" i="23"/>
  <c r="J87" i="23"/>
  <c r="V86" i="23"/>
  <c r="J86" i="23"/>
  <c r="V85" i="23"/>
  <c r="J85" i="23"/>
  <c r="E85" i="23"/>
  <c r="V84" i="23"/>
  <c r="H84" i="23"/>
  <c r="J84" i="23" s="1"/>
  <c r="E84" i="23"/>
  <c r="V83" i="23"/>
  <c r="H83" i="23"/>
  <c r="J83" i="23" s="1"/>
  <c r="E83" i="23"/>
  <c r="V82" i="23"/>
  <c r="G82" i="23"/>
  <c r="H82" i="23" s="1"/>
  <c r="J82" i="23" s="1"/>
  <c r="E82" i="23"/>
  <c r="V81" i="23"/>
  <c r="H81" i="23"/>
  <c r="J81" i="23" s="1"/>
  <c r="E81" i="23"/>
  <c r="V80" i="23"/>
  <c r="H80" i="23"/>
  <c r="J80" i="23" s="1"/>
  <c r="E80" i="23"/>
  <c r="V79" i="23"/>
  <c r="J79" i="23"/>
  <c r="E79" i="23"/>
  <c r="V78" i="23"/>
  <c r="J78" i="23"/>
  <c r="E78" i="23"/>
  <c r="V77" i="23"/>
  <c r="J77" i="23"/>
  <c r="E77" i="23"/>
  <c r="V76" i="23"/>
  <c r="J76" i="23"/>
  <c r="E76" i="23"/>
  <c r="V75" i="23"/>
  <c r="H75" i="23"/>
  <c r="J75" i="23" s="1"/>
  <c r="E75" i="23"/>
  <c r="V74" i="23"/>
  <c r="H74" i="23"/>
  <c r="J74" i="23" s="1"/>
  <c r="E74" i="23"/>
  <c r="M73" i="23"/>
  <c r="V73" i="23" s="1"/>
  <c r="H73" i="23"/>
  <c r="J73" i="23" s="1"/>
  <c r="E73" i="23"/>
  <c r="V72" i="23"/>
  <c r="J72" i="23"/>
  <c r="E72" i="23"/>
  <c r="V71" i="23"/>
  <c r="G71" i="23"/>
  <c r="H71" i="23" s="1"/>
  <c r="J71" i="23" s="1"/>
  <c r="E71" i="23"/>
  <c r="V70" i="23"/>
  <c r="H70" i="23"/>
  <c r="J70" i="23" s="1"/>
  <c r="E70" i="23"/>
  <c r="V69" i="23"/>
  <c r="J69" i="23"/>
  <c r="E69" i="23"/>
  <c r="V68" i="23"/>
  <c r="J68" i="23"/>
  <c r="E68" i="23"/>
  <c r="H67" i="23"/>
  <c r="E67" i="23"/>
  <c r="V66" i="23"/>
  <c r="J66" i="23"/>
  <c r="E66" i="23"/>
  <c r="V65" i="23"/>
  <c r="J65" i="23"/>
  <c r="E65" i="23"/>
  <c r="V64" i="23"/>
  <c r="H64" i="23"/>
  <c r="J64" i="23" s="1"/>
  <c r="E64" i="23"/>
  <c r="V63" i="23"/>
  <c r="H63" i="23"/>
  <c r="J63" i="23" s="1"/>
  <c r="E63" i="23"/>
  <c r="V62" i="23"/>
  <c r="H62" i="23"/>
  <c r="J62" i="23" s="1"/>
  <c r="E62" i="23"/>
  <c r="M61" i="23"/>
  <c r="V61" i="23" s="1"/>
  <c r="J61" i="23"/>
  <c r="L60" i="23"/>
  <c r="K60" i="23"/>
  <c r="H60" i="23"/>
  <c r="J60" i="23" s="1"/>
  <c r="E60" i="23"/>
  <c r="L59" i="23"/>
  <c r="K59" i="23"/>
  <c r="H59" i="23"/>
  <c r="J59" i="23" s="1"/>
  <c r="E59" i="23"/>
  <c r="V58" i="23"/>
  <c r="J58" i="23"/>
  <c r="E58" i="23"/>
  <c r="V57" i="23"/>
  <c r="G57" i="23"/>
  <c r="H57" i="23" s="1"/>
  <c r="J57" i="23" s="1"/>
  <c r="E57" i="23"/>
  <c r="V56" i="23"/>
  <c r="G56" i="23"/>
  <c r="H56" i="23" s="1"/>
  <c r="J56" i="23" s="1"/>
  <c r="E56" i="23"/>
  <c r="V55" i="23"/>
  <c r="H55" i="23"/>
  <c r="J55" i="23" s="1"/>
  <c r="E55" i="23"/>
  <c r="V54" i="23"/>
  <c r="H54" i="23"/>
  <c r="J54" i="23" s="1"/>
  <c r="E54" i="23"/>
  <c r="L53" i="23"/>
  <c r="K53" i="23"/>
  <c r="H53" i="23"/>
  <c r="E53" i="23"/>
  <c r="V52" i="23"/>
  <c r="J52" i="23"/>
  <c r="E52" i="23"/>
  <c r="V51" i="23"/>
  <c r="J51" i="23"/>
  <c r="E51" i="23"/>
  <c r="V50" i="23"/>
  <c r="J50" i="23"/>
  <c r="E50" i="23"/>
  <c r="V49" i="23"/>
  <c r="H49" i="23"/>
  <c r="J49" i="23" s="1"/>
  <c r="E49" i="23"/>
  <c r="K48" i="23"/>
  <c r="H48" i="23"/>
  <c r="E48" i="23"/>
  <c r="V47" i="23"/>
  <c r="J47" i="23"/>
  <c r="E47" i="23"/>
  <c r="V46" i="23"/>
  <c r="H46" i="23"/>
  <c r="J46" i="23" s="1"/>
  <c r="E46" i="23"/>
  <c r="N45" i="23"/>
  <c r="V45" i="23" s="1"/>
  <c r="G45" i="23"/>
  <c r="H45" i="23" s="1"/>
  <c r="J45" i="23" s="1"/>
  <c r="E45" i="23"/>
  <c r="N44" i="23"/>
  <c r="V44" i="23" s="1"/>
  <c r="G44" i="23"/>
  <c r="H44" i="23" s="1"/>
  <c r="J44" i="23" s="1"/>
  <c r="E44" i="23"/>
  <c r="V43" i="23"/>
  <c r="H43" i="23"/>
  <c r="J43" i="23" s="1"/>
  <c r="E43" i="23"/>
  <c r="V42" i="23"/>
  <c r="H42" i="23"/>
  <c r="J42" i="23" s="1"/>
  <c r="E42" i="23"/>
  <c r="S41" i="23"/>
  <c r="N41" i="23"/>
  <c r="V41" i="23" s="1"/>
  <c r="G41" i="23"/>
  <c r="H41" i="23" s="1"/>
  <c r="J41" i="23" s="1"/>
  <c r="E41" i="23"/>
  <c r="V40" i="23"/>
  <c r="J40" i="23"/>
  <c r="E40" i="23"/>
  <c r="L39" i="23"/>
  <c r="K39" i="23"/>
  <c r="J39" i="23" s="1"/>
  <c r="E39" i="23"/>
  <c r="V38" i="23"/>
  <c r="J38" i="23"/>
  <c r="E38" i="23"/>
  <c r="V37" i="23"/>
  <c r="G37" i="23"/>
  <c r="H37" i="23" s="1"/>
  <c r="J37" i="23" s="1"/>
  <c r="E37" i="23"/>
  <c r="R36" i="23"/>
  <c r="Q36" i="23"/>
  <c r="P36" i="23"/>
  <c r="N36" i="23"/>
  <c r="L36" i="23"/>
  <c r="K36" i="23"/>
  <c r="H36" i="23"/>
  <c r="E36" i="23"/>
  <c r="O35" i="23"/>
  <c r="N35" i="23"/>
  <c r="K35" i="23"/>
  <c r="H35" i="23"/>
  <c r="E35" i="23"/>
  <c r="S34" i="23"/>
  <c r="N34" i="23"/>
  <c r="V34" i="23" s="1"/>
  <c r="H34" i="23"/>
  <c r="J34" i="23" s="1"/>
  <c r="E34" i="23"/>
  <c r="T33" i="23"/>
  <c r="J33" i="23"/>
  <c r="E33" i="23"/>
  <c r="N32" i="23"/>
  <c r="K32" i="23"/>
  <c r="G32" i="23"/>
  <c r="H32" i="23" s="1"/>
  <c r="E32" i="23"/>
  <c r="K31" i="23"/>
  <c r="V31" i="23" s="1"/>
  <c r="H31" i="23"/>
  <c r="J31" i="23" s="1"/>
  <c r="E31" i="23"/>
  <c r="L30" i="23"/>
  <c r="K30" i="23"/>
  <c r="G30" i="23"/>
  <c r="H30" i="23" s="1"/>
  <c r="E30" i="23"/>
  <c r="K29" i="23"/>
  <c r="H29" i="23"/>
  <c r="E29" i="23"/>
  <c r="K28" i="23"/>
  <c r="V28" i="23" s="1"/>
  <c r="E28" i="23"/>
  <c r="L27" i="23"/>
  <c r="K27" i="23"/>
  <c r="V27" i="23" s="1"/>
  <c r="H27" i="23"/>
  <c r="E27" i="23"/>
  <c r="S26" i="23"/>
  <c r="L26" i="23"/>
  <c r="K26" i="23"/>
  <c r="H26" i="23"/>
  <c r="E26" i="23"/>
  <c r="L25" i="23"/>
  <c r="K25" i="23"/>
  <c r="E25" i="23"/>
  <c r="S24" i="23"/>
  <c r="N24" i="23"/>
  <c r="L24" i="23"/>
  <c r="K24" i="23"/>
  <c r="H24" i="23"/>
  <c r="E24" i="23"/>
  <c r="K23" i="23"/>
  <c r="V23" i="23" s="1"/>
  <c r="E23" i="23"/>
  <c r="T22" i="23"/>
  <c r="S22" i="23"/>
  <c r="O22" i="23"/>
  <c r="L22" i="23"/>
  <c r="K22" i="23"/>
  <c r="H22" i="23"/>
  <c r="E22" i="23"/>
  <c r="U21" i="23"/>
  <c r="T21" i="23"/>
  <c r="S21" i="23"/>
  <c r="R21" i="23"/>
  <c r="Q21" i="23"/>
  <c r="L21" i="23"/>
  <c r="K21" i="23"/>
  <c r="H21" i="23"/>
  <c r="E21" i="23"/>
  <c r="K20" i="23"/>
  <c r="J20" i="23" s="1"/>
  <c r="E20" i="23"/>
  <c r="U19" i="23"/>
  <c r="K19" i="23"/>
  <c r="V19" i="23" s="1"/>
  <c r="E19" i="23"/>
  <c r="K18" i="23"/>
  <c r="V18" i="23" s="1"/>
  <c r="E18" i="23"/>
  <c r="U17" i="23"/>
  <c r="V17" i="23"/>
  <c r="H17" i="23"/>
  <c r="J17" i="23" s="1"/>
  <c r="E17" i="23"/>
  <c r="U16" i="23"/>
  <c r="S16" i="23"/>
  <c r="R16" i="23"/>
  <c r="Q16" i="23"/>
  <c r="H16" i="23"/>
  <c r="J16" i="23" s="1"/>
  <c r="E16" i="23"/>
  <c r="U14" i="23"/>
  <c r="R14" i="23"/>
  <c r="Q14" i="23"/>
  <c r="K14" i="23"/>
  <c r="J14" i="23" s="1"/>
  <c r="E14" i="23"/>
  <c r="K13" i="23"/>
  <c r="J13" i="23" s="1"/>
  <c r="E13" i="23"/>
  <c r="U12" i="23"/>
  <c r="T12" i="23"/>
  <c r="S12" i="23"/>
  <c r="R12" i="23"/>
  <c r="Q12" i="23"/>
  <c r="N12" i="23"/>
  <c r="J12" i="23"/>
  <c r="E12" i="23"/>
  <c r="U11" i="23"/>
  <c r="S11" i="23"/>
  <c r="R11" i="23"/>
  <c r="Q11" i="23"/>
  <c r="P11" i="23"/>
  <c r="O11" i="23"/>
  <c r="L11" i="23"/>
  <c r="K11" i="23"/>
  <c r="H11" i="23"/>
  <c r="E11" i="23"/>
  <c r="S10" i="23"/>
  <c r="P10" i="23"/>
  <c r="V10" i="23" s="1"/>
  <c r="H10" i="23"/>
  <c r="J10" i="23" s="1"/>
  <c r="E10" i="23"/>
  <c r="S9" i="23"/>
  <c r="R9" i="23"/>
  <c r="Q9" i="23"/>
  <c r="L9" i="23"/>
  <c r="K9" i="23"/>
  <c r="J9" i="23"/>
  <c r="E9" i="23"/>
  <c r="S8" i="23"/>
  <c r="J8" i="23"/>
  <c r="E8" i="23"/>
  <c r="J7" i="23"/>
  <c r="E7" i="23"/>
  <c r="J6" i="23"/>
  <c r="E6" i="23"/>
  <c r="U5" i="23"/>
  <c r="T5" i="23"/>
  <c r="R5" i="23"/>
  <c r="V5" i="23"/>
  <c r="J5" i="23"/>
  <c r="E5" i="23"/>
  <c r="T4" i="23"/>
  <c r="V4" i="23"/>
  <c r="J4" i="23"/>
  <c r="E4" i="23"/>
  <c r="U3" i="23"/>
  <c r="T3" i="23"/>
  <c r="S3" i="23"/>
  <c r="R3" i="23"/>
  <c r="Q3" i="23"/>
  <c r="K3" i="23"/>
  <c r="V3" i="23" s="1"/>
  <c r="H3" i="23"/>
  <c r="E3" i="23"/>
  <c r="J29" i="23" l="1"/>
  <c r="V16" i="23"/>
  <c r="W16" i="23" s="1"/>
  <c r="W145" i="23"/>
  <c r="J18" i="23"/>
  <c r="W18" i="23" s="1"/>
  <c r="AD18" i="23" s="1"/>
  <c r="J24" i="23"/>
  <c r="W139" i="23"/>
  <c r="V60" i="23"/>
  <c r="W60" i="23" s="1"/>
  <c r="J30" i="23"/>
  <c r="V25" i="23"/>
  <c r="J26" i="23"/>
  <c r="J22" i="23"/>
  <c r="W144" i="23"/>
  <c r="W143" i="23"/>
  <c r="W142" i="23"/>
  <c r="W138" i="23"/>
  <c r="W140" i="23"/>
  <c r="W141" i="23"/>
  <c r="W137" i="23"/>
  <c r="J25" i="23"/>
  <c r="V30" i="23"/>
  <c r="V12" i="23"/>
  <c r="W12" i="23" s="1"/>
  <c r="V36" i="23"/>
  <c r="J11" i="23"/>
  <c r="J27" i="23"/>
  <c r="W27" i="23" s="1"/>
  <c r="W136" i="23"/>
  <c r="W135" i="23"/>
  <c r="W133" i="23"/>
  <c r="W128" i="23"/>
  <c r="W132" i="23"/>
  <c r="W131" i="23"/>
  <c r="W130" i="23"/>
  <c r="W129" i="23"/>
  <c r="W117" i="23"/>
  <c r="W127" i="23"/>
  <c r="W126" i="23"/>
  <c r="W125" i="23"/>
  <c r="W124" i="23"/>
  <c r="W99" i="23"/>
  <c r="W122" i="23"/>
  <c r="W112" i="23"/>
  <c r="W101" i="23"/>
  <c r="W121" i="23"/>
  <c r="W120" i="23"/>
  <c r="W109" i="23"/>
  <c r="W119" i="23"/>
  <c r="W118" i="23"/>
  <c r="W104" i="23"/>
  <c r="W110" i="23"/>
  <c r="W106" i="23"/>
  <c r="W115" i="23"/>
  <c r="W116" i="23"/>
  <c r="W102" i="23"/>
  <c r="W114" i="23"/>
  <c r="W113" i="23"/>
  <c r="W111" i="23"/>
  <c r="W108" i="23"/>
  <c r="W107" i="23"/>
  <c r="W105" i="23"/>
  <c r="W103" i="23"/>
  <c r="W100" i="23"/>
  <c r="W95" i="23"/>
  <c r="W96" i="23"/>
  <c r="W97" i="23"/>
  <c r="W98" i="23"/>
  <c r="W94" i="23"/>
  <c r="W93" i="23"/>
  <c r="V26" i="23"/>
  <c r="V53" i="23"/>
  <c r="J21" i="23"/>
  <c r="J36" i="23"/>
  <c r="V21" i="23"/>
  <c r="J19" i="23"/>
  <c r="W19" i="23" s="1"/>
  <c r="AD19" i="23" s="1"/>
  <c r="W76" i="23"/>
  <c r="W50" i="23"/>
  <c r="W46" i="23"/>
  <c r="W64" i="23"/>
  <c r="W71" i="23"/>
  <c r="W79" i="23"/>
  <c r="W40" i="23"/>
  <c r="W43" i="23"/>
  <c r="W62" i="23"/>
  <c r="W66" i="23"/>
  <c r="W90" i="23"/>
  <c r="W75" i="23"/>
  <c r="W89" i="23"/>
  <c r="W61" i="23"/>
  <c r="W51" i="23"/>
  <c r="W31" i="23"/>
  <c r="W65" i="23"/>
  <c r="W88" i="23"/>
  <c r="W87" i="23"/>
  <c r="W86" i="23"/>
  <c r="W55" i="23"/>
  <c r="W77" i="23"/>
  <c r="W80" i="23"/>
  <c r="AD80" i="23" s="1"/>
  <c r="W4" i="23"/>
  <c r="W45" i="23"/>
  <c r="W74" i="23"/>
  <c r="W84" i="23"/>
  <c r="W38" i="23"/>
  <c r="W69" i="23"/>
  <c r="W81" i="23"/>
  <c r="W70" i="23"/>
  <c r="W5" i="23"/>
  <c r="W34" i="23"/>
  <c r="W56" i="23"/>
  <c r="V24" i="23"/>
  <c r="V29" i="23"/>
  <c r="J32" i="23"/>
  <c r="W37" i="23"/>
  <c r="W42" i="23"/>
  <c r="W49" i="23"/>
  <c r="J53" i="23"/>
  <c r="V59" i="23"/>
  <c r="W59" i="23" s="1"/>
  <c r="W63" i="23"/>
  <c r="W67" i="23"/>
  <c r="W78" i="23"/>
  <c r="W47" i="23"/>
  <c r="W57" i="23"/>
  <c r="J28" i="23"/>
  <c r="V33" i="23"/>
  <c r="W33" i="23" s="1"/>
  <c r="J35" i="23"/>
  <c r="W44" i="23"/>
  <c r="V35" i="23"/>
  <c r="W10" i="23"/>
  <c r="AD10" i="23" s="1"/>
  <c r="W17" i="23"/>
  <c r="AD17" i="23" s="1"/>
  <c r="J23" i="23"/>
  <c r="W41" i="23"/>
  <c r="W85" i="23"/>
  <c r="J48" i="23"/>
  <c r="W82" i="23"/>
  <c r="V20" i="23"/>
  <c r="W20" i="23" s="1"/>
  <c r="V9" i="23"/>
  <c r="W9" i="23" s="1"/>
  <c r="V7" i="23"/>
  <c r="W7" i="23" s="1"/>
  <c r="AD7" i="23" s="1"/>
  <c r="V13" i="23"/>
  <c r="W13" i="23" s="1"/>
  <c r="V39" i="23"/>
  <c r="W39" i="23" s="1"/>
  <c r="AD39" i="23" s="1"/>
  <c r="V14" i="23"/>
  <c r="W14" i="23" s="1"/>
  <c r="V32" i="23"/>
  <c r="V48" i="23"/>
  <c r="W52" i="23"/>
  <c r="W54" i="23"/>
  <c r="W58" i="23"/>
  <c r="W72" i="23"/>
  <c r="W83" i="23"/>
  <c r="J3" i="23"/>
  <c r="V6" i="23"/>
  <c r="W6" i="23" s="1"/>
  <c r="V8" i="23"/>
  <c r="W8" i="23" s="1"/>
  <c r="AD8" i="23" s="1"/>
  <c r="V11" i="23"/>
  <c r="V22" i="23"/>
  <c r="W73" i="23"/>
  <c r="W68" i="23"/>
  <c r="W24" i="23" l="1"/>
  <c r="W29" i="23"/>
  <c r="W30" i="23"/>
  <c r="W11" i="23"/>
  <c r="W25" i="23"/>
  <c r="W22" i="23"/>
  <c r="AD22" i="23" s="1"/>
  <c r="AD1" i="23" s="1"/>
  <c r="W26" i="23"/>
  <c r="W21" i="23"/>
  <c r="W23" i="23"/>
  <c r="W36" i="23"/>
  <c r="W28" i="23"/>
  <c r="W53" i="23"/>
  <c r="W3" i="23"/>
  <c r="W35" i="23"/>
  <c r="W32" i="23"/>
  <c r="W48" i="23"/>
  <c r="E85" i="21"/>
  <c r="E84" i="21"/>
  <c r="H84" i="21"/>
  <c r="H83" i="21"/>
  <c r="E83" i="21"/>
  <c r="G82" i="21" l="1"/>
  <c r="H82" i="21" s="1"/>
  <c r="E82" i="21"/>
  <c r="H81" i="21" l="1"/>
  <c r="E81" i="21"/>
  <c r="H80" i="21"/>
  <c r="E80" i="21"/>
  <c r="L30" i="21"/>
  <c r="L9" i="21"/>
  <c r="K9" i="21"/>
  <c r="M45" i="21"/>
  <c r="M44" i="21"/>
  <c r="P53" i="21"/>
  <c r="P26" i="21"/>
  <c r="P39" i="21"/>
  <c r="P22" i="21"/>
  <c r="P33" i="21"/>
  <c r="P17" i="21"/>
  <c r="P24" i="21"/>
  <c r="P20" i="21"/>
  <c r="P19" i="21"/>
  <c r="P18" i="21"/>
  <c r="P15" i="21"/>
  <c r="P13" i="21"/>
  <c r="P10" i="21"/>
  <c r="P8" i="21"/>
  <c r="P7" i="21"/>
  <c r="L29" i="21" l="1"/>
  <c r="E79" i="21" l="1"/>
  <c r="J77" i="21" l="1"/>
  <c r="G30" i="21" l="1"/>
  <c r="K30" i="21"/>
  <c r="K29" i="21" l="1"/>
  <c r="R53" i="21"/>
  <c r="R39" i="21"/>
  <c r="R18" i="21"/>
  <c r="Q53" i="21"/>
  <c r="Q39" i="21"/>
  <c r="Q33" i="21"/>
  <c r="Q17" i="21"/>
  <c r="Q24" i="21"/>
  <c r="Q20" i="21"/>
  <c r="Q15" i="21"/>
  <c r="Q10" i="21"/>
  <c r="Q8" i="21"/>
  <c r="Q7" i="21"/>
  <c r="E78" i="21"/>
  <c r="L28" i="21" l="1"/>
  <c r="K28" i="21" l="1"/>
  <c r="M53" i="21"/>
  <c r="K60" i="21"/>
  <c r="L60" i="21"/>
  <c r="K59" i="21"/>
  <c r="L59" i="21"/>
  <c r="E77" i="21" l="1"/>
  <c r="T33" i="21" l="1"/>
  <c r="T12" i="21"/>
  <c r="E76" i="21"/>
  <c r="L73" i="21"/>
  <c r="R41" i="21"/>
  <c r="R36" i="21"/>
  <c r="R24" i="21"/>
  <c r="M32" i="21"/>
  <c r="Q26" i="21" l="1"/>
  <c r="Q36" i="21"/>
  <c r="Q22" i="21"/>
  <c r="Q19" i="21"/>
  <c r="Q18" i="21"/>
  <c r="Q13" i="21"/>
  <c r="P36" i="21"/>
  <c r="P6" i="21"/>
  <c r="T15" i="21" l="1"/>
  <c r="T3" i="21"/>
  <c r="T24" i="21"/>
  <c r="T18" i="21"/>
  <c r="Q6" i="21" l="1"/>
  <c r="S6" i="21"/>
  <c r="S5" i="21"/>
  <c r="Q5" i="21"/>
  <c r="P5" i="21"/>
  <c r="P4" i="21"/>
  <c r="Q4" i="21"/>
  <c r="S21" i="21" l="1"/>
  <c r="S26" i="21"/>
  <c r="R26" i="21"/>
  <c r="R21" i="21"/>
  <c r="S24" i="21"/>
  <c r="S15" i="21"/>
  <c r="R15" i="21"/>
  <c r="R3" i="21"/>
  <c r="S12" i="21"/>
  <c r="S33" i="21"/>
  <c r="R33" i="21"/>
  <c r="R12" i="21"/>
  <c r="T6" i="21"/>
  <c r="L61" i="21"/>
  <c r="H75" i="21" l="1"/>
  <c r="J75" i="21" s="1"/>
  <c r="E75" i="21"/>
  <c r="H74" i="21"/>
  <c r="J74" i="21" s="1"/>
  <c r="E74" i="21"/>
  <c r="AD5" i="20"/>
  <c r="V146" i="21"/>
  <c r="U146" i="21"/>
  <c r="U145" i="21"/>
  <c r="J145" i="21"/>
  <c r="V145" i="21" s="1"/>
  <c r="U144" i="21"/>
  <c r="J144" i="21"/>
  <c r="V144" i="21" s="1"/>
  <c r="U143" i="21"/>
  <c r="J143" i="21"/>
  <c r="V143" i="21" s="1"/>
  <c r="U142" i="21"/>
  <c r="J142" i="21"/>
  <c r="V142" i="21" s="1"/>
  <c r="U141" i="21"/>
  <c r="J141" i="21"/>
  <c r="V141" i="21" s="1"/>
  <c r="U140" i="21"/>
  <c r="J140" i="21"/>
  <c r="V140" i="21" s="1"/>
  <c r="U139" i="21"/>
  <c r="J139" i="21"/>
  <c r="V139" i="21" s="1"/>
  <c r="U138" i="21"/>
  <c r="J138" i="21"/>
  <c r="V138" i="21" s="1"/>
  <c r="U137" i="21"/>
  <c r="J137" i="21"/>
  <c r="V137" i="21" s="1"/>
  <c r="U136" i="21"/>
  <c r="J136" i="21"/>
  <c r="V136" i="21" s="1"/>
  <c r="U135" i="21"/>
  <c r="J135" i="21"/>
  <c r="V135" i="21" s="1"/>
  <c r="U134" i="21"/>
  <c r="J134" i="21"/>
  <c r="V134" i="21" s="1"/>
  <c r="U133" i="21"/>
  <c r="J133" i="21"/>
  <c r="V133" i="21" s="1"/>
  <c r="U132" i="21"/>
  <c r="J132" i="21"/>
  <c r="V132" i="21" s="1"/>
  <c r="U131" i="21"/>
  <c r="J131" i="21"/>
  <c r="V131" i="21" s="1"/>
  <c r="U130" i="21"/>
  <c r="J130" i="21"/>
  <c r="V130" i="21" s="1"/>
  <c r="U129" i="21"/>
  <c r="J129" i="21"/>
  <c r="V129" i="21" s="1"/>
  <c r="U128" i="21"/>
  <c r="J128" i="21"/>
  <c r="V128" i="21" s="1"/>
  <c r="U127" i="21"/>
  <c r="J127" i="21"/>
  <c r="V127" i="21" s="1"/>
  <c r="U126" i="21"/>
  <c r="J126" i="21"/>
  <c r="V126" i="21" s="1"/>
  <c r="U125" i="21"/>
  <c r="J125" i="21"/>
  <c r="V125" i="21" s="1"/>
  <c r="U124" i="21"/>
  <c r="J124" i="21"/>
  <c r="V124" i="21" s="1"/>
  <c r="U123" i="21"/>
  <c r="J123" i="21"/>
  <c r="V123" i="21" s="1"/>
  <c r="U122" i="21"/>
  <c r="J122" i="21"/>
  <c r="V122" i="21" s="1"/>
  <c r="U121" i="21"/>
  <c r="J121" i="21"/>
  <c r="V121" i="21" s="1"/>
  <c r="U120" i="21"/>
  <c r="J120" i="21"/>
  <c r="V120" i="21" s="1"/>
  <c r="U119" i="21"/>
  <c r="J119" i="21"/>
  <c r="V119" i="21" s="1"/>
  <c r="U118" i="21"/>
  <c r="J118" i="21"/>
  <c r="V118" i="21" s="1"/>
  <c r="U117" i="21"/>
  <c r="J117" i="21"/>
  <c r="V117" i="21" s="1"/>
  <c r="U116" i="21"/>
  <c r="J116" i="21"/>
  <c r="V116" i="21" s="1"/>
  <c r="U115" i="21"/>
  <c r="J115" i="21"/>
  <c r="V115" i="21" s="1"/>
  <c r="U114" i="21"/>
  <c r="J114" i="21"/>
  <c r="V114" i="21" s="1"/>
  <c r="U113" i="21"/>
  <c r="J113" i="21"/>
  <c r="V113" i="21" s="1"/>
  <c r="U112" i="21"/>
  <c r="J112" i="21"/>
  <c r="V112" i="21" s="1"/>
  <c r="U111" i="21"/>
  <c r="J111" i="21"/>
  <c r="V111" i="21" s="1"/>
  <c r="U110" i="21"/>
  <c r="J110" i="21"/>
  <c r="V110" i="21" s="1"/>
  <c r="U109" i="21"/>
  <c r="J109" i="21"/>
  <c r="V109" i="21" s="1"/>
  <c r="U108" i="21"/>
  <c r="J108" i="21"/>
  <c r="V108" i="21" s="1"/>
  <c r="U107" i="21"/>
  <c r="J107" i="21"/>
  <c r="V107" i="21" s="1"/>
  <c r="U106" i="21"/>
  <c r="J106" i="21"/>
  <c r="V106" i="21" s="1"/>
  <c r="U105" i="21"/>
  <c r="J105" i="21"/>
  <c r="V105" i="21" s="1"/>
  <c r="U104" i="21"/>
  <c r="J104" i="21"/>
  <c r="V104" i="21" s="1"/>
  <c r="U103" i="21"/>
  <c r="J103" i="21"/>
  <c r="V103" i="21" s="1"/>
  <c r="U102" i="21"/>
  <c r="J102" i="21"/>
  <c r="V102" i="21" s="1"/>
  <c r="U101" i="21"/>
  <c r="J101" i="21"/>
  <c r="V101" i="21" s="1"/>
  <c r="U100" i="21"/>
  <c r="J100" i="21"/>
  <c r="V100" i="21" s="1"/>
  <c r="U99" i="21"/>
  <c r="J99" i="21"/>
  <c r="V99" i="21" s="1"/>
  <c r="U98" i="21"/>
  <c r="J98" i="21"/>
  <c r="V98" i="21" s="1"/>
  <c r="U97" i="21"/>
  <c r="J97" i="21"/>
  <c r="V97" i="21" s="1"/>
  <c r="U96" i="21"/>
  <c r="J96" i="21"/>
  <c r="V96" i="21" s="1"/>
  <c r="U95" i="21"/>
  <c r="J95" i="21"/>
  <c r="V95" i="21" s="1"/>
  <c r="U94" i="21"/>
  <c r="J94" i="21"/>
  <c r="V94" i="21" s="1"/>
  <c r="U93" i="21"/>
  <c r="J93" i="21"/>
  <c r="V93" i="21" s="1"/>
  <c r="U92" i="21"/>
  <c r="J92" i="21"/>
  <c r="V92" i="21" s="1"/>
  <c r="U91" i="21"/>
  <c r="J91" i="21"/>
  <c r="V91" i="21" s="1"/>
  <c r="U90" i="21"/>
  <c r="J90" i="21"/>
  <c r="V90" i="21" s="1"/>
  <c r="U89" i="21"/>
  <c r="J89" i="21"/>
  <c r="V89" i="21" s="1"/>
  <c r="U88" i="21"/>
  <c r="J88" i="21"/>
  <c r="V88" i="21" s="1"/>
  <c r="U87" i="21"/>
  <c r="J87" i="21"/>
  <c r="V87" i="21" s="1"/>
  <c r="U86" i="21"/>
  <c r="J86" i="21"/>
  <c r="V86" i="21" s="1"/>
  <c r="U85" i="21"/>
  <c r="J85" i="21"/>
  <c r="U84" i="21"/>
  <c r="J84" i="21"/>
  <c r="U83" i="21"/>
  <c r="J83" i="21"/>
  <c r="U82" i="21"/>
  <c r="J82" i="21"/>
  <c r="U81" i="21"/>
  <c r="J81" i="21"/>
  <c r="U80" i="21"/>
  <c r="J80" i="21"/>
  <c r="U79" i="21"/>
  <c r="J79" i="21"/>
  <c r="U78" i="21"/>
  <c r="J78" i="21"/>
  <c r="U77" i="21"/>
  <c r="U76" i="21"/>
  <c r="J76" i="21"/>
  <c r="U75" i="21"/>
  <c r="U74" i="21"/>
  <c r="U73" i="21"/>
  <c r="H73" i="21"/>
  <c r="J73" i="21" s="1"/>
  <c r="E73" i="21"/>
  <c r="U72" i="21"/>
  <c r="J72" i="21"/>
  <c r="E72" i="21"/>
  <c r="U71" i="21"/>
  <c r="G71" i="21"/>
  <c r="H71" i="21" s="1"/>
  <c r="J71" i="21" s="1"/>
  <c r="E71" i="21"/>
  <c r="U70" i="21"/>
  <c r="G70" i="21"/>
  <c r="H70" i="21" s="1"/>
  <c r="J70" i="21" s="1"/>
  <c r="E70" i="21"/>
  <c r="U69" i="21"/>
  <c r="J69" i="21"/>
  <c r="E69" i="21"/>
  <c r="U68" i="21"/>
  <c r="J68" i="21"/>
  <c r="E68" i="21"/>
  <c r="U67" i="21"/>
  <c r="H67" i="21"/>
  <c r="J67" i="21" s="1"/>
  <c r="E67" i="21"/>
  <c r="U66" i="21"/>
  <c r="J66" i="21"/>
  <c r="E66" i="21"/>
  <c r="U65" i="21"/>
  <c r="J65" i="21"/>
  <c r="E65" i="21"/>
  <c r="U64" i="21"/>
  <c r="H64" i="21"/>
  <c r="J64" i="21" s="1"/>
  <c r="E64" i="21"/>
  <c r="H63" i="21"/>
  <c r="E63" i="21"/>
  <c r="H62" i="21"/>
  <c r="E62" i="21"/>
  <c r="U61" i="21"/>
  <c r="J61" i="21"/>
  <c r="U60" i="21"/>
  <c r="H60" i="21"/>
  <c r="J60" i="21" s="1"/>
  <c r="E60" i="21"/>
  <c r="U59" i="21"/>
  <c r="H59" i="21"/>
  <c r="J59" i="21" s="1"/>
  <c r="E59" i="21"/>
  <c r="U58" i="21"/>
  <c r="J58" i="21"/>
  <c r="E58" i="21"/>
  <c r="U57" i="21"/>
  <c r="G57" i="21"/>
  <c r="H57" i="21" s="1"/>
  <c r="J57" i="21" s="1"/>
  <c r="E57" i="21"/>
  <c r="U56" i="21"/>
  <c r="G56" i="21"/>
  <c r="H56" i="21" s="1"/>
  <c r="J56" i="21" s="1"/>
  <c r="E56" i="21"/>
  <c r="U55" i="21"/>
  <c r="H55" i="21"/>
  <c r="J55" i="21" s="1"/>
  <c r="E55" i="21"/>
  <c r="U54" i="21"/>
  <c r="H54" i="21"/>
  <c r="J54" i="21" s="1"/>
  <c r="E54" i="21"/>
  <c r="L53" i="21"/>
  <c r="K53" i="21"/>
  <c r="H53" i="21"/>
  <c r="AB53" i="21" s="1"/>
  <c r="E53" i="21"/>
  <c r="U52" i="21"/>
  <c r="J52" i="21"/>
  <c r="E52" i="21"/>
  <c r="U51" i="21"/>
  <c r="J51" i="21"/>
  <c r="E51" i="21"/>
  <c r="U50" i="21"/>
  <c r="J50" i="21"/>
  <c r="E50" i="21"/>
  <c r="U49" i="21"/>
  <c r="H49" i="21"/>
  <c r="J49" i="21" s="1"/>
  <c r="E49" i="21"/>
  <c r="L48" i="21"/>
  <c r="K48" i="21"/>
  <c r="U48" i="21" s="1"/>
  <c r="H48" i="21"/>
  <c r="E48" i="21"/>
  <c r="U47" i="21"/>
  <c r="J47" i="21"/>
  <c r="E47" i="21"/>
  <c r="U46" i="21"/>
  <c r="H46" i="21"/>
  <c r="J46" i="21" s="1"/>
  <c r="E46" i="21"/>
  <c r="U45" i="21"/>
  <c r="G45" i="21"/>
  <c r="H45" i="21" s="1"/>
  <c r="J45" i="21" s="1"/>
  <c r="E45" i="21"/>
  <c r="U44" i="21"/>
  <c r="G44" i="21"/>
  <c r="H44" i="21" s="1"/>
  <c r="J44" i="21" s="1"/>
  <c r="E44" i="21"/>
  <c r="U43" i="21"/>
  <c r="H43" i="21"/>
  <c r="J43" i="21" s="1"/>
  <c r="E43" i="21"/>
  <c r="U42" i="21"/>
  <c r="H42" i="21"/>
  <c r="J42" i="21" s="1"/>
  <c r="E42" i="21"/>
  <c r="M41" i="21"/>
  <c r="U41" i="21" s="1"/>
  <c r="G41" i="21"/>
  <c r="H41" i="21" s="1"/>
  <c r="J41" i="21" s="1"/>
  <c r="E41" i="21"/>
  <c r="U40" i="21"/>
  <c r="J40" i="21"/>
  <c r="E40" i="21"/>
  <c r="L39" i="21"/>
  <c r="K39" i="21"/>
  <c r="E39" i="21"/>
  <c r="U38" i="21"/>
  <c r="J38" i="21"/>
  <c r="E38" i="21"/>
  <c r="U37" i="21"/>
  <c r="G37" i="21"/>
  <c r="H37" i="21" s="1"/>
  <c r="J37" i="21" s="1"/>
  <c r="E37" i="21"/>
  <c r="O36" i="21"/>
  <c r="M36" i="21"/>
  <c r="L36" i="21"/>
  <c r="K36" i="21"/>
  <c r="H36" i="21"/>
  <c r="E36" i="21"/>
  <c r="N35" i="21"/>
  <c r="M35" i="21"/>
  <c r="L35" i="21"/>
  <c r="K35" i="21"/>
  <c r="H35" i="21"/>
  <c r="E35" i="21"/>
  <c r="R34" i="21"/>
  <c r="M34" i="21"/>
  <c r="U34" i="21" s="1"/>
  <c r="H34" i="21"/>
  <c r="J34" i="21" s="1"/>
  <c r="E34" i="21"/>
  <c r="U33" i="21"/>
  <c r="J33" i="21"/>
  <c r="E33" i="21"/>
  <c r="K32" i="21"/>
  <c r="U32" i="21" s="1"/>
  <c r="G32" i="21"/>
  <c r="H32" i="21" s="1"/>
  <c r="J32" i="21" s="1"/>
  <c r="E32" i="21"/>
  <c r="K31" i="21"/>
  <c r="U31" i="21" s="1"/>
  <c r="H31" i="21"/>
  <c r="E31" i="21"/>
  <c r="U30" i="21"/>
  <c r="H30" i="21"/>
  <c r="J30" i="21" s="1"/>
  <c r="E30" i="21"/>
  <c r="U29" i="21"/>
  <c r="H29" i="21"/>
  <c r="J29" i="21" s="1"/>
  <c r="E29" i="21"/>
  <c r="U28" i="21"/>
  <c r="J28" i="21"/>
  <c r="E28" i="21"/>
  <c r="L27" i="21"/>
  <c r="K27" i="21"/>
  <c r="H27" i="21"/>
  <c r="J27" i="21" s="1"/>
  <c r="E27" i="21"/>
  <c r="T26" i="21"/>
  <c r="L26" i="21"/>
  <c r="K26" i="21"/>
  <c r="H26" i="21"/>
  <c r="E26" i="21"/>
  <c r="L25" i="21"/>
  <c r="K25" i="21"/>
  <c r="U25" i="21" s="1"/>
  <c r="E25" i="21"/>
  <c r="M24" i="21"/>
  <c r="L24" i="21"/>
  <c r="K24" i="21"/>
  <c r="H24" i="21"/>
  <c r="AB24" i="21" s="1"/>
  <c r="E24" i="21"/>
  <c r="K23" i="21"/>
  <c r="U23" i="21" s="1"/>
  <c r="E23" i="21"/>
  <c r="T22" i="21"/>
  <c r="S22" i="21"/>
  <c r="R22" i="21"/>
  <c r="N22" i="21"/>
  <c r="L22" i="21"/>
  <c r="K22" i="21"/>
  <c r="H22" i="21"/>
  <c r="AB22" i="21" s="1"/>
  <c r="E22" i="21"/>
  <c r="T21" i="21"/>
  <c r="Q21" i="21"/>
  <c r="P21" i="21"/>
  <c r="L21" i="21"/>
  <c r="K21" i="21"/>
  <c r="H21" i="21"/>
  <c r="AB21" i="21" s="1"/>
  <c r="E21" i="21"/>
  <c r="K20" i="21"/>
  <c r="U20" i="21" s="1"/>
  <c r="E20" i="21"/>
  <c r="T19" i="21"/>
  <c r="K19" i="21"/>
  <c r="J19" i="21" s="1"/>
  <c r="E19" i="21"/>
  <c r="K18" i="21"/>
  <c r="U18" i="21" s="1"/>
  <c r="E18" i="21"/>
  <c r="T17" i="21"/>
  <c r="U17" i="21"/>
  <c r="H17" i="21"/>
  <c r="E17" i="21"/>
  <c r="T16" i="21"/>
  <c r="R16" i="21"/>
  <c r="Q16" i="21"/>
  <c r="P16" i="21"/>
  <c r="H16" i="21"/>
  <c r="E16" i="21"/>
  <c r="K15" i="21"/>
  <c r="U15" i="21" s="1"/>
  <c r="H15" i="21"/>
  <c r="AB15" i="21" s="1"/>
  <c r="E15" i="21"/>
  <c r="T14" i="21"/>
  <c r="Q14" i="21"/>
  <c r="P14" i="21"/>
  <c r="K14" i="21"/>
  <c r="J14" i="21" s="1"/>
  <c r="E14" i="21"/>
  <c r="T13" i="21"/>
  <c r="R13" i="21"/>
  <c r="K13" i="21"/>
  <c r="U13" i="21" s="1"/>
  <c r="E13" i="21"/>
  <c r="Q12" i="21"/>
  <c r="P12" i="21"/>
  <c r="M12" i="21"/>
  <c r="J12" i="21"/>
  <c r="E12" i="21"/>
  <c r="T11" i="21"/>
  <c r="R11" i="21"/>
  <c r="Q11" i="21"/>
  <c r="P11" i="21"/>
  <c r="O11" i="21"/>
  <c r="N11" i="21"/>
  <c r="L11" i="21"/>
  <c r="K11" i="21"/>
  <c r="H11" i="21"/>
  <c r="AB11" i="21" s="1"/>
  <c r="E11" i="21"/>
  <c r="T10" i="21"/>
  <c r="R10" i="21"/>
  <c r="O10" i="21"/>
  <c r="U10" i="21" s="1"/>
  <c r="H10" i="21"/>
  <c r="E10" i="21"/>
  <c r="R9" i="21"/>
  <c r="Q9" i="21"/>
  <c r="P9" i="21"/>
  <c r="J9" i="21"/>
  <c r="E9" i="21"/>
  <c r="U8" i="21"/>
  <c r="T8" i="21"/>
  <c r="R8" i="21"/>
  <c r="J8" i="21"/>
  <c r="E8" i="21"/>
  <c r="U7" i="21"/>
  <c r="J7" i="21"/>
  <c r="E7" i="21"/>
  <c r="U6" i="21"/>
  <c r="J6" i="21"/>
  <c r="E6" i="21"/>
  <c r="U5" i="21"/>
  <c r="T5" i="21"/>
  <c r="J5" i="21"/>
  <c r="E5" i="21"/>
  <c r="S4" i="21"/>
  <c r="U4" i="21"/>
  <c r="J4" i="21"/>
  <c r="E4" i="21"/>
  <c r="S3" i="21"/>
  <c r="Q3" i="21"/>
  <c r="P3" i="21"/>
  <c r="K3" i="21"/>
  <c r="H3" i="21"/>
  <c r="AB3" i="21" s="1"/>
  <c r="E3" i="21"/>
  <c r="U9" i="21" l="1"/>
  <c r="J31" i="21"/>
  <c r="U39" i="21"/>
  <c r="J16" i="21"/>
  <c r="AB16" i="21"/>
  <c r="J36" i="21"/>
  <c r="AB36" i="21"/>
  <c r="J17" i="21"/>
  <c r="V17" i="21" s="1"/>
  <c r="AB17" i="21"/>
  <c r="J26" i="21"/>
  <c r="AB26" i="21"/>
  <c r="V83" i="21"/>
  <c r="J10" i="21"/>
  <c r="V10" i="21" s="1"/>
  <c r="AB10" i="21"/>
  <c r="J25" i="21"/>
  <c r="V25" i="21" s="1"/>
  <c r="U36" i="21"/>
  <c r="J20" i="21"/>
  <c r="J22" i="21"/>
  <c r="J24" i="21"/>
  <c r="U26" i="21"/>
  <c r="J13" i="21"/>
  <c r="V13" i="21" s="1"/>
  <c r="AC13" i="21" s="1"/>
  <c r="J15" i="21"/>
  <c r="V15" i="21" s="1"/>
  <c r="AC15" i="21" s="1"/>
  <c r="U22" i="21"/>
  <c r="J39" i="21"/>
  <c r="V39" i="21" s="1"/>
  <c r="AC39" i="21" s="1"/>
  <c r="J53" i="21"/>
  <c r="U11" i="21"/>
  <c r="U24" i="21"/>
  <c r="J3" i="21"/>
  <c r="J18" i="21"/>
  <c r="V18" i="21" s="1"/>
  <c r="AC18" i="21" s="1"/>
  <c r="U21" i="21"/>
  <c r="U3" i="21"/>
  <c r="U16" i="21"/>
  <c r="J48" i="21"/>
  <c r="V48" i="21" s="1"/>
  <c r="U19" i="21"/>
  <c r="V19" i="21" s="1"/>
  <c r="AC19" i="21" s="1"/>
  <c r="J11" i="21"/>
  <c r="U12" i="21"/>
  <c r="V12" i="21" s="1"/>
  <c r="AC12" i="21" s="1"/>
  <c r="J21" i="21"/>
  <c r="J35" i="21"/>
  <c r="U53" i="21"/>
  <c r="J23" i="21"/>
  <c r="V23" i="21" s="1"/>
  <c r="U27" i="21"/>
  <c r="V27" i="21" s="1"/>
  <c r="U35" i="21"/>
  <c r="V85" i="21"/>
  <c r="V84" i="21"/>
  <c r="V82" i="21"/>
  <c r="V81" i="21"/>
  <c r="V80" i="21"/>
  <c r="V55" i="21"/>
  <c r="V79" i="21"/>
  <c r="V78" i="21"/>
  <c r="V29" i="21"/>
  <c r="V77" i="21"/>
  <c r="V76" i="21"/>
  <c r="V31" i="21"/>
  <c r="V52" i="21"/>
  <c r="V46" i="21"/>
  <c r="V65" i="21"/>
  <c r="V69" i="21"/>
  <c r="V20" i="21"/>
  <c r="AC20" i="21" s="1"/>
  <c r="V43" i="21"/>
  <c r="V66" i="21"/>
  <c r="V41" i="21"/>
  <c r="V44" i="21"/>
  <c r="V51" i="21"/>
  <c r="V58" i="21"/>
  <c r="V70" i="21"/>
  <c r="V50" i="21"/>
  <c r="V64" i="21"/>
  <c r="V7" i="21"/>
  <c r="AC7" i="21" s="1"/>
  <c r="V30" i="21"/>
  <c r="V72" i="21"/>
  <c r="V57" i="21"/>
  <c r="V61" i="21"/>
  <c r="V8" i="21"/>
  <c r="AC8" i="21" s="1"/>
  <c r="V45" i="21"/>
  <c r="V56" i="21"/>
  <c r="V9" i="21"/>
  <c r="AC9" i="21" s="1"/>
  <c r="V68" i="21"/>
  <c r="V59" i="21"/>
  <c r="V73" i="21"/>
  <c r="V67" i="21"/>
  <c r="V5" i="21"/>
  <c r="AC5" i="21" s="1"/>
  <c r="V33" i="21"/>
  <c r="AC33" i="21" s="1"/>
  <c r="V6" i="21"/>
  <c r="AC6" i="21" s="1"/>
  <c r="V28" i="21"/>
  <c r="V37" i="21"/>
  <c r="V42" i="21"/>
  <c r="V49" i="21"/>
  <c r="V60" i="21"/>
  <c r="V34" i="21"/>
  <c r="V40" i="21"/>
  <c r="V71" i="21"/>
  <c r="V32" i="21"/>
  <c r="V38" i="21"/>
  <c r="V47" i="21"/>
  <c r="V54" i="21"/>
  <c r="V75" i="21"/>
  <c r="V74" i="21"/>
  <c r="V4" i="21"/>
  <c r="AC4" i="21" s="1"/>
  <c r="U14" i="21"/>
  <c r="V14" i="21" s="1"/>
  <c r="AC14" i="21" s="1"/>
  <c r="V3" i="21" l="1"/>
  <c r="AC3" i="21" s="1"/>
  <c r="V36" i="21"/>
  <c r="AC36" i="21"/>
  <c r="V16" i="21"/>
  <c r="V26" i="21"/>
  <c r="AC26" i="21" s="1"/>
  <c r="V21" i="21"/>
  <c r="AC21" i="21" s="1"/>
  <c r="AC10" i="21"/>
  <c r="AC16" i="21"/>
  <c r="V53" i="21"/>
  <c r="AC53" i="21" s="1"/>
  <c r="AC17" i="21"/>
  <c r="V22" i="21"/>
  <c r="AC22" i="21" s="1"/>
  <c r="V24" i="21"/>
  <c r="AC24" i="21" s="1"/>
  <c r="V11" i="21"/>
  <c r="AC11" i="21" s="1"/>
  <c r="V35" i="21"/>
  <c r="H73" i="20"/>
  <c r="H63" i="20"/>
  <c r="H62" i="20"/>
  <c r="E73" i="20"/>
  <c r="AC1" i="21" l="1"/>
  <c r="T21" i="20"/>
  <c r="T26" i="20"/>
  <c r="Q39" i="20" l="1"/>
  <c r="Q33" i="20"/>
  <c r="Q17" i="20"/>
  <c r="Q21" i="20"/>
  <c r="Q20" i="20"/>
  <c r="Q15" i="20"/>
  <c r="Q10" i="20"/>
  <c r="Q8" i="20"/>
  <c r="Q7" i="20"/>
  <c r="Q3" i="20"/>
  <c r="O36" i="20"/>
  <c r="J72" i="20" l="1"/>
  <c r="E72" i="20"/>
  <c r="L35" i="20"/>
  <c r="N35" i="20"/>
  <c r="M35" i="20"/>
  <c r="R41" i="20"/>
  <c r="R34" i="20"/>
  <c r="AB24" i="20"/>
  <c r="P22" i="20"/>
  <c r="P33" i="20"/>
  <c r="P17" i="20"/>
  <c r="P24" i="20"/>
  <c r="P21" i="20"/>
  <c r="P20" i="20"/>
  <c r="P19" i="20"/>
  <c r="P18" i="20"/>
  <c r="P15" i="20"/>
  <c r="P12" i="20"/>
  <c r="P13" i="20"/>
  <c r="P10" i="20"/>
  <c r="P8" i="20"/>
  <c r="P7" i="20"/>
  <c r="P3" i="20"/>
  <c r="M36" i="20"/>
  <c r="G71" i="20" l="1"/>
  <c r="H71" i="20" s="1"/>
  <c r="E71" i="20"/>
  <c r="G70" i="20"/>
  <c r="H70" i="20" s="1"/>
  <c r="E70" i="20"/>
  <c r="K27" i="20" l="1"/>
  <c r="L27" i="20"/>
  <c r="E69" i="20" l="1"/>
  <c r="E68" i="20" l="1"/>
  <c r="T5" i="20" l="1"/>
  <c r="H67" i="20" l="1"/>
  <c r="E67" i="20"/>
  <c r="E66" i="20" l="1"/>
  <c r="T22" i="20" l="1"/>
  <c r="T11" i="20"/>
  <c r="L11" i="18"/>
  <c r="L140" i="17"/>
  <c r="L139" i="17"/>
  <c r="L11" i="20"/>
  <c r="K11" i="20"/>
  <c r="K3" i="20"/>
  <c r="T17" i="20"/>
  <c r="T16" i="20"/>
  <c r="K35" i="20"/>
  <c r="L53" i="20"/>
  <c r="E65" i="20" l="1"/>
  <c r="L48" i="20"/>
  <c r="Q22" i="20"/>
  <c r="Q24" i="20"/>
  <c r="Q19" i="20"/>
  <c r="Q18" i="20"/>
  <c r="Q12" i="20"/>
  <c r="Q14" i="20"/>
  <c r="Q13" i="20"/>
  <c r="Q11" i="20"/>
  <c r="Q9" i="20"/>
  <c r="H64" i="20" l="1"/>
  <c r="E64" i="20"/>
  <c r="E63" i="20"/>
  <c r="E62" i="20"/>
  <c r="K53" i="20" l="1"/>
  <c r="K48" i="20"/>
  <c r="N22" i="20"/>
  <c r="T14" i="20" l="1"/>
  <c r="P6" i="20"/>
  <c r="Q6" i="20"/>
  <c r="Q5" i="20"/>
  <c r="P5" i="20"/>
  <c r="Q4" i="20"/>
  <c r="P4" i="20"/>
  <c r="E60" i="20" l="1"/>
  <c r="H60" i="20"/>
  <c r="S22" i="20" l="1"/>
  <c r="H59" i="20" l="1"/>
  <c r="T12" i="20" l="1"/>
  <c r="L39" i="20"/>
  <c r="K39" i="20"/>
  <c r="R22" i="20" l="1"/>
  <c r="E59" i="20"/>
  <c r="AA8" i="20" l="1"/>
  <c r="V146" i="20"/>
  <c r="U146" i="20"/>
  <c r="U145" i="20"/>
  <c r="J145" i="20"/>
  <c r="V145" i="20" s="1"/>
  <c r="U144" i="20"/>
  <c r="J144" i="20"/>
  <c r="V144" i="20" s="1"/>
  <c r="U143" i="20"/>
  <c r="J143" i="20"/>
  <c r="V143" i="20" s="1"/>
  <c r="U142" i="20"/>
  <c r="J142" i="20"/>
  <c r="V142" i="20" s="1"/>
  <c r="U141" i="20"/>
  <c r="J141" i="20"/>
  <c r="V141" i="20" s="1"/>
  <c r="U140" i="20"/>
  <c r="J140" i="20"/>
  <c r="V140" i="20" s="1"/>
  <c r="U139" i="20"/>
  <c r="J139" i="20"/>
  <c r="V139" i="20" s="1"/>
  <c r="U138" i="20"/>
  <c r="J138" i="20"/>
  <c r="V138" i="20" s="1"/>
  <c r="U137" i="20"/>
  <c r="J137" i="20"/>
  <c r="V137" i="20" s="1"/>
  <c r="U136" i="20"/>
  <c r="J136" i="20"/>
  <c r="V136" i="20" s="1"/>
  <c r="U135" i="20"/>
  <c r="J135" i="20"/>
  <c r="V135" i="20" s="1"/>
  <c r="U134" i="20"/>
  <c r="J134" i="20"/>
  <c r="V134" i="20" s="1"/>
  <c r="U133" i="20"/>
  <c r="J133" i="20"/>
  <c r="V133" i="20" s="1"/>
  <c r="U132" i="20"/>
  <c r="J132" i="20"/>
  <c r="V132" i="20" s="1"/>
  <c r="U131" i="20"/>
  <c r="J131" i="20"/>
  <c r="V131" i="20" s="1"/>
  <c r="U130" i="20"/>
  <c r="J130" i="20"/>
  <c r="V130" i="20" s="1"/>
  <c r="U129" i="20"/>
  <c r="J129" i="20"/>
  <c r="V129" i="20" s="1"/>
  <c r="U128" i="20"/>
  <c r="J128" i="20"/>
  <c r="V128" i="20" s="1"/>
  <c r="U127" i="20"/>
  <c r="J127" i="20"/>
  <c r="V127" i="20" s="1"/>
  <c r="U126" i="20"/>
  <c r="J126" i="20"/>
  <c r="V126" i="20" s="1"/>
  <c r="U125" i="20"/>
  <c r="J125" i="20"/>
  <c r="V125" i="20" s="1"/>
  <c r="U124" i="20"/>
  <c r="J124" i="20"/>
  <c r="V124" i="20" s="1"/>
  <c r="U123" i="20"/>
  <c r="J123" i="20"/>
  <c r="V123" i="20" s="1"/>
  <c r="U122" i="20"/>
  <c r="J122" i="20"/>
  <c r="V122" i="20" s="1"/>
  <c r="U121" i="20"/>
  <c r="J121" i="20"/>
  <c r="V121" i="20" s="1"/>
  <c r="U120" i="20"/>
  <c r="J120" i="20"/>
  <c r="V120" i="20" s="1"/>
  <c r="U119" i="20"/>
  <c r="J119" i="20"/>
  <c r="V119" i="20" s="1"/>
  <c r="U118" i="20"/>
  <c r="J118" i="20"/>
  <c r="V118" i="20" s="1"/>
  <c r="U117" i="20"/>
  <c r="J117" i="20"/>
  <c r="V117" i="20" s="1"/>
  <c r="U116" i="20"/>
  <c r="J116" i="20"/>
  <c r="V116" i="20" s="1"/>
  <c r="U115" i="20"/>
  <c r="J115" i="20"/>
  <c r="V115" i="20" s="1"/>
  <c r="U114" i="20"/>
  <c r="J114" i="20"/>
  <c r="V114" i="20" s="1"/>
  <c r="U113" i="20"/>
  <c r="J113" i="20"/>
  <c r="V113" i="20" s="1"/>
  <c r="U112" i="20"/>
  <c r="J112" i="20"/>
  <c r="V112" i="20" s="1"/>
  <c r="U111" i="20"/>
  <c r="J111" i="20"/>
  <c r="V111" i="20" s="1"/>
  <c r="U110" i="20"/>
  <c r="J110" i="20"/>
  <c r="V110" i="20" s="1"/>
  <c r="U109" i="20"/>
  <c r="J109" i="20"/>
  <c r="V109" i="20" s="1"/>
  <c r="U108" i="20"/>
  <c r="J108" i="20"/>
  <c r="V108" i="20" s="1"/>
  <c r="U107" i="20"/>
  <c r="J107" i="20"/>
  <c r="V107" i="20" s="1"/>
  <c r="U106" i="20"/>
  <c r="J106" i="20"/>
  <c r="V106" i="20" s="1"/>
  <c r="U105" i="20"/>
  <c r="J105" i="20"/>
  <c r="V105" i="20" s="1"/>
  <c r="U104" i="20"/>
  <c r="J104" i="20"/>
  <c r="V104" i="20" s="1"/>
  <c r="U103" i="20"/>
  <c r="J103" i="20"/>
  <c r="V103" i="20" s="1"/>
  <c r="U102" i="20"/>
  <c r="J102" i="20"/>
  <c r="V102" i="20" s="1"/>
  <c r="U101" i="20"/>
  <c r="J101" i="20"/>
  <c r="V101" i="20" s="1"/>
  <c r="U100" i="20"/>
  <c r="J100" i="20"/>
  <c r="V100" i="20" s="1"/>
  <c r="U99" i="20"/>
  <c r="J99" i="20"/>
  <c r="V99" i="20" s="1"/>
  <c r="U98" i="20"/>
  <c r="J98" i="20"/>
  <c r="V98" i="20" s="1"/>
  <c r="U97" i="20"/>
  <c r="J97" i="20"/>
  <c r="V97" i="20" s="1"/>
  <c r="U96" i="20"/>
  <c r="J96" i="20"/>
  <c r="V96" i="20" s="1"/>
  <c r="U95" i="20"/>
  <c r="J95" i="20"/>
  <c r="V95" i="20" s="1"/>
  <c r="U94" i="20"/>
  <c r="J94" i="20"/>
  <c r="V94" i="20" s="1"/>
  <c r="U93" i="20"/>
  <c r="J93" i="20"/>
  <c r="V93" i="20" s="1"/>
  <c r="U92" i="20"/>
  <c r="J92" i="20"/>
  <c r="V92" i="20" s="1"/>
  <c r="U91" i="20"/>
  <c r="J91" i="20"/>
  <c r="V91" i="20" s="1"/>
  <c r="U90" i="20"/>
  <c r="J90" i="20"/>
  <c r="V90" i="20" s="1"/>
  <c r="U89" i="20"/>
  <c r="J89" i="20"/>
  <c r="V89" i="20" s="1"/>
  <c r="U88" i="20"/>
  <c r="J88" i="20"/>
  <c r="V88" i="20" s="1"/>
  <c r="U87" i="20"/>
  <c r="J87" i="20"/>
  <c r="V87" i="20" s="1"/>
  <c r="U86" i="20"/>
  <c r="J86" i="20"/>
  <c r="V86" i="20" s="1"/>
  <c r="U85" i="20"/>
  <c r="J85" i="20"/>
  <c r="V85" i="20" s="1"/>
  <c r="U84" i="20"/>
  <c r="J84" i="20"/>
  <c r="V84" i="20" s="1"/>
  <c r="U83" i="20"/>
  <c r="J83" i="20"/>
  <c r="V83" i="20" s="1"/>
  <c r="U82" i="20"/>
  <c r="J82" i="20"/>
  <c r="V82" i="20" s="1"/>
  <c r="U81" i="20"/>
  <c r="J81" i="20"/>
  <c r="V81" i="20" s="1"/>
  <c r="U80" i="20"/>
  <c r="J80" i="20"/>
  <c r="V80" i="20" s="1"/>
  <c r="U79" i="20"/>
  <c r="J79" i="20"/>
  <c r="V79" i="20" s="1"/>
  <c r="U78" i="20"/>
  <c r="J78" i="20"/>
  <c r="V78" i="20" s="1"/>
  <c r="U77" i="20"/>
  <c r="J77" i="20"/>
  <c r="V77" i="20" s="1"/>
  <c r="U76" i="20"/>
  <c r="J76" i="20"/>
  <c r="V76" i="20" s="1"/>
  <c r="U75" i="20"/>
  <c r="J75" i="20"/>
  <c r="V75" i="20" s="1"/>
  <c r="U74" i="20"/>
  <c r="J74" i="20"/>
  <c r="V74" i="20" s="1"/>
  <c r="U73" i="20"/>
  <c r="J73" i="20"/>
  <c r="U72" i="20"/>
  <c r="V72" i="20" s="1"/>
  <c r="U71" i="20"/>
  <c r="J71" i="20"/>
  <c r="U70" i="20"/>
  <c r="J70" i="20"/>
  <c r="V70" i="20" s="1"/>
  <c r="U69" i="20"/>
  <c r="J69" i="20"/>
  <c r="U68" i="20"/>
  <c r="J68" i="20"/>
  <c r="U67" i="20"/>
  <c r="J67" i="20"/>
  <c r="U66" i="20"/>
  <c r="J66" i="20"/>
  <c r="U65" i="20"/>
  <c r="J65" i="20"/>
  <c r="U64" i="20"/>
  <c r="J64" i="20"/>
  <c r="V64" i="20" s="1"/>
  <c r="U63" i="20"/>
  <c r="J63" i="20"/>
  <c r="U62" i="20"/>
  <c r="J62" i="20"/>
  <c r="U61" i="20"/>
  <c r="J61" i="20"/>
  <c r="U60" i="20"/>
  <c r="J60" i="20"/>
  <c r="U59" i="20"/>
  <c r="J59" i="20"/>
  <c r="U58" i="20"/>
  <c r="J58" i="20"/>
  <c r="E58" i="20"/>
  <c r="U57" i="20"/>
  <c r="G57" i="20"/>
  <c r="H57" i="20" s="1"/>
  <c r="J57" i="20" s="1"/>
  <c r="E57" i="20"/>
  <c r="U56" i="20"/>
  <c r="G56" i="20"/>
  <c r="H56" i="20" s="1"/>
  <c r="J56" i="20" s="1"/>
  <c r="E56" i="20"/>
  <c r="U55" i="20"/>
  <c r="H55" i="20"/>
  <c r="J55" i="20" s="1"/>
  <c r="E55" i="20"/>
  <c r="U54" i="20"/>
  <c r="H54" i="20"/>
  <c r="J54" i="20" s="1"/>
  <c r="E54" i="20"/>
  <c r="U53" i="20"/>
  <c r="H53" i="20"/>
  <c r="J53" i="20" s="1"/>
  <c r="E53" i="20"/>
  <c r="U52" i="20"/>
  <c r="J52" i="20"/>
  <c r="E52" i="20"/>
  <c r="U51" i="20"/>
  <c r="J51" i="20"/>
  <c r="E51" i="20"/>
  <c r="U50" i="20"/>
  <c r="J50" i="20"/>
  <c r="E50" i="20"/>
  <c r="U49" i="20"/>
  <c r="H49" i="20"/>
  <c r="J49" i="20" s="1"/>
  <c r="E49" i="20"/>
  <c r="U48" i="20"/>
  <c r="H48" i="20"/>
  <c r="J48" i="20" s="1"/>
  <c r="E48" i="20"/>
  <c r="U47" i="20"/>
  <c r="J47" i="20"/>
  <c r="E47" i="20"/>
  <c r="AD46" i="20"/>
  <c r="U46" i="20"/>
  <c r="H46" i="20"/>
  <c r="J46" i="20" s="1"/>
  <c r="E46" i="20"/>
  <c r="U45" i="20"/>
  <c r="G45" i="20"/>
  <c r="H45" i="20" s="1"/>
  <c r="J45" i="20" s="1"/>
  <c r="E45" i="20"/>
  <c r="U44" i="20"/>
  <c r="G44" i="20"/>
  <c r="H44" i="20" s="1"/>
  <c r="J44" i="20" s="1"/>
  <c r="E44" i="20"/>
  <c r="U43" i="20"/>
  <c r="H43" i="20"/>
  <c r="J43" i="20" s="1"/>
  <c r="E43" i="20"/>
  <c r="U42" i="20"/>
  <c r="H42" i="20"/>
  <c r="J42" i="20" s="1"/>
  <c r="E42" i="20"/>
  <c r="AD41" i="20"/>
  <c r="M41" i="20"/>
  <c r="U41" i="20" s="1"/>
  <c r="G41" i="20"/>
  <c r="H41" i="20" s="1"/>
  <c r="J41" i="20" s="1"/>
  <c r="E41" i="20"/>
  <c r="AD40" i="20"/>
  <c r="U40" i="20"/>
  <c r="J40" i="20"/>
  <c r="E40" i="20"/>
  <c r="U39" i="20"/>
  <c r="J39" i="20"/>
  <c r="E39" i="20"/>
  <c r="AD38" i="20"/>
  <c r="U38" i="20"/>
  <c r="J38" i="20"/>
  <c r="E38" i="20"/>
  <c r="AD37" i="20"/>
  <c r="U37" i="20"/>
  <c r="G37" i="20"/>
  <c r="H37" i="20" s="1"/>
  <c r="J37" i="20" s="1"/>
  <c r="E37" i="20"/>
  <c r="L36" i="20"/>
  <c r="K36" i="20"/>
  <c r="H36" i="20"/>
  <c r="E36" i="20"/>
  <c r="AD35" i="20"/>
  <c r="U35" i="20"/>
  <c r="H35" i="20"/>
  <c r="J35" i="20" s="1"/>
  <c r="E35" i="20"/>
  <c r="AD34" i="20"/>
  <c r="M34" i="20"/>
  <c r="U34" i="20" s="1"/>
  <c r="H34" i="20"/>
  <c r="J34" i="20" s="1"/>
  <c r="E34" i="20"/>
  <c r="U33" i="20"/>
  <c r="J33" i="20"/>
  <c r="E33" i="20"/>
  <c r="AD32" i="20"/>
  <c r="K32" i="20"/>
  <c r="U32" i="20" s="1"/>
  <c r="G32" i="20"/>
  <c r="H32" i="20" s="1"/>
  <c r="E32" i="20"/>
  <c r="AD31" i="20"/>
  <c r="K31" i="20"/>
  <c r="U31" i="20" s="1"/>
  <c r="H31" i="20"/>
  <c r="E31" i="20"/>
  <c r="AD30" i="20"/>
  <c r="U30" i="20"/>
  <c r="H30" i="20"/>
  <c r="J30" i="20" s="1"/>
  <c r="E30" i="20"/>
  <c r="AD29" i="20"/>
  <c r="U29" i="20"/>
  <c r="H29" i="20"/>
  <c r="J29" i="20" s="1"/>
  <c r="E29" i="20"/>
  <c r="AD28" i="20"/>
  <c r="U28" i="20"/>
  <c r="J28" i="20"/>
  <c r="E28" i="20"/>
  <c r="AD27" i="20"/>
  <c r="U27" i="20"/>
  <c r="H27" i="20"/>
  <c r="J27" i="20" s="1"/>
  <c r="E27" i="20"/>
  <c r="L26" i="20"/>
  <c r="K26" i="20"/>
  <c r="H26" i="20"/>
  <c r="J26" i="20" s="1"/>
  <c r="E26" i="20"/>
  <c r="AD25" i="20"/>
  <c r="L25" i="20"/>
  <c r="K25" i="20"/>
  <c r="J25" i="20" s="1"/>
  <c r="E25" i="20"/>
  <c r="R24" i="20"/>
  <c r="M24" i="20"/>
  <c r="L24" i="20"/>
  <c r="K24" i="20"/>
  <c r="H24" i="20"/>
  <c r="E24" i="20"/>
  <c r="AD23" i="20"/>
  <c r="K23" i="20"/>
  <c r="U23" i="20" s="1"/>
  <c r="E23" i="20"/>
  <c r="L22" i="20"/>
  <c r="K22" i="20"/>
  <c r="H22" i="20"/>
  <c r="E22" i="20"/>
  <c r="L21" i="20"/>
  <c r="K21" i="20"/>
  <c r="H21" i="20"/>
  <c r="E21" i="20"/>
  <c r="K20" i="20"/>
  <c r="U20" i="20" s="1"/>
  <c r="E20" i="20"/>
  <c r="T19" i="20"/>
  <c r="K19" i="20"/>
  <c r="U19" i="20" s="1"/>
  <c r="J19" i="20"/>
  <c r="E19" i="20"/>
  <c r="K18" i="20"/>
  <c r="U18" i="20" s="1"/>
  <c r="J18" i="20"/>
  <c r="E18" i="20"/>
  <c r="U17" i="20"/>
  <c r="H17" i="20"/>
  <c r="E17" i="20"/>
  <c r="AD16" i="20"/>
  <c r="R16" i="20"/>
  <c r="Q16" i="20"/>
  <c r="P16" i="20"/>
  <c r="U16" i="20" s="1"/>
  <c r="H16" i="20"/>
  <c r="J16" i="20" s="1"/>
  <c r="E16" i="20"/>
  <c r="K15" i="20"/>
  <c r="U15" i="20" s="1"/>
  <c r="H15" i="20"/>
  <c r="E15" i="20"/>
  <c r="AD14" i="20"/>
  <c r="P14" i="20"/>
  <c r="K14" i="20"/>
  <c r="J14" i="20" s="1"/>
  <c r="E14" i="20"/>
  <c r="T13" i="20"/>
  <c r="R13" i="20"/>
  <c r="K13" i="20"/>
  <c r="U13" i="20" s="1"/>
  <c r="J13" i="20"/>
  <c r="E13" i="20"/>
  <c r="R12" i="20"/>
  <c r="M12" i="20"/>
  <c r="U12" i="20" s="1"/>
  <c r="J12" i="20"/>
  <c r="E12" i="20"/>
  <c r="AD11" i="20"/>
  <c r="R11" i="20"/>
  <c r="P11" i="20"/>
  <c r="O11" i="20"/>
  <c r="N11" i="20"/>
  <c r="U11" i="20" s="1"/>
  <c r="H11" i="20"/>
  <c r="J11" i="20" s="1"/>
  <c r="E11" i="20"/>
  <c r="T10" i="20"/>
  <c r="R10" i="20"/>
  <c r="O10" i="20"/>
  <c r="U10" i="20" s="1"/>
  <c r="H10" i="20"/>
  <c r="J10" i="20" s="1"/>
  <c r="E10" i="20"/>
  <c r="AD9" i="20"/>
  <c r="R9" i="20"/>
  <c r="P9" i="20"/>
  <c r="K9" i="20"/>
  <c r="J9" i="20"/>
  <c r="E9" i="20"/>
  <c r="T8" i="20"/>
  <c r="R8" i="20"/>
  <c r="U8" i="20"/>
  <c r="J8" i="20"/>
  <c r="E8" i="20"/>
  <c r="U7" i="20"/>
  <c r="J7" i="20"/>
  <c r="E7" i="20"/>
  <c r="U6" i="20"/>
  <c r="T6" i="20"/>
  <c r="S6" i="20"/>
  <c r="J6" i="20"/>
  <c r="E6" i="20"/>
  <c r="S5" i="20"/>
  <c r="U5" i="20"/>
  <c r="J5" i="20"/>
  <c r="E5" i="20"/>
  <c r="S4" i="20"/>
  <c r="U4" i="20"/>
  <c r="J4" i="20"/>
  <c r="E4" i="20"/>
  <c r="T3" i="20"/>
  <c r="S3" i="20"/>
  <c r="R3" i="20"/>
  <c r="U3" i="20"/>
  <c r="H3" i="20"/>
  <c r="J3" i="20" s="1"/>
  <c r="E3" i="20"/>
  <c r="K26" i="18"/>
  <c r="T19" i="18"/>
  <c r="T8" i="18"/>
  <c r="T3" i="18"/>
  <c r="P24" i="18"/>
  <c r="P21" i="18"/>
  <c r="P20" i="18"/>
  <c r="P19" i="18"/>
  <c r="P18" i="18"/>
  <c r="P15" i="18"/>
  <c r="P16" i="18"/>
  <c r="P12" i="18"/>
  <c r="P14" i="18"/>
  <c r="P13" i="18"/>
  <c r="P11" i="18"/>
  <c r="P10" i="18"/>
  <c r="P9" i="18"/>
  <c r="P8" i="18"/>
  <c r="P7" i="18"/>
  <c r="P3" i="18"/>
  <c r="S3" i="18"/>
  <c r="R24" i="18"/>
  <c r="M41" i="18"/>
  <c r="M34" i="18"/>
  <c r="L213" i="17"/>
  <c r="K36" i="18"/>
  <c r="AC8" i="18"/>
  <c r="L25" i="18"/>
  <c r="K25" i="18"/>
  <c r="L26" i="18"/>
  <c r="N22" i="18"/>
  <c r="U9" i="20" l="1"/>
  <c r="J21" i="20"/>
  <c r="V73" i="20"/>
  <c r="J31" i="20"/>
  <c r="V31" i="20" s="1"/>
  <c r="V68" i="20"/>
  <c r="U26" i="20"/>
  <c r="J32" i="20"/>
  <c r="V32" i="20" s="1"/>
  <c r="V71" i="20"/>
  <c r="V66" i="20"/>
  <c r="V69" i="20"/>
  <c r="V67" i="20"/>
  <c r="J22" i="20"/>
  <c r="U22" i="20"/>
  <c r="U25" i="20"/>
  <c r="V25" i="20" s="1"/>
  <c r="J24" i="20"/>
  <c r="U21" i="20"/>
  <c r="V65" i="20"/>
  <c r="V35" i="20"/>
  <c r="V16" i="20"/>
  <c r="V33" i="20"/>
  <c r="AD33" i="20" s="1"/>
  <c r="J23" i="20"/>
  <c r="V23" i="20" s="1"/>
  <c r="U24" i="20"/>
  <c r="V62" i="20"/>
  <c r="V11" i="20"/>
  <c r="J15" i="20"/>
  <c r="V15" i="20" s="1"/>
  <c r="J20" i="20"/>
  <c r="V20" i="20" s="1"/>
  <c r="V63" i="20"/>
  <c r="V61" i="20"/>
  <c r="V3" i="20"/>
  <c r="V13" i="20"/>
  <c r="AD13" i="20" s="1"/>
  <c r="V42" i="20"/>
  <c r="V59" i="20"/>
  <c r="V5" i="20"/>
  <c r="V7" i="20"/>
  <c r="V58" i="20"/>
  <c r="V26" i="20"/>
  <c r="AD26" i="20" s="1"/>
  <c r="V51" i="20"/>
  <c r="V28" i="20"/>
  <c r="V34" i="20"/>
  <c r="AD3" i="20"/>
  <c r="V50" i="20"/>
  <c r="V60" i="20"/>
  <c r="V39" i="20"/>
  <c r="AD39" i="20" s="1"/>
  <c r="V46" i="20"/>
  <c r="V19" i="20"/>
  <c r="V37" i="20"/>
  <c r="V40" i="20"/>
  <c r="V43" i="20"/>
  <c r="V9" i="20"/>
  <c r="V29" i="20"/>
  <c r="V4" i="20"/>
  <c r="AD4" i="20" s="1"/>
  <c r="V27" i="20"/>
  <c r="V30" i="20"/>
  <c r="V56" i="20"/>
  <c r="V57" i="20"/>
  <c r="V54" i="20"/>
  <c r="V47" i="20"/>
  <c r="V55" i="20"/>
  <c r="V38" i="20"/>
  <c r="V41" i="20"/>
  <c r="V44" i="20"/>
  <c r="J36" i="20"/>
  <c r="V8" i="20"/>
  <c r="AD8" i="20" s="1"/>
  <c r="V10" i="20"/>
  <c r="V6" i="20"/>
  <c r="AD6" i="20" s="1"/>
  <c r="V12" i="20"/>
  <c r="V18" i="20"/>
  <c r="V48" i="20"/>
  <c r="V45" i="20"/>
  <c r="V49" i="20"/>
  <c r="V53" i="20"/>
  <c r="V52" i="20"/>
  <c r="J17" i="20"/>
  <c r="V17" i="20" s="1"/>
  <c r="AD17" i="20" s="1"/>
  <c r="U36" i="20"/>
  <c r="U14" i="20"/>
  <c r="V14" i="20" s="1"/>
  <c r="T6" i="18"/>
  <c r="V21" i="20" l="1"/>
  <c r="AD21" i="20" s="1"/>
  <c r="V22" i="20"/>
  <c r="V24" i="20"/>
  <c r="AD24" i="20" s="1"/>
  <c r="V36" i="20"/>
  <c r="AD36" i="20" s="1"/>
  <c r="AD19" i="20"/>
  <c r="AD18" i="20"/>
  <c r="AD12" i="20"/>
  <c r="AD22" i="20"/>
  <c r="AD15" i="20"/>
  <c r="AD20" i="20"/>
  <c r="AD7" i="20"/>
  <c r="AD10" i="20"/>
  <c r="E58" i="18"/>
  <c r="G57" i="18"/>
  <c r="G56" i="18"/>
  <c r="H56" i="18" s="1"/>
  <c r="H57" i="18"/>
  <c r="E57" i="18"/>
  <c r="E56" i="18"/>
  <c r="AD1" i="20" l="1"/>
  <c r="E55" i="18"/>
  <c r="H55" i="18"/>
  <c r="H54" i="18"/>
  <c r="E54" i="18"/>
  <c r="H53" i="18"/>
  <c r="E53" i="18"/>
  <c r="E52" i="18"/>
  <c r="H49" i="18"/>
  <c r="E51" i="18" l="1"/>
  <c r="E50" i="18"/>
  <c r="E49" i="18"/>
  <c r="AB24" i="18" l="1"/>
  <c r="S6" i="18" l="1"/>
  <c r="S5" i="18"/>
  <c r="S4" i="18"/>
  <c r="Q6" i="18" l="1"/>
  <c r="P6" i="18"/>
  <c r="Q5" i="18"/>
  <c r="P5" i="18"/>
  <c r="Q4" i="18"/>
  <c r="P4" i="18"/>
  <c r="U4" i="18" l="1"/>
  <c r="U5" i="18"/>
  <c r="U6" i="18"/>
  <c r="J6" i="18"/>
  <c r="E6" i="18"/>
  <c r="J5" i="18"/>
  <c r="E5" i="18"/>
  <c r="J4" i="18"/>
  <c r="E4" i="18"/>
  <c r="U49" i="18"/>
  <c r="U50" i="18"/>
  <c r="U51" i="18"/>
  <c r="U52" i="18"/>
  <c r="U53" i="18"/>
  <c r="U54" i="18"/>
  <c r="U55" i="18"/>
  <c r="U56" i="18"/>
  <c r="U57" i="18"/>
  <c r="U58" i="18"/>
  <c r="U59" i="18"/>
  <c r="U60" i="18"/>
  <c r="U61" i="18"/>
  <c r="U62" i="18"/>
  <c r="U63" i="18"/>
  <c r="U64" i="18"/>
  <c r="U65" i="18"/>
  <c r="U66" i="18"/>
  <c r="U67" i="18"/>
  <c r="U68" i="18"/>
  <c r="U69" i="18"/>
  <c r="U70" i="18"/>
  <c r="U71" i="18"/>
  <c r="U72" i="18"/>
  <c r="U73" i="18"/>
  <c r="U74" i="18"/>
  <c r="U75" i="18"/>
  <c r="U76" i="18"/>
  <c r="U77" i="18"/>
  <c r="U78" i="18"/>
  <c r="U79" i="18"/>
  <c r="U80" i="18"/>
  <c r="U81" i="18"/>
  <c r="U82" i="18"/>
  <c r="U83" i="18"/>
  <c r="U84" i="18"/>
  <c r="U85" i="18"/>
  <c r="U86" i="18"/>
  <c r="U87" i="18"/>
  <c r="U88" i="18"/>
  <c r="U89" i="18"/>
  <c r="U90" i="18"/>
  <c r="U91" i="18"/>
  <c r="U92" i="18"/>
  <c r="U93" i="18"/>
  <c r="U94" i="18"/>
  <c r="U95" i="18"/>
  <c r="U96" i="18"/>
  <c r="U97" i="18"/>
  <c r="U98" i="18"/>
  <c r="U99" i="18"/>
  <c r="U100" i="18"/>
  <c r="U101" i="18"/>
  <c r="U102" i="18"/>
  <c r="U103" i="18"/>
  <c r="U104" i="18"/>
  <c r="U105" i="18"/>
  <c r="U106" i="18"/>
  <c r="U107" i="18"/>
  <c r="U108" i="18"/>
  <c r="U109" i="18"/>
  <c r="U110" i="18"/>
  <c r="U111" i="18"/>
  <c r="U112" i="18"/>
  <c r="U113" i="18"/>
  <c r="U114" i="18"/>
  <c r="U115" i="18"/>
  <c r="U116" i="18"/>
  <c r="U117" i="18"/>
  <c r="U118" i="18"/>
  <c r="U119" i="18"/>
  <c r="U120" i="18"/>
  <c r="U121" i="18"/>
  <c r="U122" i="18"/>
  <c r="U123" i="18"/>
  <c r="U124" i="18"/>
  <c r="U125" i="18"/>
  <c r="U126" i="18"/>
  <c r="U127" i="18"/>
  <c r="U128" i="18"/>
  <c r="U129" i="18"/>
  <c r="U130" i="18"/>
  <c r="U131" i="18"/>
  <c r="U132" i="18"/>
  <c r="U133" i="18"/>
  <c r="U134" i="18"/>
  <c r="U135" i="18"/>
  <c r="U136" i="18"/>
  <c r="U137" i="18"/>
  <c r="U138" i="18"/>
  <c r="U139" i="18"/>
  <c r="U140" i="18"/>
  <c r="U141" i="18"/>
  <c r="U142" i="18"/>
  <c r="U143" i="18"/>
  <c r="U144" i="18"/>
  <c r="U145" i="18"/>
  <c r="J49" i="18"/>
  <c r="J50" i="18"/>
  <c r="J51" i="18"/>
  <c r="J52" i="18"/>
  <c r="J53" i="18"/>
  <c r="J54" i="18"/>
  <c r="J55" i="18"/>
  <c r="J56" i="18"/>
  <c r="J57" i="18"/>
  <c r="J58" i="18"/>
  <c r="J59" i="18"/>
  <c r="V59" i="18" s="1"/>
  <c r="J60" i="18"/>
  <c r="V60" i="18" s="1"/>
  <c r="J61" i="18"/>
  <c r="V61" i="18" s="1"/>
  <c r="J62" i="18"/>
  <c r="V62" i="18" s="1"/>
  <c r="J63" i="18"/>
  <c r="V63" i="18" s="1"/>
  <c r="J64" i="18"/>
  <c r="V64" i="18" s="1"/>
  <c r="J65" i="18"/>
  <c r="V65" i="18" s="1"/>
  <c r="J66" i="18"/>
  <c r="V66" i="18" s="1"/>
  <c r="J67" i="18"/>
  <c r="V67" i="18" s="1"/>
  <c r="J68" i="18"/>
  <c r="V68" i="18" s="1"/>
  <c r="J69" i="18"/>
  <c r="V69" i="18" s="1"/>
  <c r="J70" i="18"/>
  <c r="V70" i="18" s="1"/>
  <c r="J71" i="18"/>
  <c r="V71" i="18" s="1"/>
  <c r="J72" i="18"/>
  <c r="V72" i="18" s="1"/>
  <c r="J73" i="18"/>
  <c r="V73" i="18" s="1"/>
  <c r="J74" i="18"/>
  <c r="V74" i="18" s="1"/>
  <c r="J75" i="18"/>
  <c r="V75" i="18" s="1"/>
  <c r="J76" i="18"/>
  <c r="V76" i="18" s="1"/>
  <c r="J77" i="18"/>
  <c r="V77" i="18" s="1"/>
  <c r="J78" i="18"/>
  <c r="V78" i="18" s="1"/>
  <c r="J79" i="18"/>
  <c r="V79" i="18" s="1"/>
  <c r="J80" i="18"/>
  <c r="V80" i="18" s="1"/>
  <c r="J81" i="18"/>
  <c r="V81" i="18" s="1"/>
  <c r="J82" i="18"/>
  <c r="V82" i="18" s="1"/>
  <c r="J83" i="18"/>
  <c r="V83" i="18" s="1"/>
  <c r="J84" i="18"/>
  <c r="V84" i="18" s="1"/>
  <c r="J85" i="18"/>
  <c r="V85" i="18" s="1"/>
  <c r="J86" i="18"/>
  <c r="V86" i="18" s="1"/>
  <c r="J87" i="18"/>
  <c r="V87" i="18" s="1"/>
  <c r="J88" i="18"/>
  <c r="V88" i="18" s="1"/>
  <c r="J89" i="18"/>
  <c r="V89" i="18" s="1"/>
  <c r="J90" i="18"/>
  <c r="V90" i="18" s="1"/>
  <c r="J91" i="18"/>
  <c r="V91" i="18" s="1"/>
  <c r="J92" i="18"/>
  <c r="V92" i="18" s="1"/>
  <c r="J93" i="18"/>
  <c r="V93" i="18" s="1"/>
  <c r="J94" i="18"/>
  <c r="V94" i="18" s="1"/>
  <c r="J95" i="18"/>
  <c r="V95" i="18" s="1"/>
  <c r="J96" i="18"/>
  <c r="V96" i="18" s="1"/>
  <c r="J97" i="18"/>
  <c r="V97" i="18" s="1"/>
  <c r="J98" i="18"/>
  <c r="V98" i="18" s="1"/>
  <c r="J99" i="18"/>
  <c r="V99" i="18" s="1"/>
  <c r="J100" i="18"/>
  <c r="V100" i="18" s="1"/>
  <c r="J101" i="18"/>
  <c r="V101" i="18" s="1"/>
  <c r="J102" i="18"/>
  <c r="V102" i="18" s="1"/>
  <c r="J103" i="18"/>
  <c r="V103" i="18" s="1"/>
  <c r="J104" i="18"/>
  <c r="V104" i="18" s="1"/>
  <c r="J105" i="18"/>
  <c r="V105" i="18" s="1"/>
  <c r="J106" i="18"/>
  <c r="V106" i="18" s="1"/>
  <c r="J107" i="18"/>
  <c r="V107" i="18" s="1"/>
  <c r="J108" i="18"/>
  <c r="V108" i="18" s="1"/>
  <c r="J109" i="18"/>
  <c r="V109" i="18" s="1"/>
  <c r="J110" i="18"/>
  <c r="V110" i="18" s="1"/>
  <c r="J111" i="18"/>
  <c r="V111" i="18" s="1"/>
  <c r="J112" i="18"/>
  <c r="V112" i="18" s="1"/>
  <c r="J113" i="18"/>
  <c r="V113" i="18" s="1"/>
  <c r="J114" i="18"/>
  <c r="V114" i="18" s="1"/>
  <c r="J115" i="18"/>
  <c r="V115" i="18" s="1"/>
  <c r="J116" i="18"/>
  <c r="V116" i="18" s="1"/>
  <c r="J117" i="18"/>
  <c r="V117" i="18" s="1"/>
  <c r="J118" i="18"/>
  <c r="V118" i="18" s="1"/>
  <c r="J119" i="18"/>
  <c r="V119" i="18" s="1"/>
  <c r="J120" i="18"/>
  <c r="V120" i="18" s="1"/>
  <c r="J121" i="18"/>
  <c r="V121" i="18" s="1"/>
  <c r="J122" i="18"/>
  <c r="V122" i="18" s="1"/>
  <c r="J123" i="18"/>
  <c r="V123" i="18" s="1"/>
  <c r="J124" i="18"/>
  <c r="V124" i="18" s="1"/>
  <c r="J125" i="18"/>
  <c r="V125" i="18" s="1"/>
  <c r="J126" i="18"/>
  <c r="V126" i="18" s="1"/>
  <c r="J127" i="18"/>
  <c r="V127" i="18" s="1"/>
  <c r="J128" i="18"/>
  <c r="V128" i="18" s="1"/>
  <c r="J129" i="18"/>
  <c r="V129" i="18" s="1"/>
  <c r="J130" i="18"/>
  <c r="V130" i="18" s="1"/>
  <c r="J131" i="18"/>
  <c r="V131" i="18" s="1"/>
  <c r="J132" i="18"/>
  <c r="V132" i="18" s="1"/>
  <c r="J133" i="18"/>
  <c r="V133" i="18" s="1"/>
  <c r="J134" i="18"/>
  <c r="V134" i="18" s="1"/>
  <c r="J135" i="18"/>
  <c r="V135" i="18" s="1"/>
  <c r="J136" i="18"/>
  <c r="V136" i="18" s="1"/>
  <c r="J137" i="18"/>
  <c r="V137" i="18" s="1"/>
  <c r="J138" i="18"/>
  <c r="V138" i="18" s="1"/>
  <c r="J139" i="18"/>
  <c r="V139" i="18" s="1"/>
  <c r="J140" i="18"/>
  <c r="V140" i="18" s="1"/>
  <c r="J141" i="18"/>
  <c r="V141" i="18" s="1"/>
  <c r="J142" i="18"/>
  <c r="V142" i="18" s="1"/>
  <c r="J143" i="18"/>
  <c r="V143" i="18" s="1"/>
  <c r="J144" i="18"/>
  <c r="V144" i="18" s="1"/>
  <c r="J145" i="18"/>
  <c r="V145" i="18" s="1"/>
  <c r="J47" i="18"/>
  <c r="M24" i="18"/>
  <c r="J12" i="18"/>
  <c r="V52" i="18" l="1"/>
  <c r="V54" i="18"/>
  <c r="V51" i="18"/>
  <c r="V58" i="18"/>
  <c r="V56" i="18"/>
  <c r="V57" i="18"/>
  <c r="V55" i="18"/>
  <c r="V50" i="18"/>
  <c r="V53" i="18"/>
  <c r="V49" i="18"/>
  <c r="V6" i="18"/>
  <c r="AD6" i="18" s="1"/>
  <c r="V4" i="18"/>
  <c r="AD4" i="18" s="1"/>
  <c r="V5" i="18"/>
  <c r="AD5" i="18" s="1"/>
  <c r="R16" i="18"/>
  <c r="T13" i="18" l="1"/>
  <c r="R13" i="18"/>
  <c r="R11" i="18"/>
  <c r="T12" i="18"/>
  <c r="R12" i="18"/>
  <c r="T10" i="18"/>
  <c r="R10" i="18"/>
  <c r="R9" i="18"/>
  <c r="R8" i="18"/>
  <c r="R3" i="18"/>
  <c r="U146" i="18"/>
  <c r="U48" i="18"/>
  <c r="U47" i="18"/>
  <c r="V47" i="18" s="1"/>
  <c r="U46" i="18"/>
  <c r="U45" i="18"/>
  <c r="U44" i="18"/>
  <c r="U43" i="18"/>
  <c r="U42" i="18"/>
  <c r="U41" i="18"/>
  <c r="U40" i="18"/>
  <c r="U38" i="18"/>
  <c r="U37" i="18"/>
  <c r="U34" i="18"/>
  <c r="U33" i="18"/>
  <c r="U30" i="18"/>
  <c r="U29" i="18"/>
  <c r="U28" i="18"/>
  <c r="U27" i="18"/>
  <c r="U26" i="18"/>
  <c r="U25" i="18"/>
  <c r="U17" i="18"/>
  <c r="L36" i="18"/>
  <c r="U36" i="18" s="1"/>
  <c r="L35" i="18"/>
  <c r="U35" i="18" s="1"/>
  <c r="K39" i="18" l="1"/>
  <c r="U39" i="18" s="1"/>
  <c r="H48" i="18"/>
  <c r="J48" i="18" s="1"/>
  <c r="V48" i="18" s="1"/>
  <c r="E48" i="18"/>
  <c r="Q21" i="18"/>
  <c r="Q20" i="18"/>
  <c r="Q19" i="18"/>
  <c r="Q18" i="18"/>
  <c r="Q16" i="18"/>
  <c r="U16" i="18" s="1"/>
  <c r="Q15" i="18"/>
  <c r="Q14" i="18"/>
  <c r="Q13" i="18"/>
  <c r="Q12" i="18"/>
  <c r="Q11" i="18"/>
  <c r="Q10" i="18"/>
  <c r="Q9" i="18"/>
  <c r="Q8" i="18"/>
  <c r="U8" i="18" s="1"/>
  <c r="Q7" i="18"/>
  <c r="U7" i="18" s="1"/>
  <c r="Q3" i="18"/>
  <c r="U3" i="18" s="1"/>
  <c r="V146" i="18"/>
  <c r="L220" i="17" l="1"/>
  <c r="K247" i="17" l="1"/>
  <c r="V229" i="17"/>
  <c r="T15" i="17"/>
  <c r="V15" i="17"/>
  <c r="AA24" i="18"/>
  <c r="E47" i="18"/>
  <c r="AD46" i="18" l="1"/>
  <c r="H46" i="18"/>
  <c r="J46" i="18" s="1"/>
  <c r="V46" i="18" s="1"/>
  <c r="E46" i="18"/>
  <c r="G45" i="18"/>
  <c r="H45" i="18" s="1"/>
  <c r="J45" i="18" s="1"/>
  <c r="V45" i="18" s="1"/>
  <c r="E45" i="18"/>
  <c r="G44" i="18"/>
  <c r="H44" i="18" s="1"/>
  <c r="J44" i="18" s="1"/>
  <c r="V44" i="18" s="1"/>
  <c r="E44" i="18"/>
  <c r="H43" i="18"/>
  <c r="J43" i="18" s="1"/>
  <c r="V43" i="18" s="1"/>
  <c r="E43" i="18"/>
  <c r="H42" i="18"/>
  <c r="J42" i="18" s="1"/>
  <c r="E42" i="18"/>
  <c r="AD41" i="18"/>
  <c r="G41" i="18"/>
  <c r="H41" i="18" s="1"/>
  <c r="J41" i="18" s="1"/>
  <c r="E41" i="18"/>
  <c r="AD40" i="18"/>
  <c r="J40" i="18"/>
  <c r="E40" i="18"/>
  <c r="AD39" i="18"/>
  <c r="J39" i="18"/>
  <c r="E39" i="18"/>
  <c r="AD38" i="18"/>
  <c r="J38" i="18"/>
  <c r="E38" i="18"/>
  <c r="AD37" i="18"/>
  <c r="G37" i="18"/>
  <c r="H37" i="18" s="1"/>
  <c r="J37" i="18" s="1"/>
  <c r="E37" i="18"/>
  <c r="AD36" i="18"/>
  <c r="H36" i="18"/>
  <c r="J36" i="18" s="1"/>
  <c r="E36" i="18"/>
  <c r="AD35" i="18"/>
  <c r="H35" i="18"/>
  <c r="J35" i="18" s="1"/>
  <c r="E35" i="18"/>
  <c r="AD34" i="18"/>
  <c r="H34" i="18"/>
  <c r="J34" i="18" s="1"/>
  <c r="E34" i="18"/>
  <c r="J33" i="18"/>
  <c r="E33" i="18"/>
  <c r="AD32" i="18"/>
  <c r="K32" i="18"/>
  <c r="U32" i="18" s="1"/>
  <c r="G32" i="18"/>
  <c r="H32" i="18" s="1"/>
  <c r="E32" i="18"/>
  <c r="AD31" i="18"/>
  <c r="K31" i="18"/>
  <c r="U31" i="18" s="1"/>
  <c r="H31" i="18"/>
  <c r="E31" i="18"/>
  <c r="AD30" i="18"/>
  <c r="H30" i="18"/>
  <c r="J30" i="18" s="1"/>
  <c r="V30" i="18" s="1"/>
  <c r="E30" i="18"/>
  <c r="AD29" i="18"/>
  <c r="H29" i="18"/>
  <c r="J29" i="18" s="1"/>
  <c r="E29" i="18"/>
  <c r="AD28" i="18"/>
  <c r="J28" i="18"/>
  <c r="E28" i="18"/>
  <c r="AD27" i="18"/>
  <c r="H27" i="18"/>
  <c r="J27" i="18" s="1"/>
  <c r="V27" i="18" s="1"/>
  <c r="E27" i="18"/>
  <c r="AD26" i="18"/>
  <c r="H26" i="18"/>
  <c r="J26" i="18" s="1"/>
  <c r="E26" i="18"/>
  <c r="AD25" i="18"/>
  <c r="J25" i="18"/>
  <c r="E25" i="18"/>
  <c r="L24" i="18"/>
  <c r="K24" i="18"/>
  <c r="H24" i="18"/>
  <c r="E24" i="18"/>
  <c r="AD23" i="18"/>
  <c r="K23" i="18"/>
  <c r="U23" i="18" s="1"/>
  <c r="E23" i="18"/>
  <c r="L22" i="18"/>
  <c r="K22" i="18"/>
  <c r="H22" i="18"/>
  <c r="E22" i="18"/>
  <c r="L21" i="18"/>
  <c r="K21" i="18"/>
  <c r="H21" i="18"/>
  <c r="E21" i="18"/>
  <c r="K20" i="18"/>
  <c r="U20" i="18" s="1"/>
  <c r="E20" i="18"/>
  <c r="K19" i="18"/>
  <c r="J19" i="18" s="1"/>
  <c r="E19" i="18"/>
  <c r="K18" i="18"/>
  <c r="J18" i="18" s="1"/>
  <c r="E18" i="18"/>
  <c r="H17" i="18"/>
  <c r="J17" i="18" s="1"/>
  <c r="E17" i="18"/>
  <c r="AD16" i="18"/>
  <c r="H16" i="18"/>
  <c r="J16" i="18" s="1"/>
  <c r="E16" i="18"/>
  <c r="K15" i="18"/>
  <c r="U15" i="18" s="1"/>
  <c r="H15" i="18"/>
  <c r="E15" i="18"/>
  <c r="AD14" i="18"/>
  <c r="K14" i="18"/>
  <c r="J14" i="18" s="1"/>
  <c r="E14" i="18"/>
  <c r="K13" i="18"/>
  <c r="J13" i="18" s="1"/>
  <c r="E13" i="18"/>
  <c r="M12" i="18"/>
  <c r="E12" i="18"/>
  <c r="AD11" i="18"/>
  <c r="O11" i="18"/>
  <c r="N11" i="18"/>
  <c r="H11" i="18"/>
  <c r="J11" i="18" s="1"/>
  <c r="E11" i="18"/>
  <c r="O10" i="18"/>
  <c r="U10" i="18" s="1"/>
  <c r="H10" i="18"/>
  <c r="J10" i="18" s="1"/>
  <c r="E10" i="18"/>
  <c r="AD9" i="18"/>
  <c r="K9" i="18"/>
  <c r="E9" i="18"/>
  <c r="J8" i="18"/>
  <c r="E8" i="18"/>
  <c r="J7" i="18"/>
  <c r="E7" i="18"/>
  <c r="H3" i="18"/>
  <c r="J3" i="18" s="1"/>
  <c r="E3" i="18"/>
  <c r="H254" i="17"/>
  <c r="U21" i="18" l="1"/>
  <c r="U11" i="18"/>
  <c r="V11" i="18" s="1"/>
  <c r="J15" i="18"/>
  <c r="V15" i="18" s="1"/>
  <c r="AD15" i="18" s="1"/>
  <c r="U24" i="18"/>
  <c r="U22" i="18"/>
  <c r="U12" i="18"/>
  <c r="V12" i="18" s="1"/>
  <c r="AD12" i="18" s="1"/>
  <c r="J31" i="18"/>
  <c r="V31" i="18" s="1"/>
  <c r="U13" i="18"/>
  <c r="U14" i="18"/>
  <c r="U18" i="18"/>
  <c r="J9" i="18"/>
  <c r="U9" i="18"/>
  <c r="V9" i="18" s="1"/>
  <c r="U19" i="18"/>
  <c r="J20" i="18"/>
  <c r="V20" i="18" s="1"/>
  <c r="AD20" i="18" s="1"/>
  <c r="J23" i="18"/>
  <c r="V23" i="18" s="1"/>
  <c r="V34" i="18"/>
  <c r="V37" i="18"/>
  <c r="J22" i="18"/>
  <c r="V10" i="18"/>
  <c r="AD10" i="18" s="1"/>
  <c r="V7" i="18"/>
  <c r="AD7" i="18" s="1"/>
  <c r="V26" i="18"/>
  <c r="V29" i="18"/>
  <c r="V33" i="18"/>
  <c r="AD33" i="18" s="1"/>
  <c r="V36" i="18"/>
  <c r="V39" i="18"/>
  <c r="V16" i="18"/>
  <c r="V25" i="18"/>
  <c r="V28" i="18"/>
  <c r="J32" i="18"/>
  <c r="V32" i="18" s="1"/>
  <c r="V35" i="18"/>
  <c r="V38" i="18"/>
  <c r="V41" i="18"/>
  <c r="J21" i="18"/>
  <c r="V3" i="18"/>
  <c r="AD3" i="18" s="1"/>
  <c r="V8" i="18"/>
  <c r="AD8" i="18" s="1"/>
  <c r="J24" i="18"/>
  <c r="V17" i="18"/>
  <c r="AD17" i="18" s="1"/>
  <c r="V42" i="18"/>
  <c r="V40" i="18"/>
  <c r="K227" i="17"/>
  <c r="V19" i="18" l="1"/>
  <c r="AD19" i="18" s="1"/>
  <c r="V14" i="18"/>
  <c r="V18" i="18"/>
  <c r="AD18" i="18" s="1"/>
  <c r="V13" i="18"/>
  <c r="AD13" i="18" s="1"/>
  <c r="V21" i="18"/>
  <c r="AD21" i="18" s="1"/>
  <c r="V22" i="18"/>
  <c r="AD22" i="18" s="1"/>
  <c r="V24" i="18"/>
  <c r="AD24" i="18" s="1"/>
  <c r="AD1" i="18" l="1"/>
  <c r="K221" i="17"/>
  <c r="L237" i="17"/>
  <c r="G253" i="17" l="1"/>
  <c r="H253" i="17" s="1"/>
  <c r="G252" i="17"/>
  <c r="H252" i="17" s="1"/>
  <c r="E253" i="17"/>
  <c r="E252" i="17"/>
  <c r="L221" i="17"/>
  <c r="H251" i="17" l="1"/>
  <c r="H250" i="17"/>
  <c r="L227" i="17"/>
  <c r="E251" i="17" l="1"/>
  <c r="E250" i="17"/>
  <c r="K220" i="17"/>
  <c r="K229" i="17"/>
  <c r="L229" i="17"/>
  <c r="U15" i="17"/>
  <c r="L224" i="17" l="1"/>
  <c r="J254" i="17" l="1"/>
  <c r="Q254" i="17" s="1"/>
  <c r="J253" i="17"/>
  <c r="Q253" i="17" s="1"/>
  <c r="J252" i="17"/>
  <c r="Q252" i="17" s="1"/>
  <c r="J251" i="17"/>
  <c r="Q251" i="17" s="1"/>
  <c r="J250" i="17"/>
  <c r="K213" i="17"/>
  <c r="K219" i="17"/>
  <c r="Q192" i="17"/>
  <c r="G249" i="17"/>
  <c r="H249" i="17" s="1"/>
  <c r="H242" i="17"/>
  <c r="E249" i="17"/>
  <c r="E248" i="17"/>
  <c r="R251" i="17" l="1"/>
  <c r="R252" i="17"/>
  <c r="R253" i="17"/>
  <c r="R254" i="17"/>
  <c r="Q250" i="17"/>
  <c r="R250" i="17" s="1"/>
  <c r="E247" i="17" l="1"/>
  <c r="K228" i="17"/>
  <c r="Q228" i="17" s="1"/>
  <c r="W254" i="17"/>
  <c r="W249" i="17"/>
  <c r="W248" i="17"/>
  <c r="W247" i="17"/>
  <c r="W246" i="17"/>
  <c r="W245" i="17"/>
  <c r="W244" i="17"/>
  <c r="W243" i="17"/>
  <c r="W242" i="17"/>
  <c r="W241" i="17"/>
  <c r="W240" i="17"/>
  <c r="W239" i="17"/>
  <c r="W238" i="17"/>
  <c r="W237" i="17"/>
  <c r="W236" i="17"/>
  <c r="W235" i="17"/>
  <c r="W234" i="17"/>
  <c r="W233" i="17"/>
  <c r="W232" i="17"/>
  <c r="W231" i="17"/>
  <c r="W230" i="17"/>
  <c r="W228" i="17"/>
  <c r="W227" i="17"/>
  <c r="W226" i="17"/>
  <c r="W225" i="17"/>
  <c r="W224" i="17"/>
  <c r="W223" i="17"/>
  <c r="W222" i="17"/>
  <c r="W221" i="17"/>
  <c r="W220" i="17"/>
  <c r="W219" i="17"/>
  <c r="W218" i="17"/>
  <c r="W217" i="17"/>
  <c r="W216" i="17"/>
  <c r="W215" i="17"/>
  <c r="W214" i="17"/>
  <c r="W213" i="17"/>
  <c r="W212" i="17"/>
  <c r="W210" i="17"/>
  <c r="W209" i="17"/>
  <c r="W208" i="17"/>
  <c r="W207" i="17"/>
  <c r="W206" i="17"/>
  <c r="W205" i="17"/>
  <c r="W204" i="17"/>
  <c r="W202" i="17"/>
  <c r="W201" i="17"/>
  <c r="W200" i="17"/>
  <c r="W199" i="17"/>
  <c r="W198" i="17"/>
  <c r="W197" i="17"/>
  <c r="W196" i="17"/>
  <c r="W195" i="17"/>
  <c r="W194" i="17"/>
  <c r="W193" i="17"/>
  <c r="W192" i="17"/>
  <c r="W191" i="17"/>
  <c r="W190" i="17"/>
  <c r="W189" i="17"/>
  <c r="W188" i="17"/>
  <c r="W187" i="17"/>
  <c r="W186" i="17"/>
  <c r="W185" i="17"/>
  <c r="W184" i="17"/>
  <c r="W183" i="17"/>
  <c r="W182" i="17"/>
  <c r="W181" i="17"/>
  <c r="W180" i="17"/>
  <c r="W179" i="17"/>
  <c r="W178" i="17"/>
  <c r="W177" i="17"/>
  <c r="W176" i="17"/>
  <c r="W173" i="17"/>
  <c r="W172" i="17"/>
  <c r="W171" i="17"/>
  <c r="W170" i="17"/>
  <c r="W169" i="17"/>
  <c r="W168" i="17"/>
  <c r="W166" i="17"/>
  <c r="W165" i="17"/>
  <c r="W164" i="17"/>
  <c r="W162" i="17"/>
  <c r="W161" i="17"/>
  <c r="W160" i="17"/>
  <c r="W159" i="17"/>
  <c r="W156" i="17"/>
  <c r="W155" i="17"/>
  <c r="W154" i="17"/>
  <c r="W152" i="17"/>
  <c r="W151" i="17"/>
  <c r="W150" i="17"/>
  <c r="W149" i="17"/>
  <c r="W148" i="17"/>
  <c r="W147" i="17"/>
  <c r="W146" i="17"/>
  <c r="W145" i="17"/>
  <c r="W144" i="17"/>
  <c r="W141" i="17"/>
  <c r="W140" i="17"/>
  <c r="W138" i="17"/>
  <c r="W137" i="17"/>
  <c r="W136" i="17"/>
  <c r="W135" i="17"/>
  <c r="W133" i="17"/>
  <c r="W132" i="17"/>
  <c r="W131" i="17"/>
  <c r="W130" i="17"/>
  <c r="W129" i="17"/>
  <c r="W128" i="17"/>
  <c r="W127" i="17"/>
  <c r="W126" i="17"/>
  <c r="W125" i="17"/>
  <c r="W124" i="17"/>
  <c r="W123" i="17"/>
  <c r="W122" i="17"/>
  <c r="W121" i="17"/>
  <c r="W120" i="17"/>
  <c r="W119" i="17"/>
  <c r="W118" i="17"/>
  <c r="W117" i="17"/>
  <c r="W116" i="17"/>
  <c r="W115" i="17"/>
  <c r="W114" i="17"/>
  <c r="W113" i="17"/>
  <c r="W112" i="17"/>
  <c r="W111" i="17"/>
  <c r="W110" i="17"/>
  <c r="W109" i="17"/>
  <c r="W108" i="17"/>
  <c r="W107" i="17"/>
  <c r="W106" i="17"/>
  <c r="W105" i="17"/>
  <c r="W104" i="17"/>
  <c r="W103" i="17"/>
  <c r="W102" i="17"/>
  <c r="W101" i="17"/>
  <c r="W100" i="17"/>
  <c r="W99" i="17"/>
  <c r="W98" i="17"/>
  <c r="W97" i="17"/>
  <c r="W96" i="17"/>
  <c r="W95" i="17"/>
  <c r="W94" i="17"/>
  <c r="W93" i="17"/>
  <c r="W92" i="17"/>
  <c r="W91" i="17"/>
  <c r="W90" i="17"/>
  <c r="W89" i="17"/>
  <c r="W87" i="17"/>
  <c r="W86" i="17"/>
  <c r="W85" i="17"/>
  <c r="W84" i="17"/>
  <c r="W83" i="17"/>
  <c r="W82" i="17"/>
  <c r="W81" i="17"/>
  <c r="W80" i="17"/>
  <c r="W79" i="17"/>
  <c r="W78" i="17"/>
  <c r="W77" i="17"/>
  <c r="W76" i="17"/>
  <c r="W75" i="17"/>
  <c r="W74" i="17"/>
  <c r="W73" i="17"/>
  <c r="W72" i="17"/>
  <c r="W71" i="17"/>
  <c r="W70" i="17"/>
  <c r="W69" i="17"/>
  <c r="W68" i="17"/>
  <c r="W67" i="17"/>
  <c r="W66" i="17"/>
  <c r="W65" i="17"/>
  <c r="W64" i="17"/>
  <c r="W63" i="17"/>
  <c r="W62" i="17"/>
  <c r="W61" i="17"/>
  <c r="W60" i="17"/>
  <c r="W59" i="17"/>
  <c r="W58" i="17"/>
  <c r="W57" i="17"/>
  <c r="W56" i="17"/>
  <c r="W55" i="17"/>
  <c r="W54" i="17"/>
  <c r="W53" i="17"/>
  <c r="W52" i="17"/>
  <c r="W51" i="17"/>
  <c r="W50" i="17"/>
  <c r="W49" i="17"/>
  <c r="W48" i="17"/>
  <c r="W47" i="17"/>
  <c r="W46" i="17"/>
  <c r="W45" i="17"/>
  <c r="W44" i="17"/>
  <c r="W43" i="17"/>
  <c r="W42" i="17"/>
  <c r="W41" i="17"/>
  <c r="W40" i="17"/>
  <c r="W39" i="17"/>
  <c r="W38" i="17"/>
  <c r="W37" i="17"/>
  <c r="W36" i="17"/>
  <c r="W35" i="17"/>
  <c r="W34" i="17"/>
  <c r="W33" i="17"/>
  <c r="W32" i="17"/>
  <c r="W31" i="17"/>
  <c r="W30" i="17"/>
  <c r="W29" i="17"/>
  <c r="W28" i="17"/>
  <c r="W27" i="17"/>
  <c r="W26" i="17"/>
  <c r="W25" i="17"/>
  <c r="W24" i="17"/>
  <c r="W23" i="17"/>
  <c r="W22" i="17"/>
  <c r="W21" i="17"/>
  <c r="W20" i="17"/>
  <c r="W19" i="17"/>
  <c r="W18" i="17"/>
  <c r="W17" i="17"/>
  <c r="W16" i="17"/>
  <c r="W13" i="17"/>
  <c r="W12" i="17"/>
  <c r="W11" i="17"/>
  <c r="W10" i="17"/>
  <c r="W9" i="17"/>
  <c r="W8" i="17"/>
  <c r="W7" i="17"/>
  <c r="W6" i="17"/>
  <c r="W4" i="17"/>
  <c r="W3" i="17"/>
  <c r="E254" i="17"/>
  <c r="Q249" i="17"/>
  <c r="J249" i="17"/>
  <c r="Q248" i="17"/>
  <c r="J248" i="17"/>
  <c r="Q247" i="17"/>
  <c r="J247" i="17"/>
  <c r="Q246" i="17"/>
  <c r="J246" i="17"/>
  <c r="E246" i="17"/>
  <c r="Q245" i="17"/>
  <c r="G245" i="17"/>
  <c r="H245" i="17" s="1"/>
  <c r="J245" i="17" s="1"/>
  <c r="E245" i="17"/>
  <c r="Q244" i="17"/>
  <c r="H244" i="17"/>
  <c r="J244" i="17" s="1"/>
  <c r="E244" i="17"/>
  <c r="Q243" i="17"/>
  <c r="H243" i="17"/>
  <c r="J243" i="17" s="1"/>
  <c r="E243" i="17"/>
  <c r="Q242" i="17"/>
  <c r="J242" i="17"/>
  <c r="E242" i="17"/>
  <c r="Q241" i="17"/>
  <c r="G241" i="17"/>
  <c r="H241" i="17" s="1"/>
  <c r="J241" i="17" s="1"/>
  <c r="E241" i="17"/>
  <c r="Q240" i="17"/>
  <c r="G240" i="17"/>
  <c r="H240" i="17" s="1"/>
  <c r="J240" i="17" s="1"/>
  <c r="E240" i="17"/>
  <c r="Q239" i="17"/>
  <c r="H239" i="17"/>
  <c r="J239" i="17" s="1"/>
  <c r="E239" i="17"/>
  <c r="Q238" i="17"/>
  <c r="J238" i="17"/>
  <c r="E238" i="17"/>
  <c r="Q237" i="17"/>
  <c r="J237" i="17"/>
  <c r="E237" i="17"/>
  <c r="Q236" i="17"/>
  <c r="H236" i="17"/>
  <c r="J236" i="17" s="1"/>
  <c r="E236" i="17"/>
  <c r="Q235" i="17"/>
  <c r="H235" i="17"/>
  <c r="J235" i="17" s="1"/>
  <c r="E235" i="17"/>
  <c r="Q234" i="17"/>
  <c r="J234" i="17"/>
  <c r="E234" i="17"/>
  <c r="Q233" i="17"/>
  <c r="H233" i="17"/>
  <c r="J233" i="17" s="1"/>
  <c r="E233" i="17"/>
  <c r="Q232" i="17"/>
  <c r="H232" i="17"/>
  <c r="J232" i="17" s="1"/>
  <c r="E232" i="17"/>
  <c r="Q231" i="17"/>
  <c r="J231" i="17"/>
  <c r="E231" i="17"/>
  <c r="Q230" i="17"/>
  <c r="J230" i="17"/>
  <c r="E230" i="17"/>
  <c r="Q229" i="17"/>
  <c r="H229" i="17"/>
  <c r="J229" i="17" s="1"/>
  <c r="E229" i="17"/>
  <c r="E228" i="17"/>
  <c r="Q227" i="17"/>
  <c r="H227" i="17"/>
  <c r="J227" i="17" s="1"/>
  <c r="E227" i="17"/>
  <c r="Q226" i="17"/>
  <c r="J226" i="17"/>
  <c r="E226" i="17"/>
  <c r="Q225" i="17"/>
  <c r="J225" i="17"/>
  <c r="E225" i="17"/>
  <c r="Q224" i="17"/>
  <c r="J224" i="17"/>
  <c r="E224" i="17"/>
  <c r="Q223" i="17"/>
  <c r="J223" i="17"/>
  <c r="E223" i="17"/>
  <c r="Q222" i="17"/>
  <c r="J222" i="17"/>
  <c r="E222" i="17"/>
  <c r="Q221" i="17"/>
  <c r="H221" i="17"/>
  <c r="J221" i="17" s="1"/>
  <c r="E221" i="17"/>
  <c r="Q220" i="17"/>
  <c r="H220" i="17"/>
  <c r="J220" i="17" s="1"/>
  <c r="E220" i="17"/>
  <c r="Q219" i="17"/>
  <c r="J219" i="17"/>
  <c r="E219" i="17"/>
  <c r="Q218" i="17"/>
  <c r="J218" i="17"/>
  <c r="E218" i="17"/>
  <c r="Q217" i="17"/>
  <c r="J217" i="17"/>
  <c r="E217" i="17"/>
  <c r="Q216" i="17"/>
  <c r="J216" i="17"/>
  <c r="E216" i="17"/>
  <c r="Q215" i="17"/>
  <c r="J215" i="17"/>
  <c r="E215" i="17"/>
  <c r="L214" i="17"/>
  <c r="K214" i="17"/>
  <c r="H214" i="17"/>
  <c r="E214" i="17"/>
  <c r="Q213" i="17"/>
  <c r="H213" i="17"/>
  <c r="J213" i="17" s="1"/>
  <c r="E213" i="17"/>
  <c r="L212" i="17"/>
  <c r="K212" i="17"/>
  <c r="E212" i="17"/>
  <c r="L211" i="17"/>
  <c r="K211" i="17"/>
  <c r="H211" i="17"/>
  <c r="E211" i="17"/>
  <c r="Q210" i="17"/>
  <c r="J210" i="17"/>
  <c r="E210" i="17"/>
  <c r="Q209" i="17"/>
  <c r="H209" i="17"/>
  <c r="J209" i="17" s="1"/>
  <c r="E209" i="17"/>
  <c r="Q208" i="17"/>
  <c r="H208" i="17"/>
  <c r="J208" i="17" s="1"/>
  <c r="E208" i="17"/>
  <c r="Q207" i="17"/>
  <c r="H207" i="17"/>
  <c r="J207" i="17" s="1"/>
  <c r="E207" i="17"/>
  <c r="Q206" i="17"/>
  <c r="H206" i="17"/>
  <c r="J206" i="17" s="1"/>
  <c r="E206" i="17"/>
  <c r="Q205" i="17"/>
  <c r="H205" i="17"/>
  <c r="J205" i="17" s="1"/>
  <c r="E205" i="17"/>
  <c r="Q204" i="17"/>
  <c r="H204" i="17"/>
  <c r="J204" i="17" s="1"/>
  <c r="E204" i="17"/>
  <c r="K203" i="17"/>
  <c r="Q203" i="17" s="1"/>
  <c r="E203" i="17"/>
  <c r="Q202" i="17"/>
  <c r="H202" i="17"/>
  <c r="J202" i="17" s="1"/>
  <c r="E202" i="17"/>
  <c r="Q201" i="17"/>
  <c r="H201" i="17"/>
  <c r="J201" i="17" s="1"/>
  <c r="E201" i="17"/>
  <c r="L200" i="17"/>
  <c r="K200" i="17"/>
  <c r="H200" i="17"/>
  <c r="E200" i="17"/>
  <c r="Q199" i="17"/>
  <c r="J199" i="17"/>
  <c r="E199" i="17"/>
  <c r="Q198" i="17"/>
  <c r="J198" i="17"/>
  <c r="E198" i="17"/>
  <c r="Q197" i="17"/>
  <c r="J197" i="17"/>
  <c r="E197" i="17"/>
  <c r="Q196" i="17"/>
  <c r="H196" i="17"/>
  <c r="J196" i="17" s="1"/>
  <c r="E196" i="17"/>
  <c r="L195" i="17"/>
  <c r="K195" i="17"/>
  <c r="H195" i="17"/>
  <c r="E195" i="17"/>
  <c r="L194" i="17"/>
  <c r="K194" i="17"/>
  <c r="H194" i="17"/>
  <c r="E194" i="17"/>
  <c r="Q193" i="17"/>
  <c r="J193" i="17"/>
  <c r="E193" i="17"/>
  <c r="G192" i="17"/>
  <c r="H192" i="17" s="1"/>
  <c r="J192" i="17" s="1"/>
  <c r="R192" i="17" s="1"/>
  <c r="E192" i="17"/>
  <c r="Q191" i="17"/>
  <c r="H191" i="17"/>
  <c r="J191" i="17" s="1"/>
  <c r="E191" i="17"/>
  <c r="Q190" i="17"/>
  <c r="H190" i="17"/>
  <c r="J190" i="17" s="1"/>
  <c r="E190" i="17"/>
  <c r="L189" i="17"/>
  <c r="K189" i="17"/>
  <c r="H189" i="17"/>
  <c r="E189" i="17"/>
  <c r="L188" i="17"/>
  <c r="K188" i="17"/>
  <c r="H188" i="17"/>
  <c r="E188" i="17"/>
  <c r="L187" i="17"/>
  <c r="K187" i="17"/>
  <c r="H187" i="17"/>
  <c r="E187" i="17"/>
  <c r="Q186" i="17"/>
  <c r="J186" i="17"/>
  <c r="E186" i="17"/>
  <c r="Q185" i="17"/>
  <c r="J185" i="17"/>
  <c r="E185" i="17"/>
  <c r="Q184" i="17"/>
  <c r="J184" i="17"/>
  <c r="E184" i="17"/>
  <c r="L183" i="17"/>
  <c r="K183" i="17"/>
  <c r="J183" i="17" s="1"/>
  <c r="E183" i="17"/>
  <c r="Q182" i="17"/>
  <c r="J182" i="17"/>
  <c r="E182" i="17"/>
  <c r="Q181" i="17"/>
  <c r="J181" i="17"/>
  <c r="E181" i="17"/>
  <c r="Q180" i="17"/>
  <c r="J180" i="17"/>
  <c r="E180" i="17"/>
  <c r="L179" i="17"/>
  <c r="Q179" i="17" s="1"/>
  <c r="H179" i="17"/>
  <c r="J179" i="17" s="1"/>
  <c r="E179" i="17"/>
  <c r="L178" i="17"/>
  <c r="H178" i="17"/>
  <c r="J178" i="17" s="1"/>
  <c r="E178" i="17"/>
  <c r="K177" i="17"/>
  <c r="E177" i="17"/>
  <c r="L176" i="17"/>
  <c r="K176" i="17"/>
  <c r="J176" i="17" s="1"/>
  <c r="E176" i="17"/>
  <c r="K175" i="17"/>
  <c r="J175" i="17" s="1"/>
  <c r="E175" i="17"/>
  <c r="K174" i="17"/>
  <c r="J174" i="17" s="1"/>
  <c r="E174" i="17"/>
  <c r="L173" i="17"/>
  <c r="K173" i="17"/>
  <c r="G173" i="17"/>
  <c r="H173" i="17" s="1"/>
  <c r="E173" i="17"/>
  <c r="Q172" i="17"/>
  <c r="J172" i="17"/>
  <c r="E172" i="17"/>
  <c r="G171" i="17"/>
  <c r="H171" i="17" s="1"/>
  <c r="J171" i="17" s="1"/>
  <c r="E171" i="17"/>
  <c r="Q170" i="17"/>
  <c r="G170" i="17"/>
  <c r="H170" i="17" s="1"/>
  <c r="J170" i="17" s="1"/>
  <c r="E170" i="17"/>
  <c r="L169" i="17"/>
  <c r="K169" i="17"/>
  <c r="H169" i="17"/>
  <c r="E169" i="17"/>
  <c r="Q168" i="17"/>
  <c r="H168" i="17"/>
  <c r="J168" i="17" s="1"/>
  <c r="E168" i="17"/>
  <c r="Q167" i="17"/>
  <c r="H167" i="17"/>
  <c r="J167" i="17" s="1"/>
  <c r="E167" i="17"/>
  <c r="Q166" i="17"/>
  <c r="J166" i="17"/>
  <c r="E166" i="17"/>
  <c r="Q165" i="17"/>
  <c r="H165" i="17"/>
  <c r="J165" i="17" s="1"/>
  <c r="E165" i="17"/>
  <c r="Q164" i="17"/>
  <c r="J164" i="17"/>
  <c r="E164" i="17"/>
  <c r="K163" i="17"/>
  <c r="H163" i="17"/>
  <c r="E163" i="17"/>
  <c r="K162" i="17"/>
  <c r="Q162" i="17" s="1"/>
  <c r="H162" i="17"/>
  <c r="E162" i="17"/>
  <c r="R161" i="17"/>
  <c r="E161" i="17"/>
  <c r="Q160" i="17"/>
  <c r="J160" i="17"/>
  <c r="E160" i="17"/>
  <c r="Q159" i="17"/>
  <c r="H159" i="17"/>
  <c r="J159" i="17" s="1"/>
  <c r="E159" i="17"/>
  <c r="K158" i="17"/>
  <c r="Q158" i="17" s="1"/>
  <c r="E158" i="17"/>
  <c r="K157" i="17"/>
  <c r="Q157" i="17" s="1"/>
  <c r="E157" i="17"/>
  <c r="H156" i="17"/>
  <c r="E156" i="17"/>
  <c r="L155" i="17"/>
  <c r="K155" i="17"/>
  <c r="H155" i="17"/>
  <c r="E155" i="17"/>
  <c r="L154" i="17"/>
  <c r="K154" i="17"/>
  <c r="G154" i="17"/>
  <c r="H154" i="17" s="1"/>
  <c r="E154" i="17"/>
  <c r="Q153" i="17"/>
  <c r="J153" i="17"/>
  <c r="E153" i="17"/>
  <c r="E152" i="17"/>
  <c r="L151" i="17"/>
  <c r="K151" i="17"/>
  <c r="G151" i="17"/>
  <c r="H151" i="17" s="1"/>
  <c r="E151" i="17"/>
  <c r="Q150" i="17"/>
  <c r="J150" i="17"/>
  <c r="E150" i="17"/>
  <c r="Q149" i="17"/>
  <c r="J149" i="17"/>
  <c r="E149" i="17"/>
  <c r="L148" i="17"/>
  <c r="K148" i="17"/>
  <c r="H148" i="17"/>
  <c r="E148" i="17"/>
  <c r="Q147" i="17"/>
  <c r="G147" i="17"/>
  <c r="H147" i="17" s="1"/>
  <c r="J147" i="17" s="1"/>
  <c r="E147" i="17"/>
  <c r="Q146" i="17"/>
  <c r="J146" i="17"/>
  <c r="E146" i="17"/>
  <c r="K145" i="17"/>
  <c r="Q145" i="17" s="1"/>
  <c r="R145" i="17" s="1"/>
  <c r="E145" i="17"/>
  <c r="Q144" i="17"/>
  <c r="J144" i="17"/>
  <c r="E144" i="17"/>
  <c r="Q143" i="17"/>
  <c r="J143" i="17"/>
  <c r="E143" i="17"/>
  <c r="H142" i="17"/>
  <c r="K142" i="17" s="1"/>
  <c r="E142" i="17"/>
  <c r="Q141" i="17"/>
  <c r="G141" i="17"/>
  <c r="H141" i="17" s="1"/>
  <c r="J141" i="17" s="1"/>
  <c r="E141" i="17"/>
  <c r="Q140" i="17"/>
  <c r="H140" i="17"/>
  <c r="J140" i="17" s="1"/>
  <c r="E140" i="17"/>
  <c r="H139" i="17"/>
  <c r="J139" i="17" s="1"/>
  <c r="E139" i="17"/>
  <c r="Q138" i="17"/>
  <c r="G138" i="17"/>
  <c r="H138" i="17" s="1"/>
  <c r="J138" i="17" s="1"/>
  <c r="E138" i="17"/>
  <c r="Q137" i="17"/>
  <c r="G137" i="17"/>
  <c r="H137" i="17" s="1"/>
  <c r="J137" i="17" s="1"/>
  <c r="E137" i="17"/>
  <c r="Q136" i="17"/>
  <c r="J136" i="17"/>
  <c r="E136" i="17"/>
  <c r="Q135" i="17"/>
  <c r="H135" i="17"/>
  <c r="J135" i="17" s="1"/>
  <c r="E135" i="17"/>
  <c r="H134" i="17"/>
  <c r="J134" i="17" s="1"/>
  <c r="E134" i="17"/>
  <c r="Q133" i="17"/>
  <c r="J133" i="17"/>
  <c r="E133" i="17"/>
  <c r="Q132" i="17"/>
  <c r="J132" i="17"/>
  <c r="E132" i="17"/>
  <c r="Q131" i="17"/>
  <c r="J131" i="17"/>
  <c r="E131" i="17"/>
  <c r="Q130" i="17"/>
  <c r="J130" i="17"/>
  <c r="E130" i="17"/>
  <c r="Q129" i="17"/>
  <c r="J129" i="17"/>
  <c r="E129" i="17"/>
  <c r="Q128" i="17"/>
  <c r="J128" i="17"/>
  <c r="E128" i="17"/>
  <c r="Q127" i="17"/>
  <c r="J127" i="17"/>
  <c r="E127" i="17"/>
  <c r="Q126" i="17"/>
  <c r="J126" i="17"/>
  <c r="E126" i="17"/>
  <c r="R125" i="17"/>
  <c r="E125" i="17"/>
  <c r="R124" i="17"/>
  <c r="E124" i="17"/>
  <c r="Q123" i="17"/>
  <c r="G123" i="17"/>
  <c r="H123" i="17" s="1"/>
  <c r="J123" i="17" s="1"/>
  <c r="E123" i="17"/>
  <c r="Q122" i="17"/>
  <c r="J122" i="17"/>
  <c r="E122" i="17"/>
  <c r="Q121" i="17"/>
  <c r="J121" i="17"/>
  <c r="E121" i="17"/>
  <c r="Q120" i="17"/>
  <c r="J120" i="17"/>
  <c r="E120" i="17"/>
  <c r="Q119" i="17"/>
  <c r="J119" i="17"/>
  <c r="E119" i="17"/>
  <c r="Q118" i="17"/>
  <c r="J118" i="17"/>
  <c r="E118" i="17"/>
  <c r="Q117" i="17"/>
  <c r="H117" i="17"/>
  <c r="J117" i="17" s="1"/>
  <c r="E117" i="17"/>
  <c r="Q116" i="17"/>
  <c r="J116" i="17"/>
  <c r="E116" i="17"/>
  <c r="Q115" i="17"/>
  <c r="J115" i="17"/>
  <c r="E115" i="17"/>
  <c r="Q114" i="17"/>
  <c r="H114" i="17"/>
  <c r="J114" i="17" s="1"/>
  <c r="E114" i="17"/>
  <c r="L113" i="17"/>
  <c r="Q113" i="17" s="1"/>
  <c r="J113" i="17"/>
  <c r="E113" i="17"/>
  <c r="K112" i="17"/>
  <c r="Q112" i="17" s="1"/>
  <c r="H112" i="17"/>
  <c r="E112" i="17"/>
  <c r="K111" i="17"/>
  <c r="Q111" i="17" s="1"/>
  <c r="R111" i="17" s="1"/>
  <c r="E111" i="17"/>
  <c r="Q110" i="17"/>
  <c r="H110" i="17"/>
  <c r="J110" i="17" s="1"/>
  <c r="E110" i="17"/>
  <c r="Q109" i="17"/>
  <c r="G109" i="17"/>
  <c r="H109" i="17" s="1"/>
  <c r="J109" i="17" s="1"/>
  <c r="E109" i="17"/>
  <c r="Q108" i="17"/>
  <c r="H108" i="17"/>
  <c r="J108" i="17" s="1"/>
  <c r="E108" i="17"/>
  <c r="Q107" i="17"/>
  <c r="H107" i="17"/>
  <c r="J107" i="17" s="1"/>
  <c r="E107" i="17"/>
  <c r="Q106" i="17"/>
  <c r="H106" i="17"/>
  <c r="J106" i="17" s="1"/>
  <c r="E106" i="17"/>
  <c r="L105" i="17"/>
  <c r="Q105" i="17" s="1"/>
  <c r="H105" i="17"/>
  <c r="J105" i="17" s="1"/>
  <c r="E105" i="17"/>
  <c r="L104" i="17"/>
  <c r="Q104" i="17" s="1"/>
  <c r="H104" i="17"/>
  <c r="J104" i="17" s="1"/>
  <c r="E104" i="17"/>
  <c r="Q103" i="17"/>
  <c r="G103" i="17"/>
  <c r="H103" i="17" s="1"/>
  <c r="J103" i="17" s="1"/>
  <c r="E103" i="17"/>
  <c r="Q102" i="17"/>
  <c r="J102" i="17"/>
  <c r="E102" i="17"/>
  <c r="Q101" i="17"/>
  <c r="G101" i="17"/>
  <c r="H101" i="17" s="1"/>
  <c r="J101" i="17" s="1"/>
  <c r="E101" i="17"/>
  <c r="Q100" i="17"/>
  <c r="J100" i="17"/>
  <c r="E100" i="17"/>
  <c r="Q99" i="17"/>
  <c r="G99" i="17"/>
  <c r="H99" i="17" s="1"/>
  <c r="J99" i="17" s="1"/>
  <c r="E99" i="17"/>
  <c r="Q98" i="17"/>
  <c r="H98" i="17"/>
  <c r="J98" i="17" s="1"/>
  <c r="E98" i="17"/>
  <c r="Q97" i="17"/>
  <c r="H97" i="17"/>
  <c r="J97" i="17" s="1"/>
  <c r="E97" i="17"/>
  <c r="Q96" i="17"/>
  <c r="H96" i="17"/>
  <c r="J96" i="17" s="1"/>
  <c r="E96" i="17"/>
  <c r="Q95" i="17"/>
  <c r="H95" i="17"/>
  <c r="J95" i="17" s="1"/>
  <c r="E95" i="17"/>
  <c r="Q94" i="17"/>
  <c r="H94" i="17"/>
  <c r="J94" i="17" s="1"/>
  <c r="E94" i="17"/>
  <c r="Q93" i="17"/>
  <c r="G93" i="17"/>
  <c r="H93" i="17" s="1"/>
  <c r="J93" i="17" s="1"/>
  <c r="E93" i="17"/>
  <c r="Q92" i="17"/>
  <c r="J92" i="17"/>
  <c r="E92" i="17"/>
  <c r="Q91" i="17"/>
  <c r="J91" i="17"/>
  <c r="E91" i="17"/>
  <c r="Q90" i="17"/>
  <c r="J90" i="17"/>
  <c r="E90" i="17"/>
  <c r="Q89" i="17"/>
  <c r="H89" i="17"/>
  <c r="J89" i="17" s="1"/>
  <c r="E89" i="17"/>
  <c r="K88" i="17"/>
  <c r="J88" i="17" s="1"/>
  <c r="E88" i="17"/>
  <c r="Q87" i="17"/>
  <c r="G87" i="17"/>
  <c r="H87" i="17" s="1"/>
  <c r="J87" i="17" s="1"/>
  <c r="E87" i="17"/>
  <c r="Q86" i="17"/>
  <c r="H86" i="17"/>
  <c r="J86" i="17" s="1"/>
  <c r="E86" i="17"/>
  <c r="Q85" i="17"/>
  <c r="J85" i="17"/>
  <c r="E85" i="17"/>
  <c r="Q84" i="17"/>
  <c r="J84" i="17"/>
  <c r="E84" i="17"/>
  <c r="Q83" i="17"/>
  <c r="J83" i="17"/>
  <c r="E83" i="17"/>
  <c r="Q82" i="17"/>
  <c r="J82" i="17"/>
  <c r="E82" i="17"/>
  <c r="Q81" i="17"/>
  <c r="J81" i="17"/>
  <c r="E81" i="17"/>
  <c r="Q80" i="17"/>
  <c r="H80" i="17"/>
  <c r="J80" i="17" s="1"/>
  <c r="G80" i="17"/>
  <c r="E80" i="17"/>
  <c r="Q79" i="17"/>
  <c r="G79" i="17"/>
  <c r="H79" i="17" s="1"/>
  <c r="J79" i="17" s="1"/>
  <c r="E79" i="17"/>
  <c r="R78" i="17"/>
  <c r="E78" i="17"/>
  <c r="Q77" i="17"/>
  <c r="J77" i="17"/>
  <c r="E77" i="17"/>
  <c r="Q76" i="17"/>
  <c r="J76" i="17"/>
  <c r="E76" i="17"/>
  <c r="Q75" i="17"/>
  <c r="J75" i="17"/>
  <c r="E75" i="17"/>
  <c r="Q74" i="17"/>
  <c r="J74" i="17"/>
  <c r="E74" i="17"/>
  <c r="Q73" i="17"/>
  <c r="J73" i="17"/>
  <c r="E73" i="17"/>
  <c r="R72" i="17"/>
  <c r="E72" i="17"/>
  <c r="Q71" i="17"/>
  <c r="G71" i="17"/>
  <c r="H71" i="17" s="1"/>
  <c r="J71" i="17" s="1"/>
  <c r="E71" i="17"/>
  <c r="Q70" i="17"/>
  <c r="G70" i="17"/>
  <c r="H70" i="17" s="1"/>
  <c r="J70" i="17" s="1"/>
  <c r="E70" i="17"/>
  <c r="Q69" i="17"/>
  <c r="G69" i="17"/>
  <c r="H69" i="17" s="1"/>
  <c r="J69" i="17" s="1"/>
  <c r="E69" i="17"/>
  <c r="Q68" i="17"/>
  <c r="G68" i="17"/>
  <c r="H68" i="17" s="1"/>
  <c r="J68" i="17" s="1"/>
  <c r="E68" i="17"/>
  <c r="H67" i="17"/>
  <c r="K67" i="17" s="1"/>
  <c r="E67" i="17"/>
  <c r="Q66" i="17"/>
  <c r="G66" i="17"/>
  <c r="H66" i="17" s="1"/>
  <c r="J66" i="17" s="1"/>
  <c r="E66" i="17"/>
  <c r="Q65" i="17"/>
  <c r="J65" i="17"/>
  <c r="E65" i="17"/>
  <c r="Q64" i="17"/>
  <c r="H64" i="17"/>
  <c r="J64" i="17" s="1"/>
  <c r="E64" i="17"/>
  <c r="K63" i="17"/>
  <c r="J63" i="17" s="1"/>
  <c r="E63" i="17"/>
  <c r="Q62" i="17"/>
  <c r="J62" i="17"/>
  <c r="E62" i="17"/>
  <c r="Q61" i="17"/>
  <c r="J61" i="17"/>
  <c r="E61" i="17"/>
  <c r="Q60" i="17"/>
  <c r="J60" i="17"/>
  <c r="E60" i="17"/>
  <c r="Q59" i="17"/>
  <c r="H59" i="17"/>
  <c r="J59" i="17" s="1"/>
  <c r="E59" i="17"/>
  <c r="Q58" i="17"/>
  <c r="H58" i="17"/>
  <c r="J58" i="17" s="1"/>
  <c r="E58" i="17"/>
  <c r="Q57" i="17"/>
  <c r="J57" i="17"/>
  <c r="E57" i="17"/>
  <c r="Q56" i="17"/>
  <c r="G56" i="17"/>
  <c r="H56" i="17" s="1"/>
  <c r="J56" i="17" s="1"/>
  <c r="E56" i="17"/>
  <c r="Q55" i="17"/>
  <c r="J55" i="17"/>
  <c r="E55" i="17"/>
  <c r="Q54" i="17"/>
  <c r="J54" i="17"/>
  <c r="E54" i="17"/>
  <c r="Q53" i="17"/>
  <c r="J53" i="17"/>
  <c r="E53" i="17"/>
  <c r="Q52" i="17"/>
  <c r="J52" i="17"/>
  <c r="E52" i="17"/>
  <c r="Q51" i="17"/>
  <c r="H51" i="17"/>
  <c r="J51" i="17" s="1"/>
  <c r="E51" i="17"/>
  <c r="Q50" i="17"/>
  <c r="J50" i="17"/>
  <c r="E50" i="17"/>
  <c r="Q49" i="17"/>
  <c r="J49" i="17"/>
  <c r="E49" i="17"/>
  <c r="Q48" i="17"/>
  <c r="J48" i="17"/>
  <c r="E48" i="17"/>
  <c r="Q47" i="17"/>
  <c r="J47" i="17"/>
  <c r="E47" i="17"/>
  <c r="Q46" i="17"/>
  <c r="J46" i="17"/>
  <c r="E46" i="17"/>
  <c r="Q45" i="17"/>
  <c r="J45" i="17"/>
  <c r="E45" i="17"/>
  <c r="Q44" i="17"/>
  <c r="J44" i="17"/>
  <c r="E44" i="17"/>
  <c r="Q43" i="17"/>
  <c r="J43" i="17"/>
  <c r="E43" i="17"/>
  <c r="Q42" i="17"/>
  <c r="J42" i="17"/>
  <c r="E42" i="17"/>
  <c r="Q41" i="17"/>
  <c r="G41" i="17"/>
  <c r="H41" i="17" s="1"/>
  <c r="J41" i="17" s="1"/>
  <c r="E41" i="17"/>
  <c r="E40" i="17"/>
  <c r="L39" i="17"/>
  <c r="J39" i="17"/>
  <c r="E39" i="17"/>
  <c r="Q38" i="17"/>
  <c r="J38" i="17"/>
  <c r="E38" i="17"/>
  <c r="Q37" i="17"/>
  <c r="J37" i="17"/>
  <c r="E37" i="17"/>
  <c r="R36" i="17"/>
  <c r="E36" i="17"/>
  <c r="Q35" i="17"/>
  <c r="J35" i="17"/>
  <c r="E35" i="17"/>
  <c r="Q34" i="17"/>
  <c r="G34" i="17"/>
  <c r="H34" i="17" s="1"/>
  <c r="J34" i="17" s="1"/>
  <c r="E34" i="17"/>
  <c r="K33" i="17"/>
  <c r="Q33" i="17" s="1"/>
  <c r="E33" i="17"/>
  <c r="Q32" i="17"/>
  <c r="J32" i="17"/>
  <c r="E32" i="17"/>
  <c r="Q31" i="17"/>
  <c r="J31" i="17"/>
  <c r="E31" i="17"/>
  <c r="H30" i="17"/>
  <c r="K30" i="17" s="1"/>
  <c r="Q30" i="17" s="1"/>
  <c r="R30" i="17" s="1"/>
  <c r="E30" i="17"/>
  <c r="Q29" i="17"/>
  <c r="G29" i="17"/>
  <c r="H29" i="17" s="1"/>
  <c r="J29" i="17" s="1"/>
  <c r="E29" i="17"/>
  <c r="Q28" i="17"/>
  <c r="H28" i="17"/>
  <c r="J28" i="17" s="1"/>
  <c r="E28" i="17"/>
  <c r="R27" i="17"/>
  <c r="E27" i="17"/>
  <c r="Q26" i="17"/>
  <c r="J26" i="17"/>
  <c r="E26" i="17"/>
  <c r="Q25" i="17"/>
  <c r="J25" i="17"/>
  <c r="E25" i="17"/>
  <c r="Q24" i="17"/>
  <c r="J24" i="17"/>
  <c r="E24" i="17"/>
  <c r="Q23" i="17"/>
  <c r="H23" i="17"/>
  <c r="J23" i="17" s="1"/>
  <c r="E23" i="17"/>
  <c r="Q22" i="17"/>
  <c r="G22" i="17"/>
  <c r="H22" i="17" s="1"/>
  <c r="J22" i="17" s="1"/>
  <c r="E22" i="17"/>
  <c r="Q21" i="17"/>
  <c r="G21" i="17"/>
  <c r="H21" i="17" s="1"/>
  <c r="J21" i="17" s="1"/>
  <c r="E21" i="17"/>
  <c r="Q20" i="17"/>
  <c r="J20" i="17"/>
  <c r="E20" i="17"/>
  <c r="Q19" i="17"/>
  <c r="J19" i="17"/>
  <c r="E19" i="17"/>
  <c r="Q18" i="17"/>
  <c r="R18" i="17" s="1"/>
  <c r="E18" i="17"/>
  <c r="Q17" i="17"/>
  <c r="J17" i="17"/>
  <c r="E17" i="17"/>
  <c r="Q16" i="17"/>
  <c r="J16" i="17"/>
  <c r="E16" i="17"/>
  <c r="Q15" i="17"/>
  <c r="J15" i="17"/>
  <c r="E15" i="17"/>
  <c r="Q14" i="17"/>
  <c r="J14" i="17"/>
  <c r="E14" i="17"/>
  <c r="Q13" i="17"/>
  <c r="J13" i="17"/>
  <c r="E13" i="17"/>
  <c r="Q12" i="17"/>
  <c r="J12" i="17"/>
  <c r="E12" i="17"/>
  <c r="Q11" i="17"/>
  <c r="J11" i="17"/>
  <c r="E11" i="17"/>
  <c r="Q10" i="17"/>
  <c r="J10" i="17"/>
  <c r="E10" i="17"/>
  <c r="H9" i="17"/>
  <c r="J9" i="17" s="1"/>
  <c r="E9" i="17"/>
  <c r="Q8" i="17"/>
  <c r="J8" i="17"/>
  <c r="E8" i="17"/>
  <c r="Q7" i="17"/>
  <c r="H7" i="17"/>
  <c r="J7" i="17" s="1"/>
  <c r="E7" i="17"/>
  <c r="Q6" i="17"/>
  <c r="H6" i="17"/>
  <c r="J6" i="17" s="1"/>
  <c r="E6" i="17"/>
  <c r="Q5" i="17"/>
  <c r="H5" i="17"/>
  <c r="J5" i="17" s="1"/>
  <c r="E5" i="17"/>
  <c r="Q4" i="17"/>
  <c r="H4" i="17"/>
  <c r="J4" i="17" s="1"/>
  <c r="E4" i="17"/>
  <c r="H3" i="17"/>
  <c r="K3" i="17" s="1"/>
  <c r="E3" i="17"/>
  <c r="J148" i="17" l="1"/>
  <c r="R236" i="17"/>
  <c r="R240" i="17"/>
  <c r="R244" i="17"/>
  <c r="J112" i="17"/>
  <c r="R112" i="17" s="1"/>
  <c r="R231" i="17"/>
  <c r="R38" i="17"/>
  <c r="R58" i="17"/>
  <c r="R62" i="17"/>
  <c r="J162" i="17"/>
  <c r="R162" i="17" s="1"/>
  <c r="Q173" i="17"/>
  <c r="Q169" i="17"/>
  <c r="Q195" i="17"/>
  <c r="R181" i="17"/>
  <c r="R222" i="17"/>
  <c r="J194" i="17"/>
  <c r="J187" i="17"/>
  <c r="Q3" i="17"/>
  <c r="R3" i="17" s="1"/>
  <c r="R28" i="17"/>
  <c r="J214" i="17"/>
  <c r="R79" i="17"/>
  <c r="Q189" i="17"/>
  <c r="Q171" i="17"/>
  <c r="R171" i="17" s="1"/>
  <c r="Q148" i="17"/>
  <c r="R24" i="17"/>
  <c r="R166" i="17"/>
  <c r="R202" i="17"/>
  <c r="R35" i="17"/>
  <c r="R140" i="17"/>
  <c r="R159" i="17"/>
  <c r="R59" i="17"/>
  <c r="R215" i="17"/>
  <c r="R219" i="17"/>
  <c r="R227" i="17"/>
  <c r="R249" i="17"/>
  <c r="R10" i="17"/>
  <c r="R31" i="17"/>
  <c r="R113" i="17"/>
  <c r="R19" i="17"/>
  <c r="R23" i="17"/>
  <c r="R241" i="17"/>
  <c r="R84" i="17"/>
  <c r="R92" i="17"/>
  <c r="R96" i="17"/>
  <c r="R100" i="17"/>
  <c r="R108" i="17"/>
  <c r="R116" i="17"/>
  <c r="R120" i="17"/>
  <c r="R144" i="17"/>
  <c r="J189" i="17"/>
  <c r="J203" i="17"/>
  <c r="R203" i="17" s="1"/>
  <c r="W203" i="17" s="1"/>
  <c r="R160" i="17"/>
  <c r="R168" i="17"/>
  <c r="J200" i="17"/>
  <c r="Q211" i="17"/>
  <c r="R235" i="17"/>
  <c r="R248" i="17"/>
  <c r="J33" i="17"/>
  <c r="R33" i="17" s="1"/>
  <c r="R146" i="17"/>
  <c r="J169" i="17"/>
  <c r="Q212" i="17"/>
  <c r="R216" i="17"/>
  <c r="J228" i="17"/>
  <c r="R228" i="17" s="1"/>
  <c r="R180" i="17"/>
  <c r="Q188" i="17"/>
  <c r="J195" i="17"/>
  <c r="R42" i="17"/>
  <c r="R22" i="17"/>
  <c r="R51" i="17"/>
  <c r="R55" i="17"/>
  <c r="Q67" i="17"/>
  <c r="R67" i="17" s="1"/>
  <c r="R71" i="17"/>
  <c r="R128" i="17"/>
  <c r="R132" i="17"/>
  <c r="R136" i="17"/>
  <c r="R210" i="17"/>
  <c r="R83" i="17"/>
  <c r="R7" i="17"/>
  <c r="R182" i="17"/>
  <c r="R186" i="17"/>
  <c r="R193" i="17"/>
  <c r="R246" i="17"/>
  <c r="R115" i="17"/>
  <c r="R41" i="17"/>
  <c r="R49" i="17"/>
  <c r="R57" i="17"/>
  <c r="R65" i="17"/>
  <c r="R69" i="17"/>
  <c r="R121" i="17"/>
  <c r="R126" i="17"/>
  <c r="R130" i="17"/>
  <c r="R138" i="17"/>
  <c r="R172" i="17"/>
  <c r="R179" i="17"/>
  <c r="R204" i="17"/>
  <c r="R208" i="17"/>
  <c r="R239" i="17"/>
  <c r="R29" i="17"/>
  <c r="R61" i="17"/>
  <c r="R165" i="17"/>
  <c r="R9" i="17"/>
  <c r="R13" i="17"/>
  <c r="R94" i="17"/>
  <c r="R118" i="17"/>
  <c r="R201" i="17"/>
  <c r="R205" i="17"/>
  <c r="R209" i="17"/>
  <c r="R224" i="17"/>
  <c r="R207" i="17"/>
  <c r="R37" i="17"/>
  <c r="R81" i="17"/>
  <c r="R85" i="17"/>
  <c r="R89" i="17"/>
  <c r="R97" i="17"/>
  <c r="R101" i="17"/>
  <c r="R105" i="17"/>
  <c r="R109" i="17"/>
  <c r="R117" i="17"/>
  <c r="R149" i="17"/>
  <c r="R247" i="17"/>
  <c r="R25" i="17"/>
  <c r="R74" i="17"/>
  <c r="R82" i="17"/>
  <c r="R86" i="17"/>
  <c r="R90" i="17"/>
  <c r="R98" i="17"/>
  <c r="R106" i="17"/>
  <c r="R150" i="17"/>
  <c r="R190" i="17"/>
  <c r="R197" i="17"/>
  <c r="R53" i="17"/>
  <c r="R46" i="17"/>
  <c r="R50" i="17"/>
  <c r="R66" i="17"/>
  <c r="R70" i="17"/>
  <c r="R220" i="17"/>
  <c r="R184" i="17"/>
  <c r="R14" i="17"/>
  <c r="W14" i="17" s="1"/>
  <c r="R26" i="17"/>
  <c r="R75" i="17"/>
  <c r="R87" i="17"/>
  <c r="R91" i="17"/>
  <c r="R95" i="17"/>
  <c r="R99" i="17"/>
  <c r="R103" i="17"/>
  <c r="R123" i="17"/>
  <c r="R170" i="17"/>
  <c r="R198" i="17"/>
  <c r="R217" i="17"/>
  <c r="R221" i="17"/>
  <c r="R225" i="17"/>
  <c r="R229" i="17"/>
  <c r="W229" i="17" s="1"/>
  <c r="R233" i="17"/>
  <c r="R245" i="17"/>
  <c r="R47" i="17"/>
  <c r="R167" i="17"/>
  <c r="W167" i="17" s="1"/>
  <c r="R4" i="17"/>
  <c r="R32" i="17"/>
  <c r="R44" i="17"/>
  <c r="R52" i="17"/>
  <c r="R56" i="17"/>
  <c r="R64" i="17"/>
  <c r="R76" i="17"/>
  <c r="R129" i="17"/>
  <c r="R137" i="17"/>
  <c r="R15" i="17"/>
  <c r="W15" i="17" s="1"/>
  <c r="R5" i="17"/>
  <c r="W5" i="17" s="1"/>
  <c r="R135" i="17"/>
  <c r="R6" i="17"/>
  <c r="Q39" i="17"/>
  <c r="R39" i="17" s="1"/>
  <c r="J155" i="17"/>
  <c r="R119" i="17"/>
  <c r="Q178" i="17"/>
  <c r="R178" i="17" s="1"/>
  <c r="R238" i="17"/>
  <c r="Q88" i="17"/>
  <c r="R88" i="17" s="1"/>
  <c r="W88" i="17" s="1"/>
  <c r="Q142" i="17"/>
  <c r="R142" i="17" s="1"/>
  <c r="R223" i="17"/>
  <c r="Q139" i="17"/>
  <c r="R139" i="17" s="1"/>
  <c r="W139" i="17" s="1"/>
  <c r="R153" i="17"/>
  <c r="W153" i="17" s="1"/>
  <c r="Q163" i="17"/>
  <c r="R163" i="17" s="1"/>
  <c r="W163" i="17" s="1"/>
  <c r="R242" i="17"/>
  <c r="R45" i="17"/>
  <c r="R133" i="17"/>
  <c r="Q176" i="17"/>
  <c r="R176" i="17" s="1"/>
  <c r="R8" i="17"/>
  <c r="R12" i="17"/>
  <c r="R34" i="17"/>
  <c r="R60" i="17"/>
  <c r="R68" i="17"/>
  <c r="R110" i="17"/>
  <c r="R143" i="17"/>
  <c r="R147" i="17"/>
  <c r="R164" i="17"/>
  <c r="Q187" i="17"/>
  <c r="R199" i="17"/>
  <c r="R206" i="17"/>
  <c r="R213" i="17"/>
  <c r="R232" i="17"/>
  <c r="R243" i="17"/>
  <c r="R226" i="17"/>
  <c r="R230" i="17"/>
  <c r="R234" i="17"/>
  <c r="R48" i="17"/>
  <c r="R80" i="17"/>
  <c r="R114" i="17"/>
  <c r="R20" i="17"/>
  <c r="R93" i="17"/>
  <c r="Q177" i="17"/>
  <c r="R177" i="17" s="1"/>
  <c r="R107" i="17"/>
  <c r="Q134" i="17"/>
  <c r="R134" i="17" s="1"/>
  <c r="W134" i="17" s="1"/>
  <c r="J151" i="17"/>
  <c r="Q154" i="17"/>
  <c r="R17" i="17"/>
  <c r="R21" i="17"/>
  <c r="R43" i="17"/>
  <c r="R54" i="17"/>
  <c r="R73" i="17"/>
  <c r="R77" i="17"/>
  <c r="R104" i="17"/>
  <c r="R122" i="17"/>
  <c r="R127" i="17"/>
  <c r="R131" i="17"/>
  <c r="R141" i="17"/>
  <c r="J158" i="17"/>
  <c r="R158" i="17" s="1"/>
  <c r="W158" i="17" s="1"/>
  <c r="Q174" i="17"/>
  <c r="R174" i="17" s="1"/>
  <c r="W174" i="17" s="1"/>
  <c r="R185" i="17"/>
  <c r="J188" i="17"/>
  <c r="R191" i="17"/>
  <c r="Q200" i="17"/>
  <c r="Q214" i="17"/>
  <c r="R218" i="17"/>
  <c r="R237" i="17"/>
  <c r="R196" i="17"/>
  <c r="Q155" i="17"/>
  <c r="Q151" i="17"/>
  <c r="R16" i="17"/>
  <c r="J154" i="17"/>
  <c r="Q183" i="17"/>
  <c r="R183" i="17" s="1"/>
  <c r="Q194" i="17"/>
  <c r="J211" i="17"/>
  <c r="Q175" i="17"/>
  <c r="R175" i="17" s="1"/>
  <c r="W175" i="17" s="1"/>
  <c r="R11" i="17"/>
  <c r="Q63" i="17"/>
  <c r="R63" i="17" s="1"/>
  <c r="J173" i="17"/>
  <c r="R102" i="17"/>
  <c r="J157" i="17"/>
  <c r="R157" i="17" s="1"/>
  <c r="W157" i="17" s="1"/>
  <c r="J212" i="17"/>
  <c r="R187" i="17" l="1"/>
  <c r="R148" i="17"/>
  <c r="R169" i="17"/>
  <c r="R173" i="17"/>
  <c r="R214" i="17"/>
  <c r="R195" i="17"/>
  <c r="R194" i="17"/>
  <c r="R189" i="17"/>
  <c r="R211" i="17"/>
  <c r="W211" i="17" s="1"/>
  <c r="W1" i="17" s="1"/>
  <c r="R212" i="17"/>
  <c r="R188" i="17"/>
  <c r="R200" i="17"/>
  <c r="R154" i="17"/>
  <c r="R155" i="17"/>
  <c r="J156" i="17" s="1"/>
  <c r="K156" i="17" s="1"/>
  <c r="Q156" i="17" s="1"/>
  <c r="R156" i="17" s="1"/>
  <c r="R151" i="17"/>
  <c r="J152" i="17" s="1"/>
  <c r="K152" i="17" s="1"/>
  <c r="Q152" i="17" s="1"/>
  <c r="R152" i="17" s="1"/>
  <c r="U62" i="21" l="1"/>
  <c r="U63" i="21"/>
  <c r="J62" i="21"/>
  <c r="J63" i="21"/>
  <c r="V63" i="21" l="1"/>
  <c r="V62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Pierre TOURNIER</author>
  </authors>
  <commentList>
    <comment ref="N58" authorId="0" shapeId="0" xr:uid="{9C805D7E-32AD-4878-9AB4-927167D6ADA6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NC Douanière
En att. avoir 1383€</t>
        </r>
      </text>
    </comment>
    <comment ref="A67" authorId="0" shapeId="0" xr:uid="{C26A6433-B926-44ED-97BC-9D55F3E85E0E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05/06 : Contrat annulé par Lassonde (pas de stock dispo chez PFL)</t>
        </r>
      </text>
    </comment>
    <comment ref="G111" authorId="0" shapeId="0" xr:uid="{8C145E47-1120-436F-8EFF-FFFDF6CD3031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à confirmer</t>
        </r>
      </text>
    </comment>
    <comment ref="H111" authorId="0" shapeId="0" xr:uid="{C297B113-DBE8-4890-B865-CFB39B68E715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à confirmer</t>
        </r>
      </text>
    </comment>
    <comment ref="G113" authorId="0" shapeId="0" xr:uid="{7FEF4B85-6801-475A-A4B1-A5E2668BBF66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à confirmer</t>
        </r>
      </text>
    </comment>
    <comment ref="H113" authorId="0" shapeId="0" xr:uid="{7002BF33-94E9-4CE8-B9B6-C674F6CF437F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à confirmer</t>
        </r>
      </text>
    </comment>
    <comment ref="N117" authorId="0" shapeId="0" xr:uid="{EEF1D8E2-04E6-4608-96ED-C2C2AACA2CB8}">
      <text>
        <r>
          <rPr>
            <b/>
            <sz val="9"/>
            <color indexed="81"/>
            <rFont val="Tahoma"/>
            <charset val="1"/>
          </rPr>
          <t>Pierre TOURNIER:</t>
        </r>
        <r>
          <rPr>
            <sz val="9"/>
            <color indexed="81"/>
            <rFont val="Tahoma"/>
            <charset val="1"/>
          </rPr>
          <t xml:space="preserve">
NC douanière
En att. avoir 5014€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Pierre TOURNIER</author>
  </authors>
  <commentList>
    <comment ref="A67" authorId="0" shapeId="0" xr:uid="{0D4106DC-32AF-4B65-B97D-03B92C495685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05/06 : Contrat annulé par Lassonde (pas de stock dispo chez PFL)</t>
        </r>
      </text>
    </comment>
    <comment ref="G111" authorId="0" shapeId="0" xr:uid="{601DDF21-2363-4683-A5D1-09CC840F3A6F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à confirmer</t>
        </r>
      </text>
    </comment>
    <comment ref="H111" authorId="0" shapeId="0" xr:uid="{EA5F1F7B-73C5-46B3-BDC0-62484DF9C198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à confirmer</t>
        </r>
      </text>
    </comment>
    <comment ref="G112" authorId="0" shapeId="0" xr:uid="{4BEC4927-12B8-4167-B3EC-F8A868C9A538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124F palettisés sans surcoût Kmais</t>
        </r>
      </text>
    </comment>
    <comment ref="H112" authorId="0" shapeId="0" xr:uid="{F23BB4DF-1C80-4983-9387-74D36C916462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124F palettisés sans surcoût Kmais</t>
        </r>
      </text>
    </comment>
    <comment ref="G113" authorId="0" shapeId="0" xr:uid="{0267193A-2551-4B32-9D92-00EFE69C1DA2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à confirmer</t>
        </r>
      </text>
    </comment>
    <comment ref="H113" authorId="0" shapeId="0" xr:uid="{90298DE3-678D-41C5-9DE9-94E78D8476BB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à confirmer</t>
        </r>
      </text>
    </comment>
    <comment ref="G148" authorId="0" shapeId="0" xr:uid="{0E5E97FC-DED9-4C2A-8500-EB7486BF09EB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à confirmer</t>
        </r>
      </text>
    </comment>
    <comment ref="H148" authorId="0" shapeId="0" xr:uid="{0321122C-3630-4BD8-8CE6-534E5CE2CC30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Qté à confirmer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Pierre TOURNIER</author>
  </authors>
  <commentList>
    <comment ref="H111" authorId="0" shapeId="0" xr:uid="{DCC6A178-95A5-4BB3-A51D-67AB96EFD509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à confirmer</t>
        </r>
      </text>
    </comment>
    <comment ref="H112" authorId="0" shapeId="0" xr:uid="{F52B2B55-0DFD-4D9A-8F04-EAE59793CD20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Qté à confirmer
</t>
        </r>
      </text>
    </comment>
    <comment ref="H113" authorId="0" shapeId="0" xr:uid="{AC2EBE6D-C0A6-40CC-806A-F8256D929B93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à confirmer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Pierre TOURNIER</author>
  </authors>
  <commentList>
    <comment ref="B79" authorId="0" shapeId="0" xr:uid="{73C17108-4435-4120-93B8-AEA26FB0C97A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Vérifier avec ND si complet Gingembre ou si à compléter avec Passion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Pierre TOURNIER</author>
  </authors>
  <commentList>
    <comment ref="L66" authorId="0" shapeId="0" xr:uid="{095DE392-D5D8-4B10-81A4-76730219F834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Facture DB Schenker manquante et réclamée le 25/03</t>
        </r>
      </text>
    </comment>
    <comment ref="B79" authorId="0" shapeId="0" xr:uid="{3C06E344-7C40-4C46-A0ED-DADF2D26E537}">
      <text>
        <r>
          <rPr>
            <b/>
            <sz val="9"/>
            <color indexed="81"/>
            <rFont val="Tahoma"/>
            <family val="2"/>
          </rPr>
          <t>Pierre TOURNIER:</t>
        </r>
        <r>
          <rPr>
            <sz val="9"/>
            <color indexed="81"/>
            <rFont val="Tahoma"/>
            <family val="2"/>
          </rPr>
          <t xml:space="preserve">
Vérifier avec ND si complet Gingembre ou si à compléter avec Passion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Carine Rapaoly</author>
    <author>Dominique LAHEURTE</author>
    <author>Microsoft Office User</author>
  </authors>
  <commentList>
    <comment ref="M7" authorId="0" shapeId="0" xr:uid="{9AC71C6C-784B-48D0-8C5E-F659F2F3D93B}">
      <text>
        <r>
          <rPr>
            <b/>
            <sz val="9"/>
            <color indexed="81"/>
            <rFont val="Tahoma"/>
            <family val="2"/>
          </rPr>
          <t>Carine Rapaoly:</t>
        </r>
        <r>
          <rPr>
            <sz val="9"/>
            <color indexed="81"/>
            <rFont val="Tahoma"/>
            <family val="2"/>
          </rPr>
          <t xml:space="preserve">
dedo partiel STD et PREM
54 + 72</t>
        </r>
      </text>
    </comment>
    <comment ref="M9" authorId="1" shapeId="0" xr:uid="{6957A339-8699-47C9-B268-8EFF1ED02EDC}">
      <text>
        <r>
          <rPr>
            <b/>
            <sz val="9"/>
            <color indexed="81"/>
            <rFont val="Tahoma"/>
            <family val="2"/>
          </rPr>
          <t>Dominique LAHEURTE:</t>
        </r>
        <r>
          <rPr>
            <sz val="9"/>
            <color indexed="81"/>
            <rFont val="Tahoma"/>
            <family val="2"/>
          </rPr>
          <t xml:space="preserve">
2 facturés
reste 2 lots (92Fûts) =121,56€</t>
        </r>
      </text>
    </comment>
    <comment ref="H27" authorId="2" shapeId="0" xr:uid="{E6169528-F722-4FE5-A90D-716A4390C245}">
      <text>
        <r>
          <rPr>
            <sz val="10"/>
            <color rgb="FF000000"/>
            <rFont val="Tahoma"/>
            <family val="2"/>
          </rPr>
          <t>Contrat = 124800 kg</t>
        </r>
      </text>
    </comment>
    <comment ref="G145" authorId="1" shapeId="0" xr:uid="{A40BE27D-A5E6-4C50-AE01-8B190F2ED868}">
      <text>
        <r>
          <rPr>
            <b/>
            <sz val="9"/>
            <color indexed="81"/>
            <rFont val="Tahoma"/>
            <family val="2"/>
          </rPr>
          <t>Dominique LAHEURTE:</t>
        </r>
        <r>
          <rPr>
            <sz val="9"/>
            <color indexed="81"/>
            <rFont val="Tahoma"/>
            <family val="2"/>
          </rPr>
          <t xml:space="preserve">
= reprise des futs JFA</t>
        </r>
      </text>
    </comment>
  </commentList>
</comments>
</file>

<file path=xl/sharedStrings.xml><?xml version="1.0" encoding="utf-8"?>
<sst xmlns="http://schemas.openxmlformats.org/spreadsheetml/2006/main" count="5695" uniqueCount="690">
  <si>
    <t>DOSSIER</t>
  </si>
  <si>
    <t>ARTICLE</t>
  </si>
  <si>
    <t>FOURNISSEUR</t>
  </si>
  <si>
    <t>DESTINATAIRE</t>
  </si>
  <si>
    <t>DEPOT</t>
  </si>
  <si>
    <t>INCOTERM
ACHAT</t>
  </si>
  <si>
    <t>NB COLIS</t>
  </si>
  <si>
    <t>POIDS NET TOTAL</t>
  </si>
  <si>
    <t>PX ACHAT EN €</t>
  </si>
  <si>
    <t>FACTURE
D'ACHAT
MATIERE</t>
  </si>
  <si>
    <t>SEA
FREIGHT</t>
  </si>
  <si>
    <t>COÛTS LIVRAISON FINALE</t>
  </si>
  <si>
    <t>FRAIS DOUANE</t>
  </si>
  <si>
    <t>DEMUR
SCAN
BRANCH.</t>
  </si>
  <si>
    <t>INTAKE</t>
  </si>
  <si>
    <t>FRAIS
STOCKAGE</t>
  </si>
  <si>
    <r>
      <rPr>
        <b/>
        <sz val="10"/>
        <color theme="0"/>
        <rFont val="Calibri"/>
        <family val="2"/>
      </rPr>
      <t>ASSURANCE</t>
    </r>
    <r>
      <rPr>
        <b/>
        <sz val="11"/>
        <color theme="0"/>
        <rFont val="Calibri"/>
        <family val="2"/>
      </rPr>
      <t xml:space="preserve">
STOCKAGE</t>
    </r>
  </si>
  <si>
    <t>CUMUL
REPRES.
FISCALE</t>
  </si>
  <si>
    <t>CUMUL
COUTS
PREPA</t>
  </si>
  <si>
    <t>CUMUL
COUTS LIV. FINALE</t>
  </si>
  <si>
    <t>COUTS</t>
  </si>
  <si>
    <t>PAMP</t>
  </si>
  <si>
    <t>LOT HIWA</t>
  </si>
  <si>
    <t>DATE
INTAKE</t>
  </si>
  <si>
    <t>NB COLIS DISPO
FdM</t>
  </si>
  <si>
    <t>STOCK DISPO
FdM</t>
  </si>
  <si>
    <t>VALEUR STOCK
FIN DE MOIS</t>
  </si>
  <si>
    <t>H078</t>
  </si>
  <si>
    <t>1MAN1PS11KEN1KD</t>
  </si>
  <si>
    <t>PREMFOOD$</t>
  </si>
  <si>
    <t>Authentifruits</t>
  </si>
  <si>
    <t>CIF</t>
  </si>
  <si>
    <t>H122</t>
  </si>
  <si>
    <t>1CER9EN10SER1TN</t>
  </si>
  <si>
    <t>NATUREN</t>
  </si>
  <si>
    <t>Godfroy</t>
  </si>
  <si>
    <t>DDP</t>
  </si>
  <si>
    <t>n/a</t>
  </si>
  <si>
    <t>H123</t>
  </si>
  <si>
    <t>1FRB9EN10SER9DE</t>
  </si>
  <si>
    <t>H124</t>
  </si>
  <si>
    <t>1FRB9BR10SER9DE</t>
  </si>
  <si>
    <t>H139</t>
  </si>
  <si>
    <t>1MAN1PS98IND1DD</t>
  </si>
  <si>
    <t>EXCEL FOODS</t>
  </si>
  <si>
    <t>Hiwa</t>
  </si>
  <si>
    <t>CFR</t>
  </si>
  <si>
    <t>H140</t>
  </si>
  <si>
    <t>1MAN1PS18IND1DE</t>
  </si>
  <si>
    <t>342137 / 356933</t>
  </si>
  <si>
    <t>J049</t>
  </si>
  <si>
    <t>1GIN1PJ91PER1DE</t>
  </si>
  <si>
    <t>APF</t>
  </si>
  <si>
    <t>J094</t>
  </si>
  <si>
    <t>1ORA1PJ92MAR1DE</t>
  </si>
  <si>
    <t>JNP</t>
  </si>
  <si>
    <t>J099</t>
  </si>
  <si>
    <t>1LIM9PJ11BRE1DD</t>
  </si>
  <si>
    <t>VIA PACK</t>
  </si>
  <si>
    <t>FOB</t>
  </si>
  <si>
    <t>J111</t>
  </si>
  <si>
    <t>1GRE1PJ92TUR1DE</t>
  </si>
  <si>
    <t>TUNAYGI</t>
  </si>
  <si>
    <t>Vitagermine</t>
  </si>
  <si>
    <t>J114</t>
  </si>
  <si>
    <t>1COC1CR12SRI9DR</t>
  </si>
  <si>
    <t>RENUKA</t>
  </si>
  <si>
    <t>J115</t>
  </si>
  <si>
    <t>1COC1CR18SRI9DR</t>
  </si>
  <si>
    <t>J120</t>
  </si>
  <si>
    <t>Kookabarra</t>
  </si>
  <si>
    <t>J124</t>
  </si>
  <si>
    <t>1ORA9PJ12MAR1SE</t>
  </si>
  <si>
    <t>Boiron</t>
  </si>
  <si>
    <t>J125</t>
  </si>
  <si>
    <t>J131</t>
  </si>
  <si>
    <t>J132</t>
  </si>
  <si>
    <t>1COC1CR18SRI9DD</t>
  </si>
  <si>
    <t>J159</t>
  </si>
  <si>
    <t>1MAN1PS11IND1OD</t>
  </si>
  <si>
    <t>GALLA</t>
  </si>
  <si>
    <t>J167</t>
  </si>
  <si>
    <t>1GOY1PS11BRE1DR</t>
  </si>
  <si>
    <t>RALSTON</t>
  </si>
  <si>
    <t>J177</t>
  </si>
  <si>
    <t>J184</t>
  </si>
  <si>
    <t>0MAN1PS11IND1OD</t>
  </si>
  <si>
    <t>Caraman</t>
  </si>
  <si>
    <t>J185</t>
  </si>
  <si>
    <t>1GOY1PS11BRE1DK</t>
  </si>
  <si>
    <t>KMAIS$</t>
  </si>
  <si>
    <t>365784 / 365785</t>
  </si>
  <si>
    <t>J187</t>
  </si>
  <si>
    <t>0GOY1PS11BRE1DK</t>
  </si>
  <si>
    <t>Aglae</t>
  </si>
  <si>
    <t>J188</t>
  </si>
  <si>
    <t>J189</t>
  </si>
  <si>
    <t>Lassonde Montréal</t>
  </si>
  <si>
    <t>J190</t>
  </si>
  <si>
    <t>J191</t>
  </si>
  <si>
    <t>J192</t>
  </si>
  <si>
    <t>Lassonde Edmonton</t>
  </si>
  <si>
    <t>J195</t>
  </si>
  <si>
    <t>0GRE1PJ92TUR1CE</t>
  </si>
  <si>
    <t>JFA</t>
  </si>
  <si>
    <t>J196</t>
  </si>
  <si>
    <t>0GRE1PJ92TUR1DE</t>
  </si>
  <si>
    <t>366454 / 366455 / 366456 / 366457</t>
  </si>
  <si>
    <t>J197</t>
  </si>
  <si>
    <t>J198</t>
  </si>
  <si>
    <t>366627 / 366628</t>
  </si>
  <si>
    <t>J199</t>
  </si>
  <si>
    <t>Materne</t>
  </si>
  <si>
    <t>J200</t>
  </si>
  <si>
    <t>367431 / 367432</t>
  </si>
  <si>
    <t>J201</t>
  </si>
  <si>
    <t>Vitamont</t>
  </si>
  <si>
    <t>J202</t>
  </si>
  <si>
    <t>0CIT9PJ91ESP1DE</t>
  </si>
  <si>
    <t>TANA</t>
  </si>
  <si>
    <t>Terre Adélice</t>
  </si>
  <si>
    <t>EXW</t>
  </si>
  <si>
    <t>J203</t>
  </si>
  <si>
    <t>1GIN1PJ92PER1DE</t>
  </si>
  <si>
    <t>J204</t>
  </si>
  <si>
    <t>0ABR1PS11FRA1PD</t>
  </si>
  <si>
    <t>LAMANTA</t>
  </si>
  <si>
    <t>Confituriers Vieux Cherier</t>
  </si>
  <si>
    <t>FCA</t>
  </si>
  <si>
    <t>J205</t>
  </si>
  <si>
    <t>366629 / 366630 / 366631 / 366632</t>
  </si>
  <si>
    <t>J206</t>
  </si>
  <si>
    <t>0ORA1PJ12ESP9DE</t>
  </si>
  <si>
    <t>ZUMOS</t>
  </si>
  <si>
    <t>C&amp;A</t>
  </si>
  <si>
    <t>J207</t>
  </si>
  <si>
    <t>0CLE1PJ12ESP1DE</t>
  </si>
  <si>
    <t>J208</t>
  </si>
  <si>
    <t>J209</t>
  </si>
  <si>
    <t>J210</t>
  </si>
  <si>
    <t>0PRU1PJ92TUR1DE</t>
  </si>
  <si>
    <t>369001 / 369002 / 369003 / 369004 / 369005 / 369006 / 369007</t>
  </si>
  <si>
    <t>K001</t>
  </si>
  <si>
    <t>0CIT9PJ17ESP9DT</t>
  </si>
  <si>
    <t>Guyader Landrévarzec</t>
  </si>
  <si>
    <t>K002</t>
  </si>
  <si>
    <t>K003</t>
  </si>
  <si>
    <t>0ORA1PJ92ESP1DD</t>
  </si>
  <si>
    <t>Sanofruit</t>
  </si>
  <si>
    <t>K004</t>
  </si>
  <si>
    <t>Guyader Kervignac</t>
  </si>
  <si>
    <t>K005</t>
  </si>
  <si>
    <t>K006</t>
  </si>
  <si>
    <t>0ABR1PS12FRA1PD</t>
  </si>
  <si>
    <t>K007</t>
  </si>
  <si>
    <t>368743 / 368744 / 368745 / 368746</t>
  </si>
  <si>
    <t>K008</t>
  </si>
  <si>
    <t>0ABR1PS18UEE1DE</t>
  </si>
  <si>
    <t>Alfagel</t>
  </si>
  <si>
    <t>K009</t>
  </si>
  <si>
    <t>K010</t>
  </si>
  <si>
    <t>,</t>
  </si>
  <si>
    <t>370514 / 370515</t>
  </si>
  <si>
    <t>K011</t>
  </si>
  <si>
    <t>370511 / 370512 / 370513</t>
  </si>
  <si>
    <t>K012</t>
  </si>
  <si>
    <t>K013</t>
  </si>
  <si>
    <t>370193 / 370194 / 370195 / 370196</t>
  </si>
  <si>
    <t>K014</t>
  </si>
  <si>
    <t>370197 / 370198</t>
  </si>
  <si>
    <t>K015</t>
  </si>
  <si>
    <t>0FRA1CC18UEE1DE</t>
  </si>
  <si>
    <t>Brasserie La Débauche</t>
  </si>
  <si>
    <t>Mainfrucht</t>
  </si>
  <si>
    <t>K016</t>
  </si>
  <si>
    <t>0CIT9PJ97ITA9DE</t>
  </si>
  <si>
    <t>CAMPISI</t>
  </si>
  <si>
    <t>Prosain</t>
  </si>
  <si>
    <t>K017</t>
  </si>
  <si>
    <t>0BER9PJ97ITA9DE</t>
  </si>
  <si>
    <t>K018</t>
  </si>
  <si>
    <t>K019</t>
  </si>
  <si>
    <t>K020</t>
  </si>
  <si>
    <t>0PAM1PJ91ESP1DD</t>
  </si>
  <si>
    <t>Bio Brasseurs</t>
  </si>
  <si>
    <t>K021</t>
  </si>
  <si>
    <t>0MAN1PS11KEN1KD</t>
  </si>
  <si>
    <t>K022</t>
  </si>
  <si>
    <t>Sicoly</t>
  </si>
  <si>
    <t>K023</t>
  </si>
  <si>
    <t>K024</t>
  </si>
  <si>
    <t>K025</t>
  </si>
  <si>
    <t>K026</t>
  </si>
  <si>
    <t>0FRA1PS18ALL1DN</t>
  </si>
  <si>
    <t>Tiliz</t>
  </si>
  <si>
    <t>K027</t>
  </si>
  <si>
    <t>0CIT9PJ17ITA9DE</t>
  </si>
  <si>
    <t>Les Glaciers Normands</t>
  </si>
  <si>
    <t>K028</t>
  </si>
  <si>
    <t>K029</t>
  </si>
  <si>
    <t>K030</t>
  </si>
  <si>
    <t>K031</t>
  </si>
  <si>
    <t>K032</t>
  </si>
  <si>
    <t>K033</t>
  </si>
  <si>
    <t>K034</t>
  </si>
  <si>
    <t>372299 / 372300 / 372301 / 372302</t>
  </si>
  <si>
    <t>K035</t>
  </si>
  <si>
    <t>373834 / 373835 / 373836 / 373837</t>
  </si>
  <si>
    <t>K036</t>
  </si>
  <si>
    <t>372224 / 372225</t>
  </si>
  <si>
    <t>K037</t>
  </si>
  <si>
    <t>K038</t>
  </si>
  <si>
    <t>K039</t>
  </si>
  <si>
    <t>K040</t>
  </si>
  <si>
    <t>0CIT9PJ91ESP9DE</t>
  </si>
  <si>
    <t>Maison Specht</t>
  </si>
  <si>
    <t>K041</t>
  </si>
  <si>
    <t>0CIT9ZE90ESP9DE</t>
  </si>
  <si>
    <t>K042</t>
  </si>
  <si>
    <t>K043</t>
  </si>
  <si>
    <t>K044</t>
  </si>
  <si>
    <t>K045</t>
  </si>
  <si>
    <t>Loutriol</t>
  </si>
  <si>
    <t>K046</t>
  </si>
  <si>
    <t>0ORA1PJ13ESP9DE</t>
  </si>
  <si>
    <t>K047</t>
  </si>
  <si>
    <t>The Brew Lab</t>
  </si>
  <si>
    <t>K048</t>
  </si>
  <si>
    <t>K049</t>
  </si>
  <si>
    <t>AGROTERENAS</t>
  </si>
  <si>
    <t>K050</t>
  </si>
  <si>
    <t>K051</t>
  </si>
  <si>
    <t>K052</t>
  </si>
  <si>
    <t>K053</t>
  </si>
  <si>
    <t>0CIT9MO10ESP9DE</t>
  </si>
  <si>
    <t>Capfruit</t>
  </si>
  <si>
    <t>K054</t>
  </si>
  <si>
    <t>K055</t>
  </si>
  <si>
    <t>K056</t>
  </si>
  <si>
    <t>0GOY1PS11IND1NE</t>
  </si>
  <si>
    <t>Biogroupe</t>
  </si>
  <si>
    <t>CPT</t>
  </si>
  <si>
    <t>K057</t>
  </si>
  <si>
    <t>K058</t>
  </si>
  <si>
    <t>K059</t>
  </si>
  <si>
    <t>K060</t>
  </si>
  <si>
    <t>0CIT9PJ91ITA9DE</t>
  </si>
  <si>
    <t>Le Mas de l'Armandine</t>
  </si>
  <si>
    <t>K061</t>
  </si>
  <si>
    <t>K062</t>
  </si>
  <si>
    <t>K063</t>
  </si>
  <si>
    <t>K064</t>
  </si>
  <si>
    <t>0BER9PJ90ITA9DE</t>
  </si>
  <si>
    <t>K065</t>
  </si>
  <si>
    <t>0COC1EA92SRI1DE</t>
  </si>
  <si>
    <t>Direct</t>
  </si>
  <si>
    <t>K066</t>
  </si>
  <si>
    <t>K067</t>
  </si>
  <si>
    <t>K068</t>
  </si>
  <si>
    <t>K069</t>
  </si>
  <si>
    <t>374947 / 374948 / 374949 / 374950 / 375384</t>
  </si>
  <si>
    <t>K070</t>
  </si>
  <si>
    <t>K071</t>
  </si>
  <si>
    <t>0ORA9PJ12MAR1SE</t>
  </si>
  <si>
    <t>K072</t>
  </si>
  <si>
    <t>K073</t>
  </si>
  <si>
    <t>0CIT9BY90ESP1DE</t>
  </si>
  <si>
    <t>Alltiflore</t>
  </si>
  <si>
    <t>K074</t>
  </si>
  <si>
    <t>0PAM9PJ11ESP9DE</t>
  </si>
  <si>
    <t>K075</t>
  </si>
  <si>
    <t>K076</t>
  </si>
  <si>
    <t>K077</t>
  </si>
  <si>
    <t>K078</t>
  </si>
  <si>
    <t>K079</t>
  </si>
  <si>
    <t>K080</t>
  </si>
  <si>
    <t>K081</t>
  </si>
  <si>
    <t>0ORA9PJ97ITA9SE</t>
  </si>
  <si>
    <t>Brasserie Plormel</t>
  </si>
  <si>
    <t>K082</t>
  </si>
  <si>
    <t>0PAM9PJ97ITA9DE</t>
  </si>
  <si>
    <t>K083</t>
  </si>
  <si>
    <t>K084</t>
  </si>
  <si>
    <t>K085</t>
  </si>
  <si>
    <t>K086</t>
  </si>
  <si>
    <t>1LIM9PJ91BRE1DD</t>
  </si>
  <si>
    <t>K087</t>
  </si>
  <si>
    <t>K088</t>
  </si>
  <si>
    <t>0CAS1CC18UEE1DE</t>
  </si>
  <si>
    <t>FEDI</t>
  </si>
  <si>
    <t>K089</t>
  </si>
  <si>
    <t>K090</t>
  </si>
  <si>
    <t>1GOY1CC11BRE1DK</t>
  </si>
  <si>
    <t>K091</t>
  </si>
  <si>
    <t>K092</t>
  </si>
  <si>
    <t>K093</t>
  </si>
  <si>
    <t>1MAN1PS18IND1OD</t>
  </si>
  <si>
    <t>K094</t>
  </si>
  <si>
    <t>K095</t>
  </si>
  <si>
    <t>K096</t>
  </si>
  <si>
    <t>0FRB1PS18UEE1DN</t>
  </si>
  <si>
    <t>Brasserie La Manivelle</t>
  </si>
  <si>
    <t>K097</t>
  </si>
  <si>
    <t>0FRA1PS18EUR1DN</t>
  </si>
  <si>
    <t>K098</t>
  </si>
  <si>
    <t>K099</t>
  </si>
  <si>
    <t>0LIM9PJ11MEX9DD</t>
  </si>
  <si>
    <t>ARPEN</t>
  </si>
  <si>
    <t>Adamance</t>
  </si>
  <si>
    <t>K100</t>
  </si>
  <si>
    <t>K101</t>
  </si>
  <si>
    <t>1LIM9PJ11MEX9DD</t>
  </si>
  <si>
    <t>K102</t>
  </si>
  <si>
    <t>K103</t>
  </si>
  <si>
    <t>0PAS1CC18UEE1DN</t>
  </si>
  <si>
    <t>K104</t>
  </si>
  <si>
    <t>K105</t>
  </si>
  <si>
    <t>Guyader Saint-Agathon</t>
  </si>
  <si>
    <t>K106a</t>
  </si>
  <si>
    <t>1PAS1PJ98PER1DD</t>
  </si>
  <si>
    <t>K106b</t>
  </si>
  <si>
    <t>K106c</t>
  </si>
  <si>
    <t>1PAS1PJ18PER1DD</t>
  </si>
  <si>
    <t>K106d</t>
  </si>
  <si>
    <t>1PAS1PJ12PER1DD</t>
  </si>
  <si>
    <t>K106e</t>
  </si>
  <si>
    <t>1CUR1PJ98PER1DE</t>
  </si>
  <si>
    <t>K106f</t>
  </si>
  <si>
    <t>K107</t>
  </si>
  <si>
    <t>K108</t>
  </si>
  <si>
    <t>K109</t>
  </si>
  <si>
    <t>K110</t>
  </si>
  <si>
    <t>K111</t>
  </si>
  <si>
    <t>K112</t>
  </si>
  <si>
    <t>K113</t>
  </si>
  <si>
    <t>K114</t>
  </si>
  <si>
    <t>K115</t>
  </si>
  <si>
    <t>K116</t>
  </si>
  <si>
    <t>K117</t>
  </si>
  <si>
    <t>K118</t>
  </si>
  <si>
    <t>K119</t>
  </si>
  <si>
    <t>K120</t>
  </si>
  <si>
    <t>K121</t>
  </si>
  <si>
    <t>K122</t>
  </si>
  <si>
    <t>K123</t>
  </si>
  <si>
    <t>K124</t>
  </si>
  <si>
    <t>K125</t>
  </si>
  <si>
    <t>K126</t>
  </si>
  <si>
    <t>K127</t>
  </si>
  <si>
    <t>K128</t>
  </si>
  <si>
    <t>K129</t>
  </si>
  <si>
    <t>K130</t>
  </si>
  <si>
    <t>K131</t>
  </si>
  <si>
    <t>K132</t>
  </si>
  <si>
    <t>K133</t>
  </si>
  <si>
    <t>K134</t>
  </si>
  <si>
    <t>K135</t>
  </si>
  <si>
    <t>K136</t>
  </si>
  <si>
    <t>K137</t>
  </si>
  <si>
    <t>K138</t>
  </si>
  <si>
    <t>K139</t>
  </si>
  <si>
    <t>K140</t>
  </si>
  <si>
    <t>K141</t>
  </si>
  <si>
    <t>K142</t>
  </si>
  <si>
    <t>K143</t>
  </si>
  <si>
    <t>K144</t>
  </si>
  <si>
    <t>K145</t>
  </si>
  <si>
    <t>K146</t>
  </si>
  <si>
    <t>K147</t>
  </si>
  <si>
    <t>K148</t>
  </si>
  <si>
    <t>K149</t>
  </si>
  <si>
    <t>K150</t>
  </si>
  <si>
    <t>FACTURE
D'ACHAT</t>
  </si>
  <si>
    <t>TRPT
DIRECT ou APPRO</t>
  </si>
  <si>
    <t>EXCEL</t>
  </si>
  <si>
    <t>Renuka</t>
  </si>
  <si>
    <t>Ralston</t>
  </si>
  <si>
    <t>0ABR1PS12FRA1DD</t>
  </si>
  <si>
    <t>A reprendre</t>
  </si>
  <si>
    <t>342137 / 
356933</t>
  </si>
  <si>
    <t>Stock en Frais Garde</t>
  </si>
  <si>
    <t>DEMU
SCAN</t>
  </si>
  <si>
    <t>STOCK FIN DE MOIS
M-1</t>
  </si>
  <si>
    <t>STOCK
1/2 MOIS</t>
  </si>
  <si>
    <t>STOCK FIN DE MOIS
M</t>
  </si>
  <si>
    <t>JNP €</t>
  </si>
  <si>
    <t>Charles &amp; Alice / Vitagermine</t>
  </si>
  <si>
    <t>INCO TERM
ACHAT</t>
  </si>
  <si>
    <t>LOT HIWA
ou GODFROY</t>
  </si>
  <si>
    <t>1GRE9PJ92TUR1DE</t>
  </si>
  <si>
    <t>INCO TERM</t>
  </si>
  <si>
    <t>TRPT</t>
  </si>
  <si>
    <t>STOCKAGE
CUMULE</t>
  </si>
  <si>
    <t>VALEUR DU STOCK FIN DE MOIS</t>
  </si>
  <si>
    <t>G148</t>
  </si>
  <si>
    <t>G193</t>
  </si>
  <si>
    <t>H079</t>
  </si>
  <si>
    <t>H102</t>
  </si>
  <si>
    <t>335754
335766</t>
  </si>
  <si>
    <t>H116</t>
  </si>
  <si>
    <t>VIAPACK$</t>
  </si>
  <si>
    <t>H121</t>
  </si>
  <si>
    <t>H133</t>
  </si>
  <si>
    <t>0GOY1PS91FRA1DE</t>
  </si>
  <si>
    <t>DENEL</t>
  </si>
  <si>
    <t>342137
356933</t>
  </si>
  <si>
    <t>H147</t>
  </si>
  <si>
    <t>H148</t>
  </si>
  <si>
    <t>H159</t>
  </si>
  <si>
    <t>H165</t>
  </si>
  <si>
    <t>H166</t>
  </si>
  <si>
    <t>Guyader</t>
  </si>
  <si>
    <t>H167</t>
  </si>
  <si>
    <t>1PAS1PJ92PER1DD</t>
  </si>
  <si>
    <t>H168</t>
  </si>
  <si>
    <t>H169</t>
  </si>
  <si>
    <t>H170</t>
  </si>
  <si>
    <t>0CAS1CC18POL1DE</t>
  </si>
  <si>
    <t>Maison Jacoulot</t>
  </si>
  <si>
    <t>H171</t>
  </si>
  <si>
    <t>0ORA1PJ91ESP1DE</t>
  </si>
  <si>
    <t>Ty Jus</t>
  </si>
  <si>
    <t>H172</t>
  </si>
  <si>
    <t>H173</t>
  </si>
  <si>
    <t>COM°. CITR CONC ABEILLE (371551)</t>
  </si>
  <si>
    <t>Abeille</t>
  </si>
  <si>
    <t>H188</t>
  </si>
  <si>
    <t>H193</t>
  </si>
  <si>
    <t>346893
346894
346895</t>
  </si>
  <si>
    <t>H197</t>
  </si>
  <si>
    <t>0MAN1PS91IND1XD</t>
  </si>
  <si>
    <t>H201</t>
  </si>
  <si>
    <t>H204</t>
  </si>
  <si>
    <t>H205</t>
  </si>
  <si>
    <t>H206</t>
  </si>
  <si>
    <t>0GRE9CC12TUR9DE</t>
  </si>
  <si>
    <t>H207</t>
  </si>
  <si>
    <t>Remplacé par J003</t>
  </si>
  <si>
    <t>H208</t>
  </si>
  <si>
    <t>H209</t>
  </si>
  <si>
    <t>J001</t>
  </si>
  <si>
    <t>J002</t>
  </si>
  <si>
    <t>Annulé</t>
  </si>
  <si>
    <t>J003</t>
  </si>
  <si>
    <t>J004</t>
  </si>
  <si>
    <t>J005</t>
  </si>
  <si>
    <t>0CAS9EN10UKR9DE</t>
  </si>
  <si>
    <t>Cassis d'Alice</t>
  </si>
  <si>
    <t>J006</t>
  </si>
  <si>
    <t>0MYR9EN10UKR9DE</t>
  </si>
  <si>
    <t>J007</t>
  </si>
  <si>
    <t>0MIR9EN10UKR9DE</t>
  </si>
  <si>
    <t>J008</t>
  </si>
  <si>
    <t>0GRO9EN10UKR9DE</t>
  </si>
  <si>
    <t>J009</t>
  </si>
  <si>
    <t>Mas de l'Armandine</t>
  </si>
  <si>
    <t>J010</t>
  </si>
  <si>
    <t>J011</t>
  </si>
  <si>
    <t>0CER1CC18POL1DE</t>
  </si>
  <si>
    <t>Brasserie la Débauche</t>
  </si>
  <si>
    <t>J012</t>
  </si>
  <si>
    <t>J013</t>
  </si>
  <si>
    <t>0PAM9PJ97ITA1DE</t>
  </si>
  <si>
    <t>J014</t>
  </si>
  <si>
    <t>0ABR1PS11FRA1DD</t>
  </si>
  <si>
    <t>Les confitures du Cherier</t>
  </si>
  <si>
    <t>J015</t>
  </si>
  <si>
    <t>0GIN1PJ97PER1DD</t>
  </si>
  <si>
    <t>Comodity</t>
  </si>
  <si>
    <t>J016</t>
  </si>
  <si>
    <t>J017</t>
  </si>
  <si>
    <t>0MYR1PS18UEE1VM</t>
  </si>
  <si>
    <t>J018</t>
  </si>
  <si>
    <t>J019</t>
  </si>
  <si>
    <t>J020</t>
  </si>
  <si>
    <t>J021</t>
  </si>
  <si>
    <t>J022</t>
  </si>
  <si>
    <t>0PAM9PJ91ESP1DT</t>
  </si>
  <si>
    <t>Borderline</t>
  </si>
  <si>
    <t>J023</t>
  </si>
  <si>
    <t>0ORA1PJ93ESP1DE</t>
  </si>
  <si>
    <t>J024</t>
  </si>
  <si>
    <t>Lassonde</t>
  </si>
  <si>
    <t>J025</t>
  </si>
  <si>
    <t>J026</t>
  </si>
  <si>
    <t>SUMOL</t>
  </si>
  <si>
    <t>J027</t>
  </si>
  <si>
    <t>J028</t>
  </si>
  <si>
    <t>349838
349839
349840
349841
349845</t>
  </si>
  <si>
    <t>J029</t>
  </si>
  <si>
    <t>J030</t>
  </si>
  <si>
    <t>350357
350358</t>
  </si>
  <si>
    <t>J031</t>
  </si>
  <si>
    <t>J032</t>
  </si>
  <si>
    <t>350553
350554</t>
  </si>
  <si>
    <t>J033</t>
  </si>
  <si>
    <t>J034</t>
  </si>
  <si>
    <t>J035</t>
  </si>
  <si>
    <t>0BER9PJ9PITA1DE</t>
  </si>
  <si>
    <t>J036</t>
  </si>
  <si>
    <t>0CLE9PJ9PITA1DE</t>
  </si>
  <si>
    <t>J037</t>
  </si>
  <si>
    <t>0ORA9PJ97ITA9DE</t>
  </si>
  <si>
    <t>J038</t>
  </si>
  <si>
    <t>J039</t>
  </si>
  <si>
    <t>Repr. Fiscales 2024</t>
  </si>
  <si>
    <t>J040</t>
  </si>
  <si>
    <t>J041</t>
  </si>
  <si>
    <t>352233
352234
352235
352236</t>
  </si>
  <si>
    <t>J042</t>
  </si>
  <si>
    <t>J043</t>
  </si>
  <si>
    <t>J044</t>
  </si>
  <si>
    <t>J045</t>
  </si>
  <si>
    <t>J046</t>
  </si>
  <si>
    <t>J047</t>
  </si>
  <si>
    <t>0CER1CC18UEE1DE</t>
  </si>
  <si>
    <t>J048</t>
  </si>
  <si>
    <t>J050</t>
  </si>
  <si>
    <t>J051</t>
  </si>
  <si>
    <t>J052</t>
  </si>
  <si>
    <t>0CIT1PJ91ESP1DE</t>
  </si>
  <si>
    <t>J053</t>
  </si>
  <si>
    <t>J054</t>
  </si>
  <si>
    <t>J055</t>
  </si>
  <si>
    <t>J056</t>
  </si>
  <si>
    <t>0FRB1PS98UEE1DE</t>
  </si>
  <si>
    <t>Brasserie Delabonne</t>
  </si>
  <si>
    <t>J057</t>
  </si>
  <si>
    <t>0CAS1PS98UEE1DE</t>
  </si>
  <si>
    <t>J058</t>
  </si>
  <si>
    <t>0ABR1PS98UEE1DE</t>
  </si>
  <si>
    <t>J059</t>
  </si>
  <si>
    <t>J060</t>
  </si>
  <si>
    <t>J061</t>
  </si>
  <si>
    <t>J062</t>
  </si>
  <si>
    <t>J063</t>
  </si>
  <si>
    <t>J064</t>
  </si>
  <si>
    <t>J065</t>
  </si>
  <si>
    <t>J066</t>
  </si>
  <si>
    <t>0CER1PS91TUR1TE</t>
  </si>
  <si>
    <t>J067</t>
  </si>
  <si>
    <t>J068</t>
  </si>
  <si>
    <t>Denel</t>
  </si>
  <si>
    <t>J069</t>
  </si>
  <si>
    <t>J070</t>
  </si>
  <si>
    <t>J071</t>
  </si>
  <si>
    <t>353472
353473</t>
  </si>
  <si>
    <t>J072</t>
  </si>
  <si>
    <t>0GIN1PJ91PER1DD</t>
  </si>
  <si>
    <t>J073</t>
  </si>
  <si>
    <t>0ABR1PS91FRA1PD</t>
  </si>
  <si>
    <t>J074</t>
  </si>
  <si>
    <t>J075</t>
  </si>
  <si>
    <t>J076</t>
  </si>
  <si>
    <t>J077</t>
  </si>
  <si>
    <t>0NOI1PS17UEE9DE</t>
  </si>
  <si>
    <t>Confitures de la Création</t>
  </si>
  <si>
    <t>J078</t>
  </si>
  <si>
    <t>355203
355204</t>
  </si>
  <si>
    <t>J079</t>
  </si>
  <si>
    <t>J080</t>
  </si>
  <si>
    <t>Socrate</t>
  </si>
  <si>
    <t>J081</t>
  </si>
  <si>
    <t>EXM</t>
  </si>
  <si>
    <t>J082</t>
  </si>
  <si>
    <t>J083</t>
  </si>
  <si>
    <t>J084</t>
  </si>
  <si>
    <t>COM°. CITR CONV CONGELE LSDH (7000244)</t>
  </si>
  <si>
    <t>LSDH</t>
  </si>
  <si>
    <t>J085</t>
  </si>
  <si>
    <t>COM°. CITR CONV CONGELE JFA (361501)</t>
  </si>
  <si>
    <t>J086</t>
  </si>
  <si>
    <t>J087</t>
  </si>
  <si>
    <t>J088</t>
  </si>
  <si>
    <t>J089</t>
  </si>
  <si>
    <t>J090</t>
  </si>
  <si>
    <t>J091</t>
  </si>
  <si>
    <t>0ORA1PJ11ESP9DE</t>
  </si>
  <si>
    <t>J092</t>
  </si>
  <si>
    <t>J093</t>
  </si>
  <si>
    <t>0PAM1PJ11ESP1DE</t>
  </si>
  <si>
    <t>ZUVAMESA</t>
  </si>
  <si>
    <t>Les armateurs de rhum</t>
  </si>
  <si>
    <t>J095</t>
  </si>
  <si>
    <t>1ORA1PJ12MAR1DE</t>
  </si>
  <si>
    <t>J096</t>
  </si>
  <si>
    <t>J097</t>
  </si>
  <si>
    <t>J098</t>
  </si>
  <si>
    <t>J100</t>
  </si>
  <si>
    <t>J101</t>
  </si>
  <si>
    <t>357209
357210
357211
357212</t>
  </si>
  <si>
    <t>J102</t>
  </si>
  <si>
    <t>J103</t>
  </si>
  <si>
    <t>0FRA1PS98SER1DN</t>
  </si>
  <si>
    <t>Brasserie du Sancy</t>
  </si>
  <si>
    <t>J104</t>
  </si>
  <si>
    <t>J105</t>
  </si>
  <si>
    <t>0FRB1PS98EUR1DN</t>
  </si>
  <si>
    <t>J106</t>
  </si>
  <si>
    <t>J107</t>
  </si>
  <si>
    <t>Lassonde Toronto</t>
  </si>
  <si>
    <t>J108</t>
  </si>
  <si>
    <t>J109</t>
  </si>
  <si>
    <t>J110</t>
  </si>
  <si>
    <t>359127
359128</t>
  </si>
  <si>
    <t>J112</t>
  </si>
  <si>
    <t>J113</t>
  </si>
  <si>
    <t>Fob</t>
  </si>
  <si>
    <t>J116</t>
  </si>
  <si>
    <t>J117</t>
  </si>
  <si>
    <t>0CIT9SE90ESP9DE</t>
  </si>
  <si>
    <t>J118</t>
  </si>
  <si>
    <t>J119</t>
  </si>
  <si>
    <t>J121</t>
  </si>
  <si>
    <t>J122</t>
  </si>
  <si>
    <t>J123</t>
  </si>
  <si>
    <t>J126</t>
  </si>
  <si>
    <t>J127</t>
  </si>
  <si>
    <t>0POI1PS91FRA1DE</t>
  </si>
  <si>
    <t>O' jus de fruits</t>
  </si>
  <si>
    <t>J128</t>
  </si>
  <si>
    <t>J129</t>
  </si>
  <si>
    <t>J130</t>
  </si>
  <si>
    <t>J133</t>
  </si>
  <si>
    <t>359962
359963</t>
  </si>
  <si>
    <t>J134</t>
  </si>
  <si>
    <t>J135</t>
  </si>
  <si>
    <t>J136</t>
  </si>
  <si>
    <t>0FRA1PS98ALL1DE</t>
  </si>
  <si>
    <t>BRASSERIE 744</t>
  </si>
  <si>
    <t>J137</t>
  </si>
  <si>
    <t>0FRB1PS98SER1DE</t>
  </si>
  <si>
    <t>J138</t>
  </si>
  <si>
    <t>0MYR1PS98ALL1DE</t>
  </si>
  <si>
    <t>J139</t>
  </si>
  <si>
    <t>J140</t>
  </si>
  <si>
    <t>J141</t>
  </si>
  <si>
    <t>J142</t>
  </si>
  <si>
    <t>J143</t>
  </si>
  <si>
    <t>J144</t>
  </si>
  <si>
    <t>J145</t>
  </si>
  <si>
    <t>J146</t>
  </si>
  <si>
    <t>J147</t>
  </si>
  <si>
    <t>J148</t>
  </si>
  <si>
    <t>J149</t>
  </si>
  <si>
    <t>J150</t>
  </si>
  <si>
    <t>J151</t>
  </si>
  <si>
    <t>J152</t>
  </si>
  <si>
    <t>J153</t>
  </si>
  <si>
    <t>J154</t>
  </si>
  <si>
    <t>J155</t>
  </si>
  <si>
    <t>J156</t>
  </si>
  <si>
    <t>363113
363114</t>
  </si>
  <si>
    <t>J157</t>
  </si>
  <si>
    <t>J158</t>
  </si>
  <si>
    <t>J160</t>
  </si>
  <si>
    <t>0ABR1PS92FRA1PD</t>
  </si>
  <si>
    <t>Thomas le Prince</t>
  </si>
  <si>
    <t>J161</t>
  </si>
  <si>
    <t>0ABR1PS92UEE1DD</t>
  </si>
  <si>
    <t>J162</t>
  </si>
  <si>
    <t>J163</t>
  </si>
  <si>
    <t>0PEC1PS92FRA1DE</t>
  </si>
  <si>
    <t>J164</t>
  </si>
  <si>
    <t>0PEC1PS12FRA1DE</t>
  </si>
  <si>
    <t>J165</t>
  </si>
  <si>
    <t>0PEC1PS12FRA1SE</t>
  </si>
  <si>
    <t>J166</t>
  </si>
  <si>
    <t>J168</t>
  </si>
  <si>
    <t>J169</t>
  </si>
  <si>
    <t>J170</t>
  </si>
  <si>
    <t>J171</t>
  </si>
  <si>
    <t>J172</t>
  </si>
  <si>
    <t>J173</t>
  </si>
  <si>
    <t>J174</t>
  </si>
  <si>
    <t>TY JUS</t>
  </si>
  <si>
    <t>J175</t>
  </si>
  <si>
    <t>Ponthier</t>
  </si>
  <si>
    <t>J176</t>
  </si>
  <si>
    <t>J178</t>
  </si>
  <si>
    <t>J179</t>
  </si>
  <si>
    <t>J180</t>
  </si>
  <si>
    <t>J181</t>
  </si>
  <si>
    <t>J182</t>
  </si>
  <si>
    <t>J183</t>
  </si>
  <si>
    <t>365784
365785</t>
  </si>
  <si>
    <t>J186</t>
  </si>
  <si>
    <t>J193</t>
  </si>
  <si>
    <t>J194</t>
  </si>
  <si>
    <t>Charles &amp; 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</si>
</sst>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.000\ _€_-;\-* #,##0.000\ _€_-;_-* &quot;- &quot;_€_-;_-@_-"/>
    <numFmt numFmtId="166" formatCode="_-* #,##0.00\ [$€-40C]_-;\-* #,##0.00\ [$€-40C]_-;_-* &quot;-&quot;??\ [$€-40C]_-;_-@_-"/>
    <numFmt numFmtId="167" formatCode="_-* #,##0\ [$€-40C]_-;\-* #,##0\ [$€-40C]_-;_-* &quot;-&quot;??\ [$€-40C]_-;_-@_-"/>
    <numFmt numFmtId="168" formatCode="_-* #,##0.000\ [$€-40C]_-;\-* #,##0.000\ [$€-40C]_-;_-* &quot;-&quot;??\ [$€-40C]_-;_-@_-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0"/>
      <color theme="0"/>
      <name val="Calibri"/>
      <family val="2"/>
    </font>
    <font>
      <b/>
      <sz val="16"/>
      <color rgb="FF000000"/>
      <name val="Calibri"/>
      <family val="2"/>
    </font>
    <font>
      <b/>
      <sz val="10"/>
      <color rgb="FF000000"/>
      <name val="Calibri"/>
      <family val="2"/>
    </font>
    <font>
      <strike/>
      <sz val="11"/>
      <color rgb="FF000000"/>
      <name val="Calibri"/>
      <family val="2"/>
    </font>
    <font>
      <strike/>
      <sz val="11"/>
      <name val="Calibri"/>
      <family val="2"/>
    </font>
    <font>
      <strike/>
      <sz val="11"/>
      <color theme="1"/>
      <name val="Calibri"/>
      <family val="2"/>
      <scheme val="minor"/>
    </font>
    <font>
      <b/>
      <strike/>
      <sz val="11"/>
      <color theme="0"/>
      <name val="Calibri"/>
      <family val="2"/>
    </font>
    <font>
      <b/>
      <strike/>
      <sz val="11"/>
      <name val="Calibri"/>
      <family val="2"/>
    </font>
    <font>
      <b/>
      <strike/>
      <sz val="12"/>
      <color theme="0"/>
      <name val="Calibri"/>
      <family val="2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0"/>
      <name val="Calibri"/>
      <family val="2"/>
      <scheme val="minor"/>
    </font>
    <font>
      <b/>
      <strike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rgb="FFB4C7E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9CA"/>
        <bgColor indexed="64"/>
      </patternFill>
    </fill>
    <fill>
      <patternFill patternType="solid">
        <fgColor rgb="FFCC6868"/>
        <bgColor rgb="FFB4C7E7"/>
      </patternFill>
    </fill>
    <fill>
      <patternFill patternType="solid">
        <fgColor rgb="FFCC686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7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0" borderId="0" xfId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3" fontId="2" fillId="0" borderId="0" xfId="1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167" fontId="9" fillId="0" borderId="1" xfId="1" applyNumberFormat="1" applyFont="1" applyFill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167" fontId="4" fillId="0" borderId="3" xfId="0" applyNumberFormat="1" applyFont="1" applyBorder="1" applyAlignment="1">
      <alignment horizontal="center" vertical="center"/>
    </xf>
    <xf numFmtId="167" fontId="9" fillId="0" borderId="3" xfId="0" applyNumberFormat="1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 wrapText="1"/>
    </xf>
    <xf numFmtId="164" fontId="13" fillId="3" borderId="18" xfId="1" applyNumberFormat="1" applyFont="1" applyFill="1" applyBorder="1" applyAlignment="1" applyProtection="1">
      <alignment horizontal="center" vertical="center" wrapText="1"/>
    </xf>
    <xf numFmtId="164" fontId="13" fillId="3" borderId="18" xfId="0" applyNumberFormat="1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165" fontId="13" fillId="3" borderId="19" xfId="0" applyNumberFormat="1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 wrapText="1"/>
    </xf>
    <xf numFmtId="168" fontId="14" fillId="3" borderId="10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8" fontId="13" fillId="5" borderId="9" xfId="0" applyNumberFormat="1" applyFont="1" applyFill="1" applyBorder="1" applyAlignment="1">
      <alignment horizontal="center" vertical="center"/>
    </xf>
    <xf numFmtId="167" fontId="13" fillId="5" borderId="1" xfId="1" applyNumberFormat="1" applyFont="1" applyFill="1" applyBorder="1" applyAlignment="1">
      <alignment horizontal="center" vertical="center"/>
    </xf>
    <xf numFmtId="167" fontId="13" fillId="5" borderId="1" xfId="1" applyNumberFormat="1" applyFont="1" applyFill="1" applyBorder="1" applyAlignment="1" applyProtection="1">
      <alignment horizontal="center" vertical="center"/>
    </xf>
    <xf numFmtId="168" fontId="13" fillId="5" borderId="11" xfId="0" applyNumberFormat="1" applyFont="1" applyFill="1" applyBorder="1" applyAlignment="1">
      <alignment horizontal="center" vertical="center"/>
    </xf>
    <xf numFmtId="167" fontId="0" fillId="0" borderId="12" xfId="0" applyNumberFormat="1" applyBorder="1" applyAlignment="1">
      <alignment horizontal="center" vertical="center"/>
    </xf>
    <xf numFmtId="167" fontId="3" fillId="0" borderId="12" xfId="0" applyNumberFormat="1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7" fontId="13" fillId="5" borderId="4" xfId="1" applyNumberFormat="1" applyFont="1" applyFill="1" applyBorder="1" applyAlignment="1" applyProtection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6" fontId="14" fillId="3" borderId="10" xfId="0" applyNumberFormat="1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66" fontId="14" fillId="3" borderId="13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8" fontId="14" fillId="3" borderId="13" xfId="0" applyNumberFormat="1" applyFont="1" applyFill="1" applyBorder="1" applyAlignment="1">
      <alignment horizontal="center" vertical="center" wrapText="1"/>
    </xf>
    <xf numFmtId="14" fontId="3" fillId="0" borderId="23" xfId="0" applyNumberFormat="1" applyFont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center" vertical="center" wrapText="1"/>
    </xf>
    <xf numFmtId="166" fontId="16" fillId="6" borderId="1" xfId="0" applyNumberFormat="1" applyFont="1" applyFill="1" applyBorder="1" applyAlignment="1">
      <alignment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7" fontId="13" fillId="5" borderId="1" xfId="2" applyNumberFormat="1" applyFont="1" applyFill="1" applyBorder="1" applyAlignment="1" applyProtection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8" fontId="21" fillId="5" borderId="9" xfId="0" applyNumberFormat="1" applyFont="1" applyFill="1" applyBorder="1" applyAlignment="1">
      <alignment horizontal="center" vertical="center"/>
    </xf>
    <xf numFmtId="167" fontId="21" fillId="5" borderId="1" xfId="1" applyNumberFormat="1" applyFont="1" applyFill="1" applyBorder="1" applyAlignment="1" applyProtection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18" fillId="0" borderId="1" xfId="0" applyNumberFormat="1" applyFont="1" applyBorder="1" applyAlignment="1">
      <alignment horizontal="center" vertical="center"/>
    </xf>
    <xf numFmtId="167" fontId="22" fillId="0" borderId="1" xfId="0" applyNumberFormat="1" applyFont="1" applyBorder="1" applyAlignment="1">
      <alignment horizontal="center" vertical="center"/>
    </xf>
    <xf numFmtId="168" fontId="23" fillId="3" borderId="10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6" fontId="23" fillId="3" borderId="10" xfId="0" applyNumberFormat="1" applyFont="1" applyFill="1" applyBorder="1" applyAlignment="1">
      <alignment horizontal="center" vertical="center" wrapText="1"/>
    </xf>
    <xf numFmtId="166" fontId="14" fillId="3" borderId="23" xfId="0" applyNumberFormat="1" applyFont="1" applyFill="1" applyBorder="1" applyAlignment="1">
      <alignment horizontal="center" vertical="center" wrapText="1"/>
    </xf>
    <xf numFmtId="167" fontId="12" fillId="0" borderId="4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0" fontId="13" fillId="8" borderId="17" xfId="0" applyFont="1" applyFill="1" applyBorder="1" applyAlignment="1">
      <alignment horizontal="center" vertical="center" wrapText="1"/>
    </xf>
    <xf numFmtId="0" fontId="13" fillId="8" borderId="21" xfId="0" applyFont="1" applyFill="1" applyBorder="1" applyAlignment="1">
      <alignment horizontal="center" vertical="center" wrapText="1"/>
    </xf>
    <xf numFmtId="0" fontId="13" fillId="8" borderId="19" xfId="0" applyFont="1" applyFill="1" applyBorder="1" applyAlignment="1">
      <alignment horizontal="center" vertical="center" wrapText="1"/>
    </xf>
    <xf numFmtId="164" fontId="13" fillId="8" borderId="18" xfId="1" applyNumberFormat="1" applyFont="1" applyFill="1" applyBorder="1" applyAlignment="1" applyProtection="1">
      <alignment horizontal="center" vertical="center" wrapText="1"/>
    </xf>
    <xf numFmtId="164" fontId="13" fillId="8" borderId="18" xfId="0" applyNumberFormat="1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165" fontId="13" fillId="8" borderId="19" xfId="0" applyNumberFormat="1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168" fontId="13" fillId="9" borderId="9" xfId="0" applyNumberFormat="1" applyFont="1" applyFill="1" applyBorder="1" applyAlignment="1">
      <alignment horizontal="center" vertical="center"/>
    </xf>
    <xf numFmtId="167" fontId="13" fillId="9" borderId="1" xfId="1" applyNumberFormat="1" applyFont="1" applyFill="1" applyBorder="1" applyAlignment="1" applyProtection="1">
      <alignment horizontal="center" vertical="center"/>
    </xf>
    <xf numFmtId="167" fontId="13" fillId="9" borderId="1" xfId="1" applyNumberFormat="1" applyFont="1" applyFill="1" applyBorder="1" applyAlignment="1">
      <alignment horizontal="center" vertical="center"/>
    </xf>
    <xf numFmtId="167" fontId="13" fillId="9" borderId="4" xfId="1" applyNumberFormat="1" applyFont="1" applyFill="1" applyBorder="1" applyAlignment="1" applyProtection="1">
      <alignment horizontal="center" vertical="center"/>
    </xf>
    <xf numFmtId="168" fontId="21" fillId="9" borderId="9" xfId="0" applyNumberFormat="1" applyFont="1" applyFill="1" applyBorder="1" applyAlignment="1">
      <alignment horizontal="center" vertical="center"/>
    </xf>
    <xf numFmtId="167" fontId="21" fillId="9" borderId="1" xfId="1" applyNumberFormat="1" applyFont="1" applyFill="1" applyBorder="1" applyAlignment="1" applyProtection="1">
      <alignment horizontal="center" vertical="center"/>
    </xf>
    <xf numFmtId="166" fontId="13" fillId="9" borderId="1" xfId="2" applyNumberFormat="1" applyFont="1" applyFill="1" applyBorder="1" applyAlignment="1" applyProtection="1">
      <alignment horizontal="center" vertical="center"/>
    </xf>
    <xf numFmtId="167" fontId="13" fillId="9" borderId="1" xfId="2" applyNumberFormat="1" applyFont="1" applyFill="1" applyBorder="1" applyAlignment="1" applyProtection="1">
      <alignment horizontal="center" vertical="center"/>
    </xf>
    <xf numFmtId="166" fontId="13" fillId="9" borderId="1" xfId="1" applyNumberFormat="1" applyFont="1" applyFill="1" applyBorder="1" applyAlignment="1" applyProtection="1">
      <alignment horizontal="center" vertical="center"/>
    </xf>
    <xf numFmtId="166" fontId="13" fillId="9" borderId="4" xfId="1" applyNumberFormat="1" applyFont="1" applyFill="1" applyBorder="1" applyAlignment="1" applyProtection="1">
      <alignment horizontal="center" vertical="center"/>
    </xf>
    <xf numFmtId="168" fontId="13" fillId="9" borderId="11" xfId="0" applyNumberFormat="1" applyFont="1" applyFill="1" applyBorder="1" applyAlignment="1">
      <alignment horizontal="center" vertical="center"/>
    </xf>
    <xf numFmtId="166" fontId="13" fillId="9" borderId="12" xfId="1" applyNumberFormat="1" applyFont="1" applyFill="1" applyBorder="1" applyAlignment="1" applyProtection="1">
      <alignment horizontal="center" vertical="center"/>
    </xf>
    <xf numFmtId="168" fontId="14" fillId="8" borderId="10" xfId="0" applyNumberFormat="1" applyFont="1" applyFill="1" applyBorder="1" applyAlignment="1">
      <alignment horizontal="center" vertical="center" wrapText="1"/>
    </xf>
    <xf numFmtId="168" fontId="23" fillId="8" borderId="10" xfId="0" applyNumberFormat="1" applyFont="1" applyFill="1" applyBorder="1" applyAlignment="1">
      <alignment horizontal="center" vertical="center" wrapText="1"/>
    </xf>
    <xf numFmtId="168" fontId="14" fillId="8" borderId="23" xfId="0" applyNumberFormat="1" applyFont="1" applyFill="1" applyBorder="1" applyAlignment="1">
      <alignment horizontal="center" vertical="center" wrapText="1"/>
    </xf>
    <xf numFmtId="168" fontId="14" fillId="8" borderId="13" xfId="0" applyNumberFormat="1" applyFont="1" applyFill="1" applyBorder="1" applyAlignment="1">
      <alignment horizontal="center" vertical="center" wrapText="1"/>
    </xf>
    <xf numFmtId="166" fontId="14" fillId="8" borderId="10" xfId="0" applyNumberFormat="1" applyFont="1" applyFill="1" applyBorder="1" applyAlignment="1">
      <alignment horizontal="center" vertical="center" wrapText="1"/>
    </xf>
    <xf numFmtId="166" fontId="23" fillId="8" borderId="10" xfId="0" applyNumberFormat="1" applyFont="1" applyFill="1" applyBorder="1" applyAlignment="1">
      <alignment horizontal="center" vertical="center" wrapText="1"/>
    </xf>
    <xf numFmtId="166" fontId="14" fillId="8" borderId="23" xfId="0" applyNumberFormat="1" applyFont="1" applyFill="1" applyBorder="1" applyAlignment="1">
      <alignment horizontal="center" vertical="center" wrapText="1"/>
    </xf>
    <xf numFmtId="166" fontId="14" fillId="8" borderId="13" xfId="0" applyNumberFormat="1" applyFont="1" applyFill="1" applyBorder="1" applyAlignment="1">
      <alignment horizontal="center" vertical="center" wrapText="1"/>
    </xf>
    <xf numFmtId="167" fontId="0" fillId="7" borderId="4" xfId="0" applyNumberFormat="1" applyFill="1" applyBorder="1" applyAlignment="1">
      <alignment horizontal="center" vertical="center"/>
    </xf>
    <xf numFmtId="167" fontId="27" fillId="10" borderId="1" xfId="0" applyNumberFormat="1" applyFont="1" applyFill="1" applyBorder="1" applyAlignment="1">
      <alignment horizontal="center" vertical="center"/>
    </xf>
    <xf numFmtId="167" fontId="13" fillId="10" borderId="1" xfId="0" applyNumberFormat="1" applyFont="1" applyFill="1" applyBorder="1" applyAlignment="1">
      <alignment horizontal="center" vertical="center"/>
    </xf>
    <xf numFmtId="167" fontId="28" fillId="10" borderId="1" xfId="0" applyNumberFormat="1" applyFont="1" applyFill="1" applyBorder="1" applyAlignment="1">
      <alignment horizontal="center" vertical="center"/>
    </xf>
    <xf numFmtId="167" fontId="27" fillId="10" borderId="4" xfId="0" applyNumberFormat="1" applyFont="1" applyFill="1" applyBorder="1" applyAlignment="1">
      <alignment horizontal="center" vertical="center"/>
    </xf>
    <xf numFmtId="167" fontId="27" fillId="10" borderId="12" xfId="0" applyNumberFormat="1" applyFont="1" applyFill="1" applyBorder="1" applyAlignment="1">
      <alignment horizontal="center" vertical="center"/>
    </xf>
    <xf numFmtId="167" fontId="13" fillId="5" borderId="12" xfId="1" applyNumberFormat="1" applyFont="1" applyFill="1" applyBorder="1" applyAlignment="1" applyProtection="1">
      <alignment horizontal="center" vertical="center"/>
    </xf>
    <xf numFmtId="167" fontId="24" fillId="11" borderId="1" xfId="0" applyNumberFormat="1" applyFont="1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14" fontId="17" fillId="4" borderId="2" xfId="0" applyNumberFormat="1" applyFont="1" applyFill="1" applyBorder="1" applyAlignment="1">
      <alignment horizontal="center" vertical="center"/>
    </xf>
    <xf numFmtId="14" fontId="17" fillId="4" borderId="3" xfId="0" applyNumberFormat="1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C9CA"/>
      <color rgb="FFCC6868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F178-BDD4-4FEF-A8E2-21713DF9E011}">
  <sheetPr>
    <tabColor rgb="FF00B0F0"/>
  </sheetPr>
  <dimension ref="A1:AD202"/>
  <sheetViews>
    <sheetView showGridLines="0" tabSelected="1" zoomScale="95" zoomScaleNormal="95" workbookViewId="0">
      <pane xSplit="4" ySplit="2" topLeftCell="E166" activePane="bottomRight" state="frozen"/>
      <selection pane="bottomRight" activeCell="M173" sqref="M173"/>
      <selection pane="bottomLeft" activeCell="A3" sqref="A3"/>
      <selection pane="topRight" activeCell="E1" sqref="E1"/>
    </sheetView>
  </sheetViews>
  <sheetFormatPr defaultColWidth="8.7109375" defaultRowHeight="15"/>
  <cols>
    <col min="1" max="1" width="8.7109375" style="5" customWidth="1"/>
    <col min="2" max="2" width="22" style="5" customWidth="1"/>
    <col min="3" max="3" width="15.7109375" style="5" customWidth="1"/>
    <col min="4" max="4" width="23.7109375" style="5" customWidth="1"/>
    <col min="5" max="8" width="10.7109375" style="5" customWidth="1"/>
    <col min="9" max="9" width="3.7109375" style="8" customWidth="1"/>
    <col min="10" max="10" width="10.7109375" style="5" customWidth="1"/>
    <col min="11" max="11" width="12.42578125" style="12" customWidth="1"/>
    <col min="12" max="13" width="10.7109375" style="8" customWidth="1"/>
    <col min="14" max="14" width="10" style="8" customWidth="1"/>
    <col min="15" max="15" width="10.7109375" style="8" customWidth="1"/>
    <col min="16" max="16" width="9.7109375" style="8" customWidth="1"/>
    <col min="17" max="22" width="10.7109375" style="5" customWidth="1"/>
    <col min="23" max="23" width="10.7109375" style="15" customWidth="1"/>
    <col min="24" max="24" width="1.7109375" style="8" customWidth="1"/>
    <col min="25" max="25" width="13.7109375" style="5" customWidth="1"/>
    <col min="26" max="26" width="12.140625" style="5" customWidth="1"/>
    <col min="27" max="27" width="1.7109375" style="8" customWidth="1"/>
    <col min="28" max="29" width="10.7109375" style="8" customWidth="1"/>
    <col min="30" max="30" width="20.7109375" style="8" customWidth="1"/>
    <col min="31" max="985" width="10.7109375" style="8" customWidth="1"/>
    <col min="986" max="16384" width="8.7109375" style="8"/>
  </cols>
  <sheetData>
    <row r="1" spans="1:30" ht="28.5" customHeight="1" thickBot="1">
      <c r="A1" s="4"/>
      <c r="B1" s="4"/>
      <c r="C1" s="4"/>
      <c r="D1" s="24"/>
      <c r="E1" s="25"/>
      <c r="F1" s="4"/>
      <c r="I1" s="6"/>
      <c r="K1" s="7"/>
      <c r="L1" s="6"/>
      <c r="M1" s="6"/>
      <c r="N1" s="6"/>
      <c r="O1" s="6"/>
      <c r="P1" s="6"/>
      <c r="X1" s="6"/>
      <c r="AB1" s="145"/>
      <c r="AC1" s="146"/>
      <c r="AD1" s="75">
        <f>SUM(AD3:AD46)</f>
        <v>0</v>
      </c>
    </row>
    <row r="2" spans="1:30" s="45" customFormat="1" ht="50.25" customHeight="1" thickBot="1">
      <c r="A2" s="33" t="s">
        <v>0</v>
      </c>
      <c r="B2" s="38" t="s">
        <v>1</v>
      </c>
      <c r="C2" s="38" t="s">
        <v>2</v>
      </c>
      <c r="D2" s="38" t="s">
        <v>3</v>
      </c>
      <c r="E2" s="38" t="s">
        <v>4</v>
      </c>
      <c r="F2" s="38" t="s">
        <v>5</v>
      </c>
      <c r="G2" s="38" t="s">
        <v>6</v>
      </c>
      <c r="H2" s="39" t="s">
        <v>7</v>
      </c>
      <c r="J2" s="33" t="s">
        <v>8</v>
      </c>
      <c r="K2" s="34" t="s">
        <v>9</v>
      </c>
      <c r="L2" s="34" t="s">
        <v>10</v>
      </c>
      <c r="M2" s="34" t="s">
        <v>11</v>
      </c>
      <c r="N2" s="35" t="s">
        <v>12</v>
      </c>
      <c r="O2" s="35" t="s">
        <v>13</v>
      </c>
      <c r="P2" s="35" t="s">
        <v>14</v>
      </c>
      <c r="Q2" s="36" t="s">
        <v>15</v>
      </c>
      <c r="R2" s="36" t="s">
        <v>16</v>
      </c>
      <c r="S2" s="36" t="s">
        <v>17</v>
      </c>
      <c r="T2" s="36" t="s">
        <v>18</v>
      </c>
      <c r="U2" s="36" t="s">
        <v>19</v>
      </c>
      <c r="V2" s="36" t="s">
        <v>20</v>
      </c>
      <c r="W2" s="37" t="s">
        <v>21</v>
      </c>
      <c r="Y2" s="33" t="s">
        <v>22</v>
      </c>
      <c r="Z2" s="39" t="s">
        <v>23</v>
      </c>
      <c r="AB2" s="64" t="s">
        <v>24</v>
      </c>
      <c r="AC2" s="64" t="s">
        <v>25</v>
      </c>
      <c r="AD2" s="74" t="s">
        <v>26</v>
      </c>
    </row>
    <row r="3" spans="1:30" ht="15.75">
      <c r="A3" s="67" t="s">
        <v>27</v>
      </c>
      <c r="B3" s="68" t="s">
        <v>28</v>
      </c>
      <c r="C3" s="69" t="s">
        <v>29</v>
      </c>
      <c r="D3" s="68" t="s">
        <v>30</v>
      </c>
      <c r="E3" s="68" t="str">
        <f t="shared" ref="E3:E51" si="0">IF(B3="","",IF(D3="Godfroy","Godfroy",(IF(LEFT(B3,1)="1","Hiwa","Direct"))))</f>
        <v>Hiwa</v>
      </c>
      <c r="F3" s="68" t="s">
        <v>31</v>
      </c>
      <c r="G3" s="68">
        <v>80</v>
      </c>
      <c r="H3" s="70">
        <f>G3*215</f>
        <v>17200</v>
      </c>
      <c r="I3" s="82" t="b">
        <v>1</v>
      </c>
      <c r="J3" s="46">
        <f t="shared" ref="J3:J10" si="1">+K3/H3</f>
        <v>1.0022066936373668</v>
      </c>
      <c r="K3" s="48">
        <f>18748/1.0876</f>
        <v>17237.95513056271</v>
      </c>
      <c r="L3" s="137">
        <v>0</v>
      </c>
      <c r="M3" s="17"/>
      <c r="N3" s="17">
        <v>57.56</v>
      </c>
      <c r="O3" s="17"/>
      <c r="P3" s="16">
        <v>1113.75</v>
      </c>
      <c r="Q3" s="16">
        <f>(27*42.45)+42.45+42.45+42.45+42.45+42.45+2.93+2.93+2.93+2.93+2.93+2.93+3.06+3.06+1.53+1.53</f>
        <v>1385.1600000000005</v>
      </c>
      <c r="R3" s="16">
        <f>1.78+1.79+1.84+1.87+1.84+1.82+1.81+1.72+1.64+1.67+1.66+1.66+1.66+1.63+1.61+0.11+0.12+0.12+0.12+0.06</f>
        <v>26.53</v>
      </c>
      <c r="S3" s="16">
        <f>51.74+54.64+54.64+54.64+54.64+(57.04*(1/4))</f>
        <v>284.55999999999995</v>
      </c>
      <c r="T3" s="16">
        <f>14.75+18.66+14.75+15.4</f>
        <v>63.559999999999995</v>
      </c>
      <c r="U3" s="16">
        <f>395+180+280+1055+172+(215*(1/4))</f>
        <v>2135.75</v>
      </c>
      <c r="V3" s="19">
        <f>IF(B3="","",K3+SUM(L3:R3))</f>
        <v>19820.95513056271</v>
      </c>
      <c r="W3" s="44">
        <f t="shared" ref="W3:W39" si="2">IF(J3="","",+V3/H3)</f>
        <v>1.152381112242018</v>
      </c>
      <c r="Y3" s="40">
        <v>335274</v>
      </c>
      <c r="Z3" s="41">
        <v>45086</v>
      </c>
      <c r="AB3" s="60"/>
      <c r="AC3" s="60"/>
      <c r="AD3" s="63" t="str">
        <f>IF(AC3&gt;0,((AC3)*W3),"")</f>
        <v/>
      </c>
    </row>
    <row r="4" spans="1:30" ht="15.75">
      <c r="A4" s="26" t="s">
        <v>32</v>
      </c>
      <c r="B4" s="11" t="s">
        <v>33</v>
      </c>
      <c r="C4" s="3" t="s">
        <v>34</v>
      </c>
      <c r="D4" s="3" t="s">
        <v>35</v>
      </c>
      <c r="E4" s="3" t="str">
        <f t="shared" si="0"/>
        <v>Godfroy</v>
      </c>
      <c r="F4" s="3" t="s">
        <v>36</v>
      </c>
      <c r="G4" s="3">
        <v>256</v>
      </c>
      <c r="H4" s="28">
        <v>2560</v>
      </c>
      <c r="I4" s="82" t="b">
        <v>1</v>
      </c>
      <c r="J4" s="46">
        <f t="shared" si="1"/>
        <v>1.78</v>
      </c>
      <c r="K4" s="48">
        <v>4556.8</v>
      </c>
      <c r="L4" s="137">
        <v>0</v>
      </c>
      <c r="M4" s="17"/>
      <c r="N4" s="17"/>
      <c r="O4" s="17"/>
      <c r="P4" s="17">
        <v>49.65</v>
      </c>
      <c r="Q4" s="16">
        <f>82.87+82.87+80.2+82.87+80.2+82.87+62.15+56.14+62.15+60.15+62.15+60.15+62.15+62.15+60.15+62.15+60.15+62.15+62.15+56.14+62.15+60.15+62.15+60.15+62.15</f>
        <v>1648.7100000000007</v>
      </c>
      <c r="R4" s="16">
        <f>8.54+8.54+8.54+8.54+8.54+8.54+6.4+6.4+6.4+6.4+6.4+6.4+6.4+6.4+6.4+6.4+6.4+6.4+6.4+6.4+6.4+6.4+6.4+6.4+6.4</f>
        <v>172.84000000000009</v>
      </c>
      <c r="S4" s="16" t="s">
        <v>37</v>
      </c>
      <c r="T4" s="16">
        <f>4.3+4.3+1.61</f>
        <v>10.209999999999999</v>
      </c>
      <c r="U4" s="16">
        <v>148</v>
      </c>
      <c r="V4" s="19">
        <f t="shared" ref="V4:V6" si="3">IF(B4="","",K4+SUM(L4:R4))</f>
        <v>6428.0000000000009</v>
      </c>
      <c r="W4" s="44">
        <f t="shared" si="2"/>
        <v>2.5109375000000003</v>
      </c>
      <c r="Y4" s="77">
        <v>93104899</v>
      </c>
      <c r="Z4" s="76">
        <v>45131</v>
      </c>
      <c r="AB4" s="78"/>
      <c r="AC4" s="78"/>
      <c r="AD4" s="63" t="str">
        <f t="shared" ref="AD4:AD6" si="4">IF(AC4&gt;0,((AC4)*W4),"")</f>
        <v/>
      </c>
    </row>
    <row r="5" spans="1:30" ht="15.75">
      <c r="A5" s="26" t="s">
        <v>38</v>
      </c>
      <c r="B5" s="3" t="s">
        <v>39</v>
      </c>
      <c r="C5" s="3" t="s">
        <v>34</v>
      </c>
      <c r="D5" s="3" t="s">
        <v>35</v>
      </c>
      <c r="E5" s="3" t="str">
        <f t="shared" si="0"/>
        <v>Godfroy</v>
      </c>
      <c r="F5" s="3" t="s">
        <v>36</v>
      </c>
      <c r="G5" s="3">
        <v>128</v>
      </c>
      <c r="H5" s="28">
        <v>1280</v>
      </c>
      <c r="I5" s="82" t="b">
        <v>1</v>
      </c>
      <c r="J5" s="46">
        <f t="shared" si="1"/>
        <v>2.88</v>
      </c>
      <c r="K5" s="48">
        <v>3686.4</v>
      </c>
      <c r="L5" s="137">
        <v>0</v>
      </c>
      <c r="M5" s="17"/>
      <c r="N5" s="17"/>
      <c r="O5" s="17"/>
      <c r="P5" s="17">
        <v>27</v>
      </c>
      <c r="Q5" s="16">
        <f>41.44+20.72+20.04+20.72+20.05+20.72+20.72+18.71+20.72+20.05+20.72+20.05+20.72+20.72+20.05+20.72+20.05+20.72+20.72+8.03</f>
        <v>416.39</v>
      </c>
      <c r="R5" s="16">
        <f>5.74+2.87+2.87+2.87+2.87+2.87+2.87+2.87+2.87+2.87+2.87+2.87+2.87+2.87+2.87+2.87+2.87+2.87+2.87+2.87</f>
        <v>60.269999999999982</v>
      </c>
      <c r="S5" s="16" t="s">
        <v>37</v>
      </c>
      <c r="T5" s="16">
        <f>4.3+4.3+1.61+1.61</f>
        <v>11.819999999999999</v>
      </c>
      <c r="U5" s="16">
        <f>241+97.72</f>
        <v>338.72</v>
      </c>
      <c r="V5" s="19">
        <f t="shared" si="3"/>
        <v>4190.0600000000004</v>
      </c>
      <c r="W5" s="44">
        <f t="shared" si="2"/>
        <v>3.2734843750000002</v>
      </c>
      <c r="Y5" s="77">
        <v>93104898</v>
      </c>
      <c r="Z5" s="76">
        <v>45131</v>
      </c>
      <c r="AB5" s="78"/>
      <c r="AC5" s="78"/>
      <c r="AD5" s="63" t="str">
        <f t="shared" si="4"/>
        <v/>
      </c>
    </row>
    <row r="6" spans="1:30" ht="15" customHeight="1">
      <c r="A6" s="26" t="s">
        <v>40</v>
      </c>
      <c r="B6" s="11" t="s">
        <v>41</v>
      </c>
      <c r="C6" s="3" t="s">
        <v>34</v>
      </c>
      <c r="D6" s="3" t="s">
        <v>35</v>
      </c>
      <c r="E6" s="3" t="str">
        <f t="shared" si="0"/>
        <v>Godfroy</v>
      </c>
      <c r="F6" s="3" t="s">
        <v>36</v>
      </c>
      <c r="G6" s="3">
        <v>1664</v>
      </c>
      <c r="H6" s="28">
        <v>16640</v>
      </c>
      <c r="I6" s="82" t="b">
        <v>1</v>
      </c>
      <c r="J6" s="46">
        <f t="shared" si="1"/>
        <v>2.52</v>
      </c>
      <c r="K6" s="48">
        <v>41932.800000000003</v>
      </c>
      <c r="L6" s="137">
        <v>0</v>
      </c>
      <c r="M6" s="17"/>
      <c r="N6" s="17"/>
      <c r="O6" s="17"/>
      <c r="P6" s="17">
        <v>327</v>
      </c>
      <c r="Q6" s="16">
        <f>497.23+414.36+400.99+414.36+400.99+414.36+393.64+355.55+393.64+380.94+352.21+280.7+145.03+145.03+140.35+145.03+140.35+145.03+145.03+117.63+100.25</f>
        <v>5922.7</v>
      </c>
      <c r="R6" s="16">
        <f>61.82+49.91+49.91+49.91+49.91+49.91+47.33+47.33+47.33+47.33+42.18+34.45+16.42+16.42+16.42+16.42+16.42+16.42+16.42+16.42+11.27</f>
        <v>719.94999999999959</v>
      </c>
      <c r="S6" s="16" t="s">
        <v>37</v>
      </c>
      <c r="T6" s="16">
        <f>17*(4.3+1.61)+1.61+17.2+7.2+1.61</f>
        <v>128.09</v>
      </c>
      <c r="U6" s="16">
        <f>141.37+42.85+150.47+128.25+121.18+296+210+196+213.4+190+(162+(162*9%))+372.4</f>
        <v>2238.5</v>
      </c>
      <c r="V6" s="19">
        <f t="shared" si="3"/>
        <v>48902.450000000004</v>
      </c>
      <c r="W6" s="44">
        <f t="shared" si="2"/>
        <v>2.9388491586538463</v>
      </c>
      <c r="Y6" s="77">
        <v>93104900</v>
      </c>
      <c r="Z6" s="76">
        <v>45131</v>
      </c>
      <c r="AB6" s="78"/>
      <c r="AC6" s="78"/>
      <c r="AD6" s="63" t="str">
        <f t="shared" si="4"/>
        <v/>
      </c>
    </row>
    <row r="7" spans="1:30" ht="15.75">
      <c r="A7" s="26" t="s">
        <v>42</v>
      </c>
      <c r="B7" s="3" t="s">
        <v>43</v>
      </c>
      <c r="C7" s="3" t="s">
        <v>44</v>
      </c>
      <c r="D7" s="13" t="s">
        <v>45</v>
      </c>
      <c r="E7" s="3" t="str">
        <f t="shared" si="0"/>
        <v>Hiwa</v>
      </c>
      <c r="F7" s="3" t="s">
        <v>46</v>
      </c>
      <c r="G7" s="3">
        <v>72</v>
      </c>
      <c r="H7" s="28">
        <v>1440</v>
      </c>
      <c r="I7" s="82" t="b">
        <v>1</v>
      </c>
      <c r="J7" s="46">
        <f t="shared" si="1"/>
        <v>2.2220138888888887</v>
      </c>
      <c r="K7" s="48">
        <v>3199.7</v>
      </c>
      <c r="L7" s="137">
        <v>0</v>
      </c>
      <c r="M7" s="17"/>
      <c r="N7" s="17">
        <v>223.81</v>
      </c>
      <c r="O7" s="17"/>
      <c r="P7" s="18">
        <v>132.0289156626506</v>
      </c>
      <c r="Q7" s="16">
        <f>(19*18.03)+18.03+18.03+18.03+18.03+18.03+18.03+18.03+18.03+18.03+18.03+18.03+18.82+18.82+9.41+9.41+9.41+9.41+9.41+9.41+9.41+9.41+9.41</f>
        <v>663.22999999999956</v>
      </c>
      <c r="R7" s="16">
        <f>0.84+0.83+0.82+0.81+0.82+0.81+0.83+0.82+0.83+0.82+0.81+0.8+0.81+0.84+0.84+0.84+0.43+0.42+0.4+0.4+0.39</f>
        <v>15.210000000000003</v>
      </c>
      <c r="S7" s="16">
        <f>57.04+57.04</f>
        <v>114.08</v>
      </c>
      <c r="T7" s="16">
        <v>0</v>
      </c>
      <c r="U7" s="16">
        <v>170</v>
      </c>
      <c r="V7" s="19">
        <f t="shared" ref="V7:V48" si="5">IF(B7="","",K7+SUM(L7:R7))</f>
        <v>4233.9789156626503</v>
      </c>
      <c r="W7" s="44">
        <f t="shared" si="2"/>
        <v>2.9402631358768403</v>
      </c>
      <c r="Y7" s="29">
        <v>342136</v>
      </c>
      <c r="Z7" s="42">
        <v>45209</v>
      </c>
      <c r="AB7" s="61"/>
      <c r="AC7" s="61"/>
      <c r="AD7" s="63" t="str">
        <f>IF(AC7&gt;0,((AC7)*W7),"")</f>
        <v/>
      </c>
    </row>
    <row r="8" spans="1:30" ht="15.75">
      <c r="A8" s="26" t="s">
        <v>47</v>
      </c>
      <c r="B8" s="3" t="s">
        <v>48</v>
      </c>
      <c r="C8" s="3" t="s">
        <v>44</v>
      </c>
      <c r="D8" s="13" t="s">
        <v>45</v>
      </c>
      <c r="E8" s="3" t="str">
        <f t="shared" si="0"/>
        <v>Hiwa</v>
      </c>
      <c r="F8" s="3" t="s">
        <v>46</v>
      </c>
      <c r="G8" s="3">
        <v>714</v>
      </c>
      <c r="H8" s="28">
        <v>14280</v>
      </c>
      <c r="I8" s="82" t="b">
        <v>1</v>
      </c>
      <c r="J8" s="46">
        <f t="shared" si="1"/>
        <v>2.0831407563025208</v>
      </c>
      <c r="K8" s="48">
        <v>29747.25</v>
      </c>
      <c r="L8" s="137">
        <v>0</v>
      </c>
      <c r="M8" s="17"/>
      <c r="N8" s="17">
        <v>1181</v>
      </c>
      <c r="O8" s="17"/>
      <c r="P8" s="18">
        <v>1309.2867469879518</v>
      </c>
      <c r="Q8" s="16">
        <f>(19*115.67)+39.34+115.67+10.26+115.67+10.26+115.67+10.26+115.67+10.26+115.67+10.26+115.67+10.26+115.67+10.26+115.67+10.26+115.67+10.26+115.67+10.26+115.67+10.26+120.75+10.72+120.75+10.72+87.82+10.72+87.82+10.72+87.82+10.72+87.82+10.72+87.82+10.72+87.82+9.93+65.86+9.93+54.89+3.4+54.89+3.4+43.91+11.88+32.93+11.88+11.88+11.88</f>
        <v>4792.4200000000037</v>
      </c>
      <c r="R8" s="16">
        <f>(7.84+7.7+7.63+7.59+6.76+6.68+6.8+5.4+5.42+4.95+4.87+4.82+4.87+5.04+5.06+5.17+3.74+3.69+3.53+2.61+2.12)+(0.43+0.43+0.43+0.45+0.45+0.46+0.46+0.45+0.43+0.39+0.13)</f>
        <v>116.80000000000003</v>
      </c>
      <c r="S8" s="16">
        <f>54.64+54.64</f>
        <v>109.28</v>
      </c>
      <c r="T8" s="16">
        <v>0</v>
      </c>
      <c r="U8" s="16">
        <f>235+280+(390/2)+(375-100)+(255*(1320/1680))+300+205+250</f>
        <v>1940.3571428571429</v>
      </c>
      <c r="V8" s="19">
        <f t="shared" si="5"/>
        <v>37146.756746987958</v>
      </c>
      <c r="W8" s="44">
        <f t="shared" si="2"/>
        <v>2.6013134976882322</v>
      </c>
      <c r="Y8" s="79" t="s">
        <v>49</v>
      </c>
      <c r="Z8" s="43">
        <v>45209</v>
      </c>
      <c r="AB8" s="61"/>
      <c r="AC8" s="61"/>
      <c r="AD8" s="63" t="str">
        <f t="shared" ref="AD8:AD71" si="6">IF(AC8&gt;0,((AC8)*W8),"")</f>
        <v/>
      </c>
    </row>
    <row r="9" spans="1:30" ht="15.75">
      <c r="A9" s="29" t="s">
        <v>50</v>
      </c>
      <c r="B9" s="3" t="s">
        <v>51</v>
      </c>
      <c r="C9" s="9" t="s">
        <v>52</v>
      </c>
      <c r="D9" s="13" t="s">
        <v>30</v>
      </c>
      <c r="E9" s="3" t="str">
        <f t="shared" si="0"/>
        <v>Hiwa</v>
      </c>
      <c r="F9" s="3" t="s">
        <v>46</v>
      </c>
      <c r="G9" s="1">
        <v>80</v>
      </c>
      <c r="H9" s="27">
        <v>16800</v>
      </c>
      <c r="I9" s="82" t="b">
        <v>1</v>
      </c>
      <c r="J9" s="46">
        <f t="shared" si="1"/>
        <v>3.5660660660660657</v>
      </c>
      <c r="K9" s="48">
        <f>63840/1.0656</f>
        <v>59909.909909909904</v>
      </c>
      <c r="L9" s="137">
        <f>1200/1.0656</f>
        <v>1126.1261261261261</v>
      </c>
      <c r="M9" s="17"/>
      <c r="N9" s="17">
        <v>94.01</v>
      </c>
      <c r="O9" s="17">
        <v>275</v>
      </c>
      <c r="P9" s="17">
        <v>1224</v>
      </c>
      <c r="Q9" s="16">
        <f>(4*89.88)+89.88+89.88+67.41+67.41+67.41+67.41+50.56+22.47+22.47+22.47+23.47+23.47</f>
        <v>973.82999999999993</v>
      </c>
      <c r="R9" s="16">
        <f>16.47+16.47+13.18+13.18+9.88+9.88+3.29+3.29</f>
        <v>85.64</v>
      </c>
      <c r="S9" s="16">
        <f>54.64+54.64+54.64+54.64</f>
        <v>218.56</v>
      </c>
      <c r="T9" s="16">
        <v>0</v>
      </c>
      <c r="U9" s="16">
        <v>0</v>
      </c>
      <c r="V9" s="19">
        <f t="shared" si="5"/>
        <v>63688.516036036031</v>
      </c>
      <c r="W9" s="44">
        <f t="shared" si="2"/>
        <v>3.7909830973830969</v>
      </c>
      <c r="Y9" s="29">
        <v>354004</v>
      </c>
      <c r="Z9" s="42">
        <v>45429</v>
      </c>
      <c r="AB9" s="61"/>
      <c r="AC9" s="61"/>
      <c r="AD9" s="63" t="str">
        <f t="shared" si="6"/>
        <v/>
      </c>
    </row>
    <row r="10" spans="1:30" ht="15.75">
      <c r="A10" s="29" t="s">
        <v>53</v>
      </c>
      <c r="B10" s="3" t="s">
        <v>54</v>
      </c>
      <c r="C10" s="9" t="s">
        <v>55</v>
      </c>
      <c r="D10" s="13" t="s">
        <v>30</v>
      </c>
      <c r="E10" s="3" t="str">
        <f t="shared" si="0"/>
        <v>Hiwa</v>
      </c>
      <c r="F10" s="10" t="s">
        <v>46</v>
      </c>
      <c r="G10" s="1">
        <v>46</v>
      </c>
      <c r="H10" s="27">
        <f>G10*220</f>
        <v>10120</v>
      </c>
      <c r="I10" s="82" t="b">
        <v>1</v>
      </c>
      <c r="J10" s="46">
        <f t="shared" si="1"/>
        <v>1.35</v>
      </c>
      <c r="K10" s="48">
        <v>13662</v>
      </c>
      <c r="L10" s="137">
        <v>0</v>
      </c>
      <c r="M10" s="17"/>
      <c r="N10" s="17">
        <v>61</v>
      </c>
      <c r="O10" s="17"/>
      <c r="P10" s="17">
        <f>582+33</f>
        <v>615</v>
      </c>
      <c r="Q10" s="16">
        <f>(3*75.7)+75.7+75.7+75.7+75.7+59.76+59.76+59.76+59.76+43.82+43.82+45.75+45.75+45.75+45.75+45.75+45.75+45.75+29.11+29.11+29.11+4.16+4.16</f>
        <v>1272.4799999999998</v>
      </c>
      <c r="R10" s="16">
        <f>3.54+2.93+2.93+2.93+2.31+2.31+1.69+1.69+1.69+1.69+1.08+1.08+0.15</f>
        <v>26.020000000000003</v>
      </c>
      <c r="S10" s="16">
        <f>54.64+54.64+54.64</f>
        <v>163.92000000000002</v>
      </c>
      <c r="T10" s="16">
        <v>0</v>
      </c>
      <c r="U10" s="16">
        <f>230+230+230+230+175+(75/2)</f>
        <v>1132.5</v>
      </c>
      <c r="V10" s="19">
        <f t="shared" si="5"/>
        <v>15636.5</v>
      </c>
      <c r="W10" s="44">
        <f t="shared" si="2"/>
        <v>1.545108695652174</v>
      </c>
      <c r="Y10" s="29">
        <v>354761</v>
      </c>
      <c r="Z10" s="42">
        <v>45447</v>
      </c>
      <c r="AB10" s="61"/>
      <c r="AC10" s="61"/>
      <c r="AD10" s="63" t="str">
        <f t="shared" si="6"/>
        <v/>
      </c>
    </row>
    <row r="11" spans="1:30" ht="16.5" customHeight="1">
      <c r="A11" s="29" t="s">
        <v>56</v>
      </c>
      <c r="B11" s="3" t="s">
        <v>57</v>
      </c>
      <c r="C11" s="9" t="s">
        <v>58</v>
      </c>
      <c r="D11" s="13" t="s">
        <v>30</v>
      </c>
      <c r="E11" s="3" t="str">
        <f t="shared" si="0"/>
        <v>Hiwa</v>
      </c>
      <c r="F11" s="10" t="s">
        <v>59</v>
      </c>
      <c r="G11" s="1">
        <v>124</v>
      </c>
      <c r="H11" s="27">
        <f>G11*190</f>
        <v>23560</v>
      </c>
      <c r="I11" s="82" t="b">
        <v>1</v>
      </c>
      <c r="J11" s="46">
        <f t="shared" ref="J11:J39" si="7">IF(H11="","",+K11/H11)</f>
        <v>0.63635525223646594</v>
      </c>
      <c r="K11" s="48">
        <f>16256.4/1.0843</f>
        <v>14992.529742691137</v>
      </c>
      <c r="L11" s="137">
        <f>((2250/1.0749)/140)*124</f>
        <v>1853.9930624775725</v>
      </c>
      <c r="M11" s="17"/>
      <c r="N11" s="17">
        <v>2573.5</v>
      </c>
      <c r="O11" s="17">
        <f>275+165+78</f>
        <v>518</v>
      </c>
      <c r="P11" s="17">
        <f>1505-172</f>
        <v>1333</v>
      </c>
      <c r="Q11" s="16">
        <f>108.29+68.99+68.99+68.99+68.99+68.99+68.99+68.99+68.99+68.99+68.99+68.99+72.07+72.07</f>
        <v>1011.3199999999999</v>
      </c>
      <c r="R11" s="16">
        <f>7.55+4.73+4.68+4.73+4.9+4.92+5.02</f>
        <v>36.53</v>
      </c>
      <c r="S11" s="16">
        <f>2*54.64</f>
        <v>109.28</v>
      </c>
      <c r="T11" s="16">
        <v>1092.7</v>
      </c>
      <c r="U11" s="16">
        <f>((1760/108)*45)+((1600/108)*79)</f>
        <v>1903.7037037037039</v>
      </c>
      <c r="V11" s="19">
        <f t="shared" si="5"/>
        <v>22318.872805168707</v>
      </c>
      <c r="W11" s="44">
        <f t="shared" si="2"/>
        <v>0.94732057746896037</v>
      </c>
      <c r="Y11" s="29">
        <v>356799</v>
      </c>
      <c r="Z11" s="42">
        <v>45482</v>
      </c>
      <c r="AB11" s="61"/>
      <c r="AC11" s="61"/>
      <c r="AD11" s="63" t="str">
        <f t="shared" si="6"/>
        <v/>
      </c>
    </row>
    <row r="12" spans="1:30" ht="15.75">
      <c r="A12" s="29" t="s">
        <v>60</v>
      </c>
      <c r="B12" s="3" t="s">
        <v>61</v>
      </c>
      <c r="C12" s="9" t="s">
        <v>62</v>
      </c>
      <c r="D12" s="13" t="s">
        <v>63</v>
      </c>
      <c r="E12" s="3" t="str">
        <f t="shared" si="0"/>
        <v>Hiwa</v>
      </c>
      <c r="F12" s="10" t="s">
        <v>31</v>
      </c>
      <c r="G12" s="1">
        <v>120</v>
      </c>
      <c r="H12" s="27">
        <v>22800</v>
      </c>
      <c r="I12" s="82" t="b">
        <v>1</v>
      </c>
      <c r="J12" s="46">
        <f t="shared" si="7"/>
        <v>1.3771578947368421</v>
      </c>
      <c r="K12" s="47">
        <v>31399.200000000001</v>
      </c>
      <c r="L12" s="137">
        <v>0</v>
      </c>
      <c r="M12" s="17"/>
      <c r="N12" s="17">
        <f>60.78+33.23</f>
        <v>94.009999999999991</v>
      </c>
      <c r="O12" s="17"/>
      <c r="P12" s="17">
        <v>1311.7</v>
      </c>
      <c r="Q12" s="16">
        <f>140.08+39.22+39.22+39.22+39.22+39.22+35.11+35.11+35.11</f>
        <v>441.5100000000001</v>
      </c>
      <c r="R12" s="16">
        <f>8.14+2.04+2.04+1.75</f>
        <v>13.969999999999999</v>
      </c>
      <c r="S12" s="16">
        <f>54.64+54.64+54.64+(57.04*(24/76))</f>
        <v>181.93263157894739</v>
      </c>
      <c r="T12" s="16">
        <f>(77.52*(6/19))</f>
        <v>24.479999999999997</v>
      </c>
      <c r="U12" s="16">
        <f>460+2350+225+(1650*(24/76))</f>
        <v>3556.0526315789475</v>
      </c>
      <c r="V12" s="19">
        <f t="shared" si="5"/>
        <v>33260.39</v>
      </c>
      <c r="W12" s="44">
        <f t="shared" si="2"/>
        <v>1.4587890350877193</v>
      </c>
      <c r="Y12" s="29">
        <v>361283</v>
      </c>
      <c r="Z12" s="42">
        <v>45558</v>
      </c>
      <c r="AB12" s="61"/>
      <c r="AC12" s="61"/>
      <c r="AD12" s="63" t="str">
        <f t="shared" si="6"/>
        <v/>
      </c>
    </row>
    <row r="13" spans="1:30" ht="18" customHeight="1">
      <c r="A13" s="29" t="s">
        <v>64</v>
      </c>
      <c r="B13" s="3" t="s">
        <v>65</v>
      </c>
      <c r="C13" s="9" t="s">
        <v>66</v>
      </c>
      <c r="D13" s="13" t="s">
        <v>30</v>
      </c>
      <c r="E13" s="3" t="str">
        <f t="shared" si="0"/>
        <v>Hiwa</v>
      </c>
      <c r="F13" s="10" t="s">
        <v>46</v>
      </c>
      <c r="G13" s="1">
        <v>96</v>
      </c>
      <c r="H13" s="27">
        <v>19200</v>
      </c>
      <c r="I13" s="82" t="b">
        <v>1</v>
      </c>
      <c r="J13" s="46">
        <f t="shared" si="7"/>
        <v>1.8336847895846704</v>
      </c>
      <c r="K13" s="47">
        <f>38400/1.0907</f>
        <v>35206.74796002567</v>
      </c>
      <c r="L13" s="137">
        <v>0</v>
      </c>
      <c r="M13" s="17"/>
      <c r="N13" s="17">
        <v>61</v>
      </c>
      <c r="O13" s="17">
        <v>38</v>
      </c>
      <c r="P13" s="17">
        <v>1008.94</v>
      </c>
      <c r="Q13" s="16">
        <f>96.09+96.09+96.09+96.09+96.09+96.09+96.06+96.06+27.88+27.88+27.88+27.88+27.88+27.88+27.88+27.88</f>
        <v>991.7</v>
      </c>
      <c r="R13" s="16">
        <f>8.88+6.66+6.85+7.09+1.97+1.97+1.9</f>
        <v>35.32</v>
      </c>
      <c r="S13" s="16">
        <f>54.64+54.64+57.04</f>
        <v>166.32</v>
      </c>
      <c r="T13" s="16">
        <v>110.87</v>
      </c>
      <c r="U13" s="16">
        <f>715+800+(950*(5/7))</f>
        <v>2193.5714285714284</v>
      </c>
      <c r="V13" s="19">
        <f t="shared" si="5"/>
        <v>37341.707960025669</v>
      </c>
      <c r="W13" s="44">
        <f t="shared" si="2"/>
        <v>1.9448806229180036</v>
      </c>
      <c r="Y13" s="29">
        <v>359055</v>
      </c>
      <c r="Z13" s="42">
        <v>45525</v>
      </c>
      <c r="AB13" s="61"/>
      <c r="AC13" s="61"/>
      <c r="AD13" s="63" t="str">
        <f t="shared" si="6"/>
        <v/>
      </c>
    </row>
    <row r="14" spans="1:30" ht="15.75">
      <c r="A14" s="29" t="s">
        <v>67</v>
      </c>
      <c r="B14" s="3" t="s">
        <v>68</v>
      </c>
      <c r="C14" s="9" t="s">
        <v>66</v>
      </c>
      <c r="D14" s="13" t="s">
        <v>30</v>
      </c>
      <c r="E14" s="3" t="str">
        <f t="shared" si="0"/>
        <v>Hiwa</v>
      </c>
      <c r="F14" s="10" t="s">
        <v>46</v>
      </c>
      <c r="G14" s="1">
        <v>240</v>
      </c>
      <c r="H14" s="27">
        <v>4800</v>
      </c>
      <c r="I14" s="82" t="b">
        <v>1</v>
      </c>
      <c r="J14" s="46">
        <f t="shared" si="7"/>
        <v>1.8336847895846704</v>
      </c>
      <c r="K14" s="47">
        <f>9600/1.0907</f>
        <v>8801.6869900064175</v>
      </c>
      <c r="L14" s="138">
        <v>0</v>
      </c>
      <c r="M14" s="20"/>
      <c r="N14" s="17">
        <v>60.78</v>
      </c>
      <c r="O14" s="17"/>
      <c r="P14" s="17">
        <v>351.35</v>
      </c>
      <c r="Q14" s="16">
        <f>57.36+57.36+57.36+57.36+57.36+57.36+57.36+47.84+49.9+49.9</f>
        <v>549.16</v>
      </c>
      <c r="R14" s="16">
        <f>2.22+2.22+2.28+2.36+2</f>
        <v>11.08</v>
      </c>
      <c r="S14" s="16">
        <v>54.64</v>
      </c>
      <c r="T14" s="16">
        <v>0</v>
      </c>
      <c r="U14" s="16">
        <f>350+730</f>
        <v>1080</v>
      </c>
      <c r="V14" s="19">
        <f t="shared" si="5"/>
        <v>9774.0569900064183</v>
      </c>
      <c r="W14" s="44">
        <f t="shared" si="2"/>
        <v>2.0362618729180038</v>
      </c>
      <c r="Y14" s="29">
        <v>359056</v>
      </c>
      <c r="Z14" s="42">
        <v>45525</v>
      </c>
      <c r="AB14" s="61"/>
      <c r="AC14" s="61"/>
      <c r="AD14" s="63" t="str">
        <f t="shared" si="6"/>
        <v/>
      </c>
    </row>
    <row r="15" spans="1:30" ht="15.75">
      <c r="A15" s="29" t="s">
        <v>69</v>
      </c>
      <c r="B15" s="3" t="s">
        <v>28</v>
      </c>
      <c r="C15" s="9" t="s">
        <v>29</v>
      </c>
      <c r="D15" s="9" t="s">
        <v>70</v>
      </c>
      <c r="E15" s="3" t="str">
        <f t="shared" si="0"/>
        <v>Hiwa</v>
      </c>
      <c r="F15" s="10" t="s">
        <v>46</v>
      </c>
      <c r="G15" s="1">
        <v>80</v>
      </c>
      <c r="H15" s="27">
        <f>G15*215</f>
        <v>17200</v>
      </c>
      <c r="I15" s="82" t="b">
        <v>1</v>
      </c>
      <c r="J15" s="46">
        <f t="shared" si="7"/>
        <v>0.90497737556561086</v>
      </c>
      <c r="K15" s="47">
        <f>17200/1.105</f>
        <v>15565.610859728507</v>
      </c>
      <c r="L15" s="138">
        <v>0</v>
      </c>
      <c r="M15" s="20"/>
      <c r="N15" s="21">
        <v>60.78</v>
      </c>
      <c r="O15" s="17"/>
      <c r="P15" s="17">
        <v>1077.8</v>
      </c>
      <c r="Q15" s="16">
        <f>123.05+123.05+123.05+64.25+64.25+64.25+64.25+56.22+56.22+56.22+56.22+56.22+56.22+56.22+56.22+56.22+24.09</f>
        <v>1156.22</v>
      </c>
      <c r="R15" s="16">
        <f>4.29+4.3+2.2+2.19+1.89+1.8+1.78+1.74</f>
        <v>20.189999999999998</v>
      </c>
      <c r="S15" s="16">
        <f>54.64+(57.04*(3/4))+57.04</f>
        <v>154.46</v>
      </c>
      <c r="T15" s="16">
        <f>15.4+(26.21/2)</f>
        <v>28.505000000000003</v>
      </c>
      <c r="U15" s="16">
        <f>1580+(250/2)+(215*(3/4))</f>
        <v>1866.25</v>
      </c>
      <c r="V15" s="19">
        <f t="shared" si="5"/>
        <v>17880.600859728507</v>
      </c>
      <c r="W15" s="44">
        <f t="shared" si="2"/>
        <v>1.0395698174260759</v>
      </c>
      <c r="Y15" s="29">
        <v>362336</v>
      </c>
      <c r="Z15" s="42">
        <v>45610</v>
      </c>
      <c r="AB15" s="61"/>
      <c r="AC15" s="61"/>
      <c r="AD15" s="63" t="str">
        <f t="shared" si="6"/>
        <v/>
      </c>
    </row>
    <row r="16" spans="1:30" ht="15.75">
      <c r="A16" s="29" t="s">
        <v>71</v>
      </c>
      <c r="B16" s="3" t="s">
        <v>72</v>
      </c>
      <c r="C16" s="9" t="s">
        <v>55</v>
      </c>
      <c r="D16" s="3" t="s">
        <v>73</v>
      </c>
      <c r="E16" s="3" t="str">
        <f t="shared" si="0"/>
        <v>Hiwa</v>
      </c>
      <c r="F16" s="10" t="s">
        <v>46</v>
      </c>
      <c r="G16" s="1">
        <v>136</v>
      </c>
      <c r="H16" s="27">
        <f>G16*190</f>
        <v>25840</v>
      </c>
      <c r="I16" s="82" t="b">
        <v>1</v>
      </c>
      <c r="J16" s="46">
        <f t="shared" si="7"/>
        <v>1.5</v>
      </c>
      <c r="K16" s="47">
        <v>38760</v>
      </c>
      <c r="L16" s="137">
        <v>0</v>
      </c>
      <c r="M16" s="17"/>
      <c r="N16" s="17">
        <v>61</v>
      </c>
      <c r="O16" s="17"/>
      <c r="P16" s="17">
        <v>1396.79</v>
      </c>
      <c r="Q16" s="16">
        <f>176.68+72.75+72.75+72.75+72.75+72.75+75.98+75.98</f>
        <v>692.3900000000001</v>
      </c>
      <c r="R16" s="16">
        <f>11.18+4.6+4.6</f>
        <v>20.38</v>
      </c>
      <c r="S16" s="16">
        <f>54.64</f>
        <v>54.64</v>
      </c>
      <c r="T16" s="16">
        <v>1068.53</v>
      </c>
      <c r="U16" s="16">
        <f>((1950/108)*80)+((1600/108)*56)</f>
        <v>2274.0740740740744</v>
      </c>
      <c r="V16" s="19">
        <f t="shared" si="5"/>
        <v>40930.559999999998</v>
      </c>
      <c r="W16" s="44">
        <f t="shared" si="2"/>
        <v>1.5839999999999999</v>
      </c>
      <c r="Y16" s="29">
        <v>361363</v>
      </c>
      <c r="Z16" s="42">
        <v>45560</v>
      </c>
      <c r="AB16" s="61"/>
      <c r="AC16" s="61"/>
      <c r="AD16" s="63" t="str">
        <f t="shared" si="6"/>
        <v/>
      </c>
    </row>
    <row r="17" spans="1:30" ht="15.75">
      <c r="A17" s="29" t="s">
        <v>74</v>
      </c>
      <c r="B17" s="3" t="s">
        <v>72</v>
      </c>
      <c r="C17" s="9" t="s">
        <v>55</v>
      </c>
      <c r="D17" s="3" t="s">
        <v>73</v>
      </c>
      <c r="E17" s="3" t="str">
        <f t="shared" si="0"/>
        <v>Hiwa</v>
      </c>
      <c r="F17" s="10" t="s">
        <v>46</v>
      </c>
      <c r="G17" s="1">
        <v>136</v>
      </c>
      <c r="H17" s="27">
        <f>G17*190</f>
        <v>25840</v>
      </c>
      <c r="I17" s="82" t="b">
        <v>1</v>
      </c>
      <c r="J17" s="46">
        <f t="shared" si="7"/>
        <v>1.5</v>
      </c>
      <c r="K17" s="47">
        <v>38760</v>
      </c>
      <c r="L17" s="137">
        <v>0</v>
      </c>
      <c r="M17" s="17"/>
      <c r="N17" s="17">
        <v>63.45</v>
      </c>
      <c r="O17" s="17">
        <v>115</v>
      </c>
      <c r="P17" s="17">
        <v>1465.13</v>
      </c>
      <c r="Q17" s="16">
        <f>184.52+113.97+113.97+113.97+113.97+113.97+113.97+113.97+113.97+113.97+113.97+113.97+113.97</f>
        <v>1552.1600000000003</v>
      </c>
      <c r="R17" s="16">
        <f>11.18+6.9+6.9+6.9+6.9+6.9</f>
        <v>45.679999999999993</v>
      </c>
      <c r="S17" s="16"/>
      <c r="T17" s="16">
        <v>1023.16</v>
      </c>
      <c r="U17" s="16">
        <f>((1600/108)*52)</f>
        <v>770.37037037037032</v>
      </c>
      <c r="V17" s="19">
        <f t="shared" si="5"/>
        <v>42001.42</v>
      </c>
      <c r="W17" s="44">
        <f t="shared" si="2"/>
        <v>1.6254419504643962</v>
      </c>
      <c r="Y17" s="29">
        <v>366387</v>
      </c>
      <c r="Z17" s="42">
        <v>45672</v>
      </c>
      <c r="AB17" s="61"/>
      <c r="AC17" s="61"/>
      <c r="AD17" s="63" t="str">
        <f t="shared" si="6"/>
        <v/>
      </c>
    </row>
    <row r="18" spans="1:30" ht="15.75">
      <c r="A18" s="29" t="s">
        <v>75</v>
      </c>
      <c r="B18" s="3" t="s">
        <v>68</v>
      </c>
      <c r="C18" s="9" t="s">
        <v>66</v>
      </c>
      <c r="D18" s="3" t="s">
        <v>30</v>
      </c>
      <c r="E18" s="3" t="str">
        <f t="shared" si="0"/>
        <v>Hiwa</v>
      </c>
      <c r="F18" s="10" t="s">
        <v>46</v>
      </c>
      <c r="G18" s="1">
        <v>972</v>
      </c>
      <c r="H18" s="27">
        <v>19440</v>
      </c>
      <c r="I18" s="82" t="b">
        <v>1</v>
      </c>
      <c r="J18" s="46">
        <f t="shared" si="7"/>
        <v>1.9102673553501577</v>
      </c>
      <c r="K18" s="47">
        <f>(42184.8/1.1041)-(1200/1.1196)</f>
        <v>37135.597388007067</v>
      </c>
      <c r="L18" s="137">
        <v>0</v>
      </c>
      <c r="M18" s="22"/>
      <c r="N18" s="22">
        <v>63.45</v>
      </c>
      <c r="O18" s="22"/>
      <c r="P18" s="22">
        <v>1636.58</v>
      </c>
      <c r="Q18" s="23">
        <f>232.29+232.29+232.29+232.29+242.49+242.49+242.29+161.66+161.66+80.83+80.83+80.83+53.89+35.93+35.93+35.93+35.68+35.68</f>
        <v>2455.2799999999993</v>
      </c>
      <c r="R18" s="23">
        <f>10.01+10.36+10.5+6.91+3.33+2.11+1.42+1.39</f>
        <v>46.03</v>
      </c>
      <c r="S18" s="16">
        <f>57.04+57.04+57.04</f>
        <v>171.12</v>
      </c>
      <c r="T18" s="16"/>
      <c r="U18" s="16">
        <f>715+715+(950*(2/7))+350+(255*(360/1680))</f>
        <v>2106.0714285714289</v>
      </c>
      <c r="V18" s="19">
        <f t="shared" si="5"/>
        <v>41336.937388007063</v>
      </c>
      <c r="W18" s="44">
        <f t="shared" si="2"/>
        <v>2.1263856681073592</v>
      </c>
      <c r="Y18" s="29">
        <v>362550</v>
      </c>
      <c r="Z18" s="42">
        <v>45587</v>
      </c>
      <c r="AB18" s="61"/>
      <c r="AC18" s="61"/>
      <c r="AD18" s="63" t="str">
        <f t="shared" si="6"/>
        <v/>
      </c>
    </row>
    <row r="19" spans="1:30" ht="15.75">
      <c r="A19" s="29" t="s">
        <v>76</v>
      </c>
      <c r="B19" s="3" t="s">
        <v>77</v>
      </c>
      <c r="C19" s="9" t="s">
        <v>66</v>
      </c>
      <c r="D19" s="3" t="s">
        <v>30</v>
      </c>
      <c r="E19" s="3" t="str">
        <f t="shared" si="0"/>
        <v>Hiwa</v>
      </c>
      <c r="F19" s="10" t="s">
        <v>46</v>
      </c>
      <c r="G19" s="1">
        <v>108</v>
      </c>
      <c r="H19" s="27">
        <v>2160</v>
      </c>
      <c r="I19" s="82" t="b">
        <v>1</v>
      </c>
      <c r="J19" s="46">
        <f t="shared" si="7"/>
        <v>1.7842586722217189</v>
      </c>
      <c r="K19" s="47">
        <f>4255.2/1.1041</f>
        <v>3853.9987319989127</v>
      </c>
      <c r="L19" s="137">
        <v>0</v>
      </c>
      <c r="M19" s="22"/>
      <c r="N19" s="22">
        <v>63.45</v>
      </c>
      <c r="O19" s="22"/>
      <c r="P19" s="22">
        <v>198.27</v>
      </c>
      <c r="Q19" s="23">
        <f>25.81+25.81+25.81+25.81+26.94+26.94+13.47+13.47+13.47+13.47+13.47+13.47+13.47+13.47+13.47+13.47+13.22+13.22</f>
        <v>318.2600000000001</v>
      </c>
      <c r="R19" s="23">
        <f>1.01+1.05+1.06+0.52+0.51+0.48+0.48+0.48</f>
        <v>5.5900000000000016</v>
      </c>
      <c r="S19" s="16">
        <v>57.04</v>
      </c>
      <c r="T19" s="16"/>
      <c r="U19" s="16">
        <f>(390/2)</f>
        <v>195</v>
      </c>
      <c r="V19" s="19">
        <f t="shared" si="5"/>
        <v>4439.5687319989129</v>
      </c>
      <c r="W19" s="44">
        <f t="shared" si="2"/>
        <v>2.0553558944439412</v>
      </c>
      <c r="Y19" s="29">
        <v>362551</v>
      </c>
      <c r="Z19" s="42">
        <v>45587</v>
      </c>
      <c r="AB19" s="61"/>
      <c r="AC19" s="61"/>
      <c r="AD19" s="63" t="str">
        <f t="shared" si="6"/>
        <v/>
      </c>
    </row>
    <row r="20" spans="1:30" ht="15.75">
      <c r="A20" s="29" t="s">
        <v>78</v>
      </c>
      <c r="B20" s="3" t="s">
        <v>79</v>
      </c>
      <c r="C20" s="3" t="s">
        <v>80</v>
      </c>
      <c r="D20" s="3" t="s">
        <v>73</v>
      </c>
      <c r="E20" s="3" t="str">
        <f t="shared" si="0"/>
        <v>Hiwa</v>
      </c>
      <c r="F20" s="3" t="s">
        <v>31</v>
      </c>
      <c r="G20" s="3">
        <v>112</v>
      </c>
      <c r="H20" s="28">
        <v>24080</v>
      </c>
      <c r="I20" s="82" t="b">
        <v>1</v>
      </c>
      <c r="J20" s="46">
        <f t="shared" si="7"/>
        <v>1.9651047756093174</v>
      </c>
      <c r="K20" s="48">
        <f>52614.8/1.1119</f>
        <v>47319.722996672361</v>
      </c>
      <c r="L20" s="137">
        <v>0</v>
      </c>
      <c r="M20" s="22"/>
      <c r="N20" s="22">
        <v>1917.72</v>
      </c>
      <c r="O20" s="22"/>
      <c r="P20" s="22">
        <v>1309.5999999999999</v>
      </c>
      <c r="Q20" s="23">
        <f>15.81+15.81+15.81+16.52+16.52+16.52+16.52+16.52+16.52</f>
        <v>146.55000000000001</v>
      </c>
      <c r="R20" s="23">
        <f>14.26+2.05+2.09+2.08+2.05+1.96</f>
        <v>24.49</v>
      </c>
      <c r="S20" s="23">
        <v>54.64</v>
      </c>
      <c r="T20" s="23">
        <f>559.77+(1013.44*16/(84+16))</f>
        <v>721.92039999999997</v>
      </c>
      <c r="U20" s="23">
        <f>1725+(1600*(16/(84+16)))</f>
        <v>1981</v>
      </c>
      <c r="V20" s="19">
        <f t="shared" si="5"/>
        <v>50718.082996672361</v>
      </c>
      <c r="W20" s="44">
        <f t="shared" si="2"/>
        <v>2.1062326825860613</v>
      </c>
      <c r="Y20" s="29">
        <v>362958</v>
      </c>
      <c r="Z20" s="42">
        <v>45601</v>
      </c>
      <c r="AB20" s="61"/>
      <c r="AC20" s="61"/>
      <c r="AD20" s="63" t="str">
        <f t="shared" si="6"/>
        <v/>
      </c>
    </row>
    <row r="21" spans="1:30" ht="15.75">
      <c r="A21" s="29" t="s">
        <v>81</v>
      </c>
      <c r="B21" s="3" t="s">
        <v>82</v>
      </c>
      <c r="C21" s="3" t="s">
        <v>83</v>
      </c>
      <c r="D21" s="3" t="s">
        <v>73</v>
      </c>
      <c r="E21" s="3" t="str">
        <f t="shared" si="0"/>
        <v>Hiwa</v>
      </c>
      <c r="F21" s="3" t="s">
        <v>59</v>
      </c>
      <c r="G21" s="3">
        <v>128</v>
      </c>
      <c r="H21" s="28">
        <f>G21*204</f>
        <v>26112</v>
      </c>
      <c r="I21" s="82" t="b">
        <v>1</v>
      </c>
      <c r="J21" s="46">
        <f t="shared" si="7"/>
        <v>0.61734082742098972</v>
      </c>
      <c r="K21" s="48">
        <f>17495.04/1.0853</f>
        <v>16120.003685616883</v>
      </c>
      <c r="L21" s="137">
        <f>1546/1.0853</f>
        <v>1424.4909241684327</v>
      </c>
      <c r="M21" s="22"/>
      <c r="N21" s="22">
        <v>3329.07</v>
      </c>
      <c r="O21" s="22"/>
      <c r="P21" s="22">
        <v>1264.83</v>
      </c>
      <c r="Q21" s="23">
        <f>119.96+52.48+52.48+54.82+54.82+54.82+54.82</f>
        <v>444.2</v>
      </c>
      <c r="R21" s="23">
        <f>4.83+2.12+2.17+2.16</f>
        <v>11.280000000000001</v>
      </c>
      <c r="S21" s="23">
        <f>54.64+57.04</f>
        <v>111.68</v>
      </c>
      <c r="T21" s="23">
        <f>557.99+((102+480.48)*(56/100))</f>
        <v>884.17880000000002</v>
      </c>
      <c r="U21" s="23">
        <f>1745+(1600*(56/(56+44)))</f>
        <v>2641</v>
      </c>
      <c r="V21" s="19">
        <f t="shared" si="5"/>
        <v>22593.874609785315</v>
      </c>
      <c r="W21" s="44">
        <f t="shared" si="2"/>
        <v>0.86526786955366553</v>
      </c>
      <c r="Y21" s="29">
        <v>363493</v>
      </c>
      <c r="Z21" s="42">
        <v>45608</v>
      </c>
      <c r="AB21" s="61"/>
      <c r="AC21" s="61"/>
      <c r="AD21" s="63" t="str">
        <f t="shared" si="6"/>
        <v/>
      </c>
    </row>
    <row r="22" spans="1:30" ht="15.75">
      <c r="A22" s="29" t="s">
        <v>84</v>
      </c>
      <c r="B22" s="3" t="s">
        <v>57</v>
      </c>
      <c r="C22" s="3" t="s">
        <v>58</v>
      </c>
      <c r="D22" s="3" t="s">
        <v>73</v>
      </c>
      <c r="E22" s="3" t="str">
        <f t="shared" si="0"/>
        <v>Hiwa</v>
      </c>
      <c r="F22" s="3" t="s">
        <v>59</v>
      </c>
      <c r="G22" s="3">
        <v>140</v>
      </c>
      <c r="H22" s="28">
        <f>G22*190</f>
        <v>26600</v>
      </c>
      <c r="I22" s="82" t="b">
        <v>1</v>
      </c>
      <c r="J22" s="46">
        <f t="shared" si="7"/>
        <v>0.76094276094276092</v>
      </c>
      <c r="K22" s="48">
        <f>21040.6/1.0395</f>
        <v>20241.077441077439</v>
      </c>
      <c r="L22" s="137">
        <f>2350/1.0395</f>
        <v>2260.7022607022604</v>
      </c>
      <c r="M22" s="22"/>
      <c r="N22" s="22">
        <v>3471.76</v>
      </c>
      <c r="O22" s="22">
        <f>104+275+55</f>
        <v>434</v>
      </c>
      <c r="P22" s="22">
        <v>1383.05</v>
      </c>
      <c r="Q22" s="23">
        <f>101.26+101.26+101.26+101.26+101.26+101.26+101.26+101.26+101.26+101.26+101.26+2.74</f>
        <v>1116.6000000000001</v>
      </c>
      <c r="R22" s="23">
        <f>8.9+6.96+6.72+6.38+6.43+6.32</f>
        <v>41.71</v>
      </c>
      <c r="S22" s="23">
        <f>2*57.04</f>
        <v>114.08</v>
      </c>
      <c r="T22" s="23">
        <f>1019.93+73.92</f>
        <v>1093.8499999999999</v>
      </c>
      <c r="U22" s="23">
        <f>(1600/108)*29+962.69</f>
        <v>1392.3196296296296</v>
      </c>
      <c r="V22" s="19">
        <f t="shared" si="5"/>
        <v>28948.899701779701</v>
      </c>
      <c r="W22" s="44">
        <f t="shared" si="2"/>
        <v>1.088304500066906</v>
      </c>
      <c r="Y22" s="29">
        <v>366474</v>
      </c>
      <c r="Z22" s="42">
        <v>45981</v>
      </c>
      <c r="AB22" s="61"/>
      <c r="AC22" s="61"/>
      <c r="AD22" s="63" t="str">
        <f t="shared" si="6"/>
        <v/>
      </c>
    </row>
    <row r="23" spans="1:30" ht="15.75">
      <c r="A23" s="29" t="s">
        <v>85</v>
      </c>
      <c r="B23" s="3" t="s">
        <v>86</v>
      </c>
      <c r="C23" s="3" t="s">
        <v>80</v>
      </c>
      <c r="D23" s="13" t="s">
        <v>87</v>
      </c>
      <c r="E23" s="3" t="str">
        <f t="shared" si="0"/>
        <v>Direct</v>
      </c>
      <c r="F23" s="3" t="s">
        <v>46</v>
      </c>
      <c r="G23" s="3">
        <v>112</v>
      </c>
      <c r="H23" s="28">
        <v>24080</v>
      </c>
      <c r="I23" s="82" t="b">
        <v>1</v>
      </c>
      <c r="J23" s="46">
        <f t="shared" si="7"/>
        <v>1.6750737603502428</v>
      </c>
      <c r="K23" s="48">
        <f>42380.8/1.0507</f>
        <v>40335.776149233847</v>
      </c>
      <c r="L23" s="137">
        <v>0</v>
      </c>
      <c r="M23" s="22">
        <v>1099.6500000000001</v>
      </c>
      <c r="N23" s="22"/>
      <c r="O23" s="22"/>
      <c r="P23" s="22"/>
      <c r="Q23" s="23"/>
      <c r="R23" s="23"/>
      <c r="S23" s="23"/>
      <c r="T23" s="23"/>
      <c r="U23" s="23"/>
      <c r="V23" s="19">
        <f t="shared" si="5"/>
        <v>41435.426149233848</v>
      </c>
      <c r="W23" s="44">
        <f t="shared" si="2"/>
        <v>1.7207402885894456</v>
      </c>
      <c r="Y23" s="29"/>
      <c r="Z23" s="28"/>
      <c r="AB23" s="61"/>
      <c r="AC23" s="61"/>
      <c r="AD23" s="63" t="str">
        <f t="shared" si="6"/>
        <v/>
      </c>
    </row>
    <row r="24" spans="1:30" ht="15.75">
      <c r="A24" s="73" t="s">
        <v>88</v>
      </c>
      <c r="B24" s="55" t="s">
        <v>89</v>
      </c>
      <c r="C24" s="55" t="s">
        <v>90</v>
      </c>
      <c r="D24" s="55" t="s">
        <v>30</v>
      </c>
      <c r="E24" s="55" t="str">
        <f t="shared" si="0"/>
        <v>Hiwa</v>
      </c>
      <c r="F24" s="55" t="s">
        <v>59</v>
      </c>
      <c r="G24" s="1">
        <v>256</v>
      </c>
      <c r="H24" s="27">
        <f>G24*205</f>
        <v>52480</v>
      </c>
      <c r="I24" s="82" t="b">
        <v>1</v>
      </c>
      <c r="J24" s="46">
        <f t="shared" si="7"/>
        <v>0.61004670670098182</v>
      </c>
      <c r="K24" s="48">
        <f>33587.2/1.0491</f>
        <v>32015.251167667524</v>
      </c>
      <c r="L24" s="137">
        <f>3092/1.0491</f>
        <v>2947.2881517491187</v>
      </c>
      <c r="M24" s="22"/>
      <c r="N24" s="22">
        <f>1991.26+1991.26</f>
        <v>3982.52</v>
      </c>
      <c r="O24" s="22"/>
      <c r="P24" s="22">
        <v>2480.44</v>
      </c>
      <c r="Q24" s="23">
        <f>125.31+125.31+24.48+17.62+24.48+17.62+24.48+17.62+5.87+5.87+1.96+1.96+1.96+1.96</f>
        <v>396.5</v>
      </c>
      <c r="R24" s="23">
        <f>0.93+0.67+0.22+0.07+0.07</f>
        <v>1.9600000000000002</v>
      </c>
      <c r="S24" s="23">
        <f>57.04+57.04+57.04+(57.04*(33/110))</f>
        <v>188.232</v>
      </c>
      <c r="T24" s="23">
        <f>(26.21/2)+15.4</f>
        <v>28.505000000000003</v>
      </c>
      <c r="U24" s="23">
        <f>(250/2)+235</f>
        <v>360</v>
      </c>
      <c r="V24" s="19">
        <f t="shared" si="5"/>
        <v>41823.959319416645</v>
      </c>
      <c r="W24" s="44">
        <f t="shared" si="2"/>
        <v>0.79695044434864037</v>
      </c>
      <c r="Y24" s="80" t="s">
        <v>91</v>
      </c>
      <c r="Z24" s="72">
        <v>45657</v>
      </c>
      <c r="AB24" s="61"/>
      <c r="AC24" s="61"/>
      <c r="AD24" s="63" t="str">
        <f t="shared" si="6"/>
        <v/>
      </c>
    </row>
    <row r="25" spans="1:30" ht="15.75">
      <c r="A25" s="29" t="s">
        <v>92</v>
      </c>
      <c r="B25" s="3" t="s">
        <v>93</v>
      </c>
      <c r="C25" s="9" t="s">
        <v>90</v>
      </c>
      <c r="D25" s="3" t="s">
        <v>94</v>
      </c>
      <c r="E25" s="3" t="str">
        <f t="shared" si="0"/>
        <v>Direct</v>
      </c>
      <c r="F25" s="10" t="s">
        <v>59</v>
      </c>
      <c r="G25" s="1">
        <v>128</v>
      </c>
      <c r="H25" s="27">
        <v>26240</v>
      </c>
      <c r="I25" s="82" t="b">
        <v>1</v>
      </c>
      <c r="J25" s="46">
        <f t="shared" si="7"/>
        <v>0.61579909554507839</v>
      </c>
      <c r="K25" s="48">
        <f>16793.6/1.0393</f>
        <v>16158.568267102857</v>
      </c>
      <c r="L25" s="137">
        <f>1841/1.0393</f>
        <v>1771.3845857788899</v>
      </c>
      <c r="M25" s="22"/>
      <c r="N25" s="22"/>
      <c r="O25" s="22"/>
      <c r="P25" s="22"/>
      <c r="Q25" s="23"/>
      <c r="R25" s="23"/>
      <c r="S25" s="23"/>
      <c r="T25" s="23"/>
      <c r="U25" s="23"/>
      <c r="V25" s="19">
        <f t="shared" si="5"/>
        <v>17929.952852881746</v>
      </c>
      <c r="W25" s="44">
        <f t="shared" si="2"/>
        <v>0.68330613006409091</v>
      </c>
      <c r="Y25" s="29"/>
      <c r="Z25" s="28"/>
      <c r="AB25" s="2"/>
      <c r="AC25" s="2"/>
      <c r="AD25" s="63" t="str">
        <f t="shared" si="6"/>
        <v/>
      </c>
    </row>
    <row r="26" spans="1:30" ht="15.75">
      <c r="A26" s="29" t="s">
        <v>95</v>
      </c>
      <c r="B26" s="3" t="s">
        <v>82</v>
      </c>
      <c r="C26" s="3" t="s">
        <v>83</v>
      </c>
      <c r="D26" s="3" t="s">
        <v>73</v>
      </c>
      <c r="E26" s="3" t="str">
        <f t="shared" si="0"/>
        <v>Hiwa</v>
      </c>
      <c r="F26" s="3" t="s">
        <v>59</v>
      </c>
      <c r="G26" s="3">
        <v>128</v>
      </c>
      <c r="H26" s="28">
        <f>G26*204</f>
        <v>26112</v>
      </c>
      <c r="I26" s="82" t="b">
        <v>1</v>
      </c>
      <c r="J26" s="46">
        <f t="shared" si="7"/>
        <v>0.65397755002440217</v>
      </c>
      <c r="K26" s="48">
        <f>17495.04/1.0245</f>
        <v>17076.66178623719</v>
      </c>
      <c r="L26" s="137">
        <f>1546/1.0396</f>
        <v>1487.1104270873411</v>
      </c>
      <c r="M26" s="22"/>
      <c r="N26" s="22">
        <v>2077.94</v>
      </c>
      <c r="O26" s="22">
        <v>170</v>
      </c>
      <c r="P26" s="22">
        <v>1298.76</v>
      </c>
      <c r="Q26" s="23">
        <f>82.24+82.24+82.24</f>
        <v>246.71999999999997</v>
      </c>
      <c r="R26" s="23">
        <f>8.78+5.56</f>
        <v>14.34</v>
      </c>
      <c r="S26" s="23">
        <f>57.04</f>
        <v>57.04</v>
      </c>
      <c r="T26" s="23">
        <f>((102+480.48)*(44/100))+(1013.44*84/(84+16))</f>
        <v>1107.5808000000002</v>
      </c>
      <c r="U26" s="23">
        <f>(1600*(44/(44+56)))+(1600*(84/(84+16)))</f>
        <v>2048</v>
      </c>
      <c r="V26" s="19">
        <f>IF(B26="","",K26+SUM(L26:R26))</f>
        <v>22371.532213324532</v>
      </c>
      <c r="W26" s="44">
        <f t="shared" si="2"/>
        <v>0.8567529187088132</v>
      </c>
      <c r="Y26" s="29">
        <v>368131</v>
      </c>
      <c r="Z26" s="42">
        <v>45706</v>
      </c>
      <c r="AB26" s="2"/>
      <c r="AC26" s="2"/>
      <c r="AD26" s="63" t="str">
        <f t="shared" si="6"/>
        <v/>
      </c>
    </row>
    <row r="27" spans="1:30" ht="15.75">
      <c r="A27" s="29" t="s">
        <v>96</v>
      </c>
      <c r="B27" s="3" t="s">
        <v>93</v>
      </c>
      <c r="C27" s="3" t="s">
        <v>90</v>
      </c>
      <c r="D27" s="3" t="s">
        <v>97</v>
      </c>
      <c r="E27" s="3" t="str">
        <f t="shared" si="0"/>
        <v>Direct</v>
      </c>
      <c r="F27" s="10" t="s">
        <v>59</v>
      </c>
      <c r="G27" s="3">
        <v>256</v>
      </c>
      <c r="H27" s="28">
        <f>G27*205</f>
        <v>52480</v>
      </c>
      <c r="I27" s="82" t="b">
        <v>1</v>
      </c>
      <c r="J27" s="46">
        <f t="shared" si="7"/>
        <v>0.59369912860289187</v>
      </c>
      <c r="K27" s="48">
        <f>32537.6/1.0443</f>
        <v>31157.330269079765</v>
      </c>
      <c r="L27" s="137">
        <f>(6653*2)/1.0465</f>
        <v>12714.763497372192</v>
      </c>
      <c r="M27" s="22"/>
      <c r="N27" s="22"/>
      <c r="O27" s="22"/>
      <c r="P27" s="22"/>
      <c r="Q27" s="23"/>
      <c r="R27" s="23"/>
      <c r="S27" s="23"/>
      <c r="T27" s="23"/>
      <c r="U27" s="23"/>
      <c r="V27" s="19">
        <f t="shared" si="5"/>
        <v>43872.093766451959</v>
      </c>
      <c r="W27" s="44">
        <f t="shared" si="2"/>
        <v>0.83597739646440472</v>
      </c>
      <c r="Y27" s="29"/>
      <c r="Z27" s="28"/>
      <c r="AB27" s="2"/>
      <c r="AC27" s="2"/>
      <c r="AD27" s="63" t="str">
        <f t="shared" si="6"/>
        <v/>
      </c>
    </row>
    <row r="28" spans="1:30" ht="15.75">
      <c r="A28" s="29" t="s">
        <v>98</v>
      </c>
      <c r="B28" s="3" t="s">
        <v>93</v>
      </c>
      <c r="C28" s="9" t="s">
        <v>90</v>
      </c>
      <c r="D28" s="3" t="s">
        <v>94</v>
      </c>
      <c r="E28" s="3" t="str">
        <f t="shared" si="0"/>
        <v>Direct</v>
      </c>
      <c r="F28" s="10" t="s">
        <v>59</v>
      </c>
      <c r="G28" s="1">
        <v>128</v>
      </c>
      <c r="H28" s="27">
        <v>26240</v>
      </c>
      <c r="I28" s="82" t="b">
        <v>1</v>
      </c>
      <c r="J28" s="46">
        <f t="shared" si="7"/>
        <v>0.6201550387596898</v>
      </c>
      <c r="K28" s="48">
        <f>16793.6/1.032</f>
        <v>16272.868217054262</v>
      </c>
      <c r="L28" s="137">
        <f>1920/1.0845</f>
        <v>1770.4011065006916</v>
      </c>
      <c r="M28" s="22"/>
      <c r="N28" s="22"/>
      <c r="O28" s="22"/>
      <c r="P28" s="22"/>
      <c r="Q28" s="23"/>
      <c r="R28" s="23"/>
      <c r="S28" s="23"/>
      <c r="T28" s="23"/>
      <c r="U28" s="23"/>
      <c r="V28" s="19">
        <f t="shared" si="5"/>
        <v>18043.269323554952</v>
      </c>
      <c r="W28" s="44">
        <f t="shared" si="2"/>
        <v>0.68762459312328328</v>
      </c>
      <c r="Y28" s="29"/>
      <c r="Z28" s="28"/>
      <c r="AB28" s="2"/>
      <c r="AC28" s="2"/>
      <c r="AD28" s="63" t="str">
        <f t="shared" si="6"/>
        <v/>
      </c>
    </row>
    <row r="29" spans="1:30" ht="15.75">
      <c r="A29" s="29" t="s">
        <v>99</v>
      </c>
      <c r="B29" s="3" t="s">
        <v>93</v>
      </c>
      <c r="C29" s="3" t="s">
        <v>90</v>
      </c>
      <c r="D29" s="3" t="s">
        <v>97</v>
      </c>
      <c r="E29" s="3" t="str">
        <f t="shared" si="0"/>
        <v>Direct</v>
      </c>
      <c r="F29" s="10" t="s">
        <v>59</v>
      </c>
      <c r="G29" s="3">
        <v>105</v>
      </c>
      <c r="H29" s="28">
        <f>G29*205</f>
        <v>21525</v>
      </c>
      <c r="I29" s="82" t="b">
        <v>1</v>
      </c>
      <c r="J29" s="46">
        <f t="shared" si="7"/>
        <v>0.59672762271414825</v>
      </c>
      <c r="K29" s="48">
        <f>13345.5/1.039</f>
        <v>12844.562078922041</v>
      </c>
      <c r="L29" s="137">
        <f>6522/1.0897</f>
        <v>5985.1335229879787</v>
      </c>
      <c r="M29" s="22"/>
      <c r="N29" s="22"/>
      <c r="O29" s="22"/>
      <c r="P29" s="22"/>
      <c r="Q29" s="23"/>
      <c r="R29" s="23"/>
      <c r="S29" s="23"/>
      <c r="T29" s="23"/>
      <c r="U29" s="23"/>
      <c r="V29" s="19">
        <f t="shared" si="5"/>
        <v>18829.695601910018</v>
      </c>
      <c r="W29" s="44">
        <f t="shared" si="2"/>
        <v>0.87478260636051186</v>
      </c>
      <c r="Y29" s="29"/>
      <c r="Z29" s="28"/>
      <c r="AB29" s="2"/>
      <c r="AC29" s="2"/>
      <c r="AD29" s="63" t="str">
        <f t="shared" si="6"/>
        <v/>
      </c>
    </row>
    <row r="30" spans="1:30" ht="15.75">
      <c r="A30" s="29" t="s">
        <v>100</v>
      </c>
      <c r="B30" s="3" t="s">
        <v>93</v>
      </c>
      <c r="C30" s="3" t="s">
        <v>90</v>
      </c>
      <c r="D30" s="3" t="s">
        <v>101</v>
      </c>
      <c r="E30" s="3" t="str">
        <f t="shared" si="0"/>
        <v>Direct</v>
      </c>
      <c r="F30" s="10" t="s">
        <v>59</v>
      </c>
      <c r="G30" s="3">
        <f>2*105</f>
        <v>210</v>
      </c>
      <c r="H30" s="28">
        <f>G30*205</f>
        <v>43050</v>
      </c>
      <c r="I30" s="82" t="b">
        <v>1</v>
      </c>
      <c r="J30" s="46">
        <f t="shared" si="7"/>
        <v>0.57976435384327663</v>
      </c>
      <c r="K30" s="48">
        <f>26691/1.0694</f>
        <v>24958.85543295306</v>
      </c>
      <c r="L30" s="137">
        <f>14284/1.0824</f>
        <v>13196.600147819659</v>
      </c>
      <c r="M30" s="22"/>
      <c r="N30" s="22"/>
      <c r="O30" s="22"/>
      <c r="P30" s="22"/>
      <c r="Q30" s="23"/>
      <c r="R30" s="23"/>
      <c r="S30" s="23"/>
      <c r="T30" s="23"/>
      <c r="U30" s="23"/>
      <c r="V30" s="19">
        <f t="shared" si="5"/>
        <v>38155.455580772716</v>
      </c>
      <c r="W30" s="44">
        <f t="shared" si="2"/>
        <v>0.88630558840354745</v>
      </c>
      <c r="Y30" s="79"/>
      <c r="Z30" s="42"/>
      <c r="AB30" s="2"/>
      <c r="AC30" s="2"/>
      <c r="AD30" s="63" t="str">
        <f t="shared" si="6"/>
        <v/>
      </c>
    </row>
    <row r="31" spans="1:30" ht="15.75">
      <c r="A31" s="29" t="s">
        <v>102</v>
      </c>
      <c r="B31" s="3" t="s">
        <v>103</v>
      </c>
      <c r="C31" s="9" t="s">
        <v>62</v>
      </c>
      <c r="D31" s="3" t="s">
        <v>104</v>
      </c>
      <c r="E31" s="3" t="str">
        <f t="shared" si="0"/>
        <v>Direct</v>
      </c>
      <c r="F31" s="10" t="s">
        <v>31</v>
      </c>
      <c r="G31" s="1">
        <v>112</v>
      </c>
      <c r="H31" s="27">
        <f>G31*210</f>
        <v>23520</v>
      </c>
      <c r="I31" s="82" t="b">
        <v>1</v>
      </c>
      <c r="J31" s="46">
        <f t="shared" si="7"/>
        <v>1.2156788487028971</v>
      </c>
      <c r="K31" s="48">
        <f>30199.68/1.0562</f>
        <v>28592.76652149214</v>
      </c>
      <c r="L31" s="137">
        <v>0</v>
      </c>
      <c r="M31" s="22"/>
      <c r="N31" s="22">
        <v>98.14</v>
      </c>
      <c r="O31" s="22"/>
      <c r="P31" s="22"/>
      <c r="Q31" s="23"/>
      <c r="R31" s="23"/>
      <c r="S31" s="23"/>
      <c r="T31" s="23"/>
      <c r="U31" s="23"/>
      <c r="V31" s="19">
        <f t="shared" si="5"/>
        <v>28690.906521492139</v>
      </c>
      <c r="W31" s="44">
        <f t="shared" si="2"/>
        <v>1.2198514677505161</v>
      </c>
      <c r="Y31" s="29">
        <v>366458</v>
      </c>
      <c r="Z31" s="42">
        <v>45671</v>
      </c>
      <c r="AB31" s="2"/>
      <c r="AC31" s="2"/>
      <c r="AD31" s="63" t="str">
        <f t="shared" si="6"/>
        <v/>
      </c>
    </row>
    <row r="32" spans="1:30" ht="15.75">
      <c r="A32" s="29" t="s">
        <v>105</v>
      </c>
      <c r="B32" s="3" t="s">
        <v>106</v>
      </c>
      <c r="C32" s="3" t="s">
        <v>62</v>
      </c>
      <c r="D32" s="3" t="s">
        <v>104</v>
      </c>
      <c r="E32" s="3" t="str">
        <f t="shared" si="0"/>
        <v>Direct</v>
      </c>
      <c r="F32" s="3" t="s">
        <v>31</v>
      </c>
      <c r="G32" s="3">
        <f>9*112</f>
        <v>1008</v>
      </c>
      <c r="H32" s="28">
        <f>G32*210</f>
        <v>211680</v>
      </c>
      <c r="I32" s="82" t="b">
        <v>1</v>
      </c>
      <c r="J32" s="46">
        <f t="shared" si="7"/>
        <v>1.2497650915023166</v>
      </c>
      <c r="K32" s="48">
        <f>279418/1.0562</f>
        <v>264550.27456921036</v>
      </c>
      <c r="L32" s="137">
        <v>0</v>
      </c>
      <c r="M32" s="22"/>
      <c r="N32" s="22">
        <f>392.56</f>
        <v>392.56</v>
      </c>
      <c r="O32" s="22"/>
      <c r="P32" s="22"/>
      <c r="Q32" s="23"/>
      <c r="R32" s="23"/>
      <c r="S32" s="23">
        <v>57.04</v>
      </c>
      <c r="T32" s="23"/>
      <c r="U32" s="23"/>
      <c r="V32" s="19">
        <f t="shared" si="5"/>
        <v>264942.83456921036</v>
      </c>
      <c r="W32" s="44">
        <f t="shared" si="2"/>
        <v>1.2516195888568138</v>
      </c>
      <c r="Y32" s="79" t="s">
        <v>107</v>
      </c>
      <c r="Z32" s="42">
        <v>45671</v>
      </c>
      <c r="AB32" s="2"/>
      <c r="AC32" s="2"/>
      <c r="AD32" s="63" t="str">
        <f t="shared" si="6"/>
        <v/>
      </c>
    </row>
    <row r="33" spans="1:30" ht="15.75">
      <c r="A33" s="29" t="s">
        <v>108</v>
      </c>
      <c r="B33" s="3" t="s">
        <v>61</v>
      </c>
      <c r="C33" s="3" t="s">
        <v>62</v>
      </c>
      <c r="D33" s="3" t="s">
        <v>30</v>
      </c>
      <c r="E33" s="3" t="str">
        <f t="shared" si="0"/>
        <v>Hiwa</v>
      </c>
      <c r="F33" s="3" t="s">
        <v>31</v>
      </c>
      <c r="G33" s="3">
        <v>112</v>
      </c>
      <c r="H33" s="28">
        <v>23520</v>
      </c>
      <c r="I33" s="82" t="b">
        <v>1</v>
      </c>
      <c r="J33" s="46">
        <f>IF(H33="","",+K33/H33)</f>
        <v>1.395</v>
      </c>
      <c r="K33" s="48">
        <v>32810.400000000001</v>
      </c>
      <c r="L33" s="137">
        <v>0</v>
      </c>
      <c r="M33" s="22"/>
      <c r="N33" s="22">
        <v>98.14</v>
      </c>
      <c r="O33" s="22">
        <v>170</v>
      </c>
      <c r="P33" s="22">
        <v>1431.4</v>
      </c>
      <c r="Q33" s="23">
        <f>163.85+128.74+128.74+52.67+52.67+52.67+52.67+52.67</f>
        <v>684.68</v>
      </c>
      <c r="R33" s="23">
        <f>85+6.68+2.73+2.73</f>
        <v>97.140000000000015</v>
      </c>
      <c r="S33" s="23">
        <f>(57.04*(52/76))+57.04</f>
        <v>96.067368421052635</v>
      </c>
      <c r="T33" s="23">
        <f>(77.52*(13/19))</f>
        <v>53.04</v>
      </c>
      <c r="U33" s="23">
        <f>689+(1650*(52/76))+1000</f>
        <v>2817.9473684210525</v>
      </c>
      <c r="V33" s="19">
        <f t="shared" si="5"/>
        <v>35291.760000000002</v>
      </c>
      <c r="W33" s="44">
        <f t="shared" si="2"/>
        <v>1.5005000000000002</v>
      </c>
      <c r="Y33" s="29">
        <v>366388</v>
      </c>
      <c r="Z33" s="42">
        <v>45671</v>
      </c>
      <c r="AB33" s="2"/>
      <c r="AC33" s="2"/>
      <c r="AD33" s="63" t="str">
        <f t="shared" si="6"/>
        <v/>
      </c>
    </row>
    <row r="34" spans="1:30" ht="15.75">
      <c r="A34" s="29" t="s">
        <v>109</v>
      </c>
      <c r="B34" s="3" t="s">
        <v>103</v>
      </c>
      <c r="C34" s="3" t="s">
        <v>62</v>
      </c>
      <c r="D34" s="3" t="s">
        <v>104</v>
      </c>
      <c r="E34" s="3" t="str">
        <f t="shared" si="0"/>
        <v>Direct</v>
      </c>
      <c r="F34" s="3" t="s">
        <v>31</v>
      </c>
      <c r="G34" s="3">
        <v>336</v>
      </c>
      <c r="H34" s="28">
        <f>G34*210</f>
        <v>70560</v>
      </c>
      <c r="I34" s="82" t="b">
        <v>1</v>
      </c>
      <c r="J34" s="46">
        <f t="shared" si="7"/>
        <v>1.2839999999999998</v>
      </c>
      <c r="K34" s="48">
        <v>90599.039999999994</v>
      </c>
      <c r="L34" s="137">
        <v>0</v>
      </c>
      <c r="M34" s="22"/>
      <c r="N34" s="22">
        <f>(34.69+63.45)*2</f>
        <v>196.28</v>
      </c>
      <c r="O34" s="22"/>
      <c r="P34" s="22"/>
      <c r="Q34" s="23"/>
      <c r="R34" s="23"/>
      <c r="S34" s="23">
        <f>2*57.04</f>
        <v>114.08</v>
      </c>
      <c r="T34" s="23"/>
      <c r="U34" s="23"/>
      <c r="V34" s="19">
        <f t="shared" si="5"/>
        <v>90795.319999999992</v>
      </c>
      <c r="W34" s="44">
        <f t="shared" si="2"/>
        <v>1.2867817460317459</v>
      </c>
      <c r="Y34" s="79" t="s">
        <v>110</v>
      </c>
      <c r="Z34" s="42">
        <v>45672</v>
      </c>
      <c r="AB34" s="2"/>
      <c r="AC34" s="2"/>
      <c r="AD34" s="63" t="str">
        <f t="shared" si="6"/>
        <v/>
      </c>
    </row>
    <row r="35" spans="1:30" ht="15.75">
      <c r="A35" s="29" t="s">
        <v>111</v>
      </c>
      <c r="B35" s="3" t="s">
        <v>93</v>
      </c>
      <c r="C35" s="3" t="s">
        <v>90</v>
      </c>
      <c r="D35" s="3" t="s">
        <v>112</v>
      </c>
      <c r="E35" s="3" t="str">
        <f t="shared" si="0"/>
        <v>Direct</v>
      </c>
      <c r="F35" s="3" t="s">
        <v>59</v>
      </c>
      <c r="G35" s="3">
        <v>112</v>
      </c>
      <c r="H35" s="28">
        <f>G35*205</f>
        <v>22960</v>
      </c>
      <c r="I35" s="82" t="b">
        <v>1</v>
      </c>
      <c r="J35" s="46">
        <f t="shared" si="7"/>
        <v>0.69424215943295464</v>
      </c>
      <c r="K35" s="48">
        <f>16416.4/1.0299</f>
        <v>15939.799980580639</v>
      </c>
      <c r="L35" s="137">
        <f>(1656/1.0198)</f>
        <v>1623.8478132967248</v>
      </c>
      <c r="M35" s="22">
        <f>328+69.25+834+80+35+55</f>
        <v>1401.25</v>
      </c>
      <c r="N35" s="22">
        <f>1903.63+38.07+96</f>
        <v>2037.7</v>
      </c>
      <c r="O35" s="22">
        <f>300+227.5</f>
        <v>527.5</v>
      </c>
      <c r="P35" s="22"/>
      <c r="Q35" s="23"/>
      <c r="R35" s="23"/>
      <c r="S35" s="23"/>
      <c r="T35" s="23"/>
      <c r="U35" s="23"/>
      <c r="V35" s="19">
        <f t="shared" si="5"/>
        <v>21530.097793877365</v>
      </c>
      <c r="W35" s="44">
        <f t="shared" si="2"/>
        <v>0.93772202935005944</v>
      </c>
      <c r="Y35" s="79"/>
      <c r="Z35" s="42"/>
      <c r="AB35" s="2"/>
      <c r="AC35" s="2"/>
      <c r="AD35" s="63" t="str">
        <f t="shared" si="6"/>
        <v/>
      </c>
    </row>
    <row r="36" spans="1:30" ht="15.75">
      <c r="A36" s="54" t="s">
        <v>113</v>
      </c>
      <c r="B36" s="3" t="s">
        <v>89</v>
      </c>
      <c r="C36" s="9" t="s">
        <v>90</v>
      </c>
      <c r="D36" s="3" t="s">
        <v>30</v>
      </c>
      <c r="E36" s="3" t="str">
        <f t="shared" si="0"/>
        <v>Hiwa</v>
      </c>
      <c r="F36" s="10" t="s">
        <v>59</v>
      </c>
      <c r="G36" s="1">
        <v>256</v>
      </c>
      <c r="H36" s="27">
        <f>G36*205</f>
        <v>52480</v>
      </c>
      <c r="I36" s="82" t="b">
        <v>1</v>
      </c>
      <c r="J36" s="46">
        <f t="shared" si="7"/>
        <v>0.62141955529663062</v>
      </c>
      <c r="K36" s="48">
        <f>33587.2/1.0299</f>
        <v>32612.098261967178</v>
      </c>
      <c r="L36" s="137">
        <f>3092/1.0198</f>
        <v>3031.9670523632085</v>
      </c>
      <c r="M36" s="58"/>
      <c r="N36" s="58">
        <f>2003.73+1988.57</f>
        <v>3992.3</v>
      </c>
      <c r="O36" s="58">
        <v>120</v>
      </c>
      <c r="P36" s="58">
        <f>61.61+2584.52+712.22</f>
        <v>3358.3500000000004</v>
      </c>
      <c r="Q36" s="59">
        <f>0.98+72.45</f>
        <v>73.430000000000007</v>
      </c>
      <c r="R36" s="59">
        <f>4.68+4.72</f>
        <v>9.3999999999999986</v>
      </c>
      <c r="S36" s="59">
        <f>57.04+(57.04*(77/110))+57.04</f>
        <v>154.00799999999998</v>
      </c>
      <c r="T36" s="59"/>
      <c r="U36" s="59"/>
      <c r="V36" s="19">
        <f t="shared" si="5"/>
        <v>43197.545314330389</v>
      </c>
      <c r="W36" s="44">
        <f t="shared" si="2"/>
        <v>0.8231239579712345</v>
      </c>
      <c r="Y36" s="80" t="s">
        <v>114</v>
      </c>
      <c r="Z36" s="72">
        <v>45705</v>
      </c>
      <c r="AB36" s="2"/>
      <c r="AC36" s="2"/>
      <c r="AD36" s="63" t="str">
        <f t="shared" si="6"/>
        <v/>
      </c>
    </row>
    <row r="37" spans="1:30" ht="15.75">
      <c r="A37" s="29" t="s">
        <v>115</v>
      </c>
      <c r="B37" s="3" t="s">
        <v>106</v>
      </c>
      <c r="C37" s="55" t="s">
        <v>62</v>
      </c>
      <c r="D37" s="55" t="s">
        <v>116</v>
      </c>
      <c r="E37" s="55" t="str">
        <f t="shared" si="0"/>
        <v>Direct</v>
      </c>
      <c r="F37" s="55" t="s">
        <v>31</v>
      </c>
      <c r="G37" s="55">
        <f>9*112</f>
        <v>1008</v>
      </c>
      <c r="H37" s="56">
        <f>G37*210</f>
        <v>211680</v>
      </c>
      <c r="I37" s="82" t="b">
        <v>1</v>
      </c>
      <c r="J37" s="46">
        <f t="shared" si="7"/>
        <v>1.41</v>
      </c>
      <c r="K37" s="57">
        <v>298468.8</v>
      </c>
      <c r="L37" s="137">
        <v>0</v>
      </c>
      <c r="M37" s="58">
        <v>19739</v>
      </c>
      <c r="N37" s="58">
        <v>320</v>
      </c>
      <c r="O37" s="58">
        <v>500</v>
      </c>
      <c r="P37" s="58"/>
      <c r="Q37" s="59"/>
      <c r="R37" s="59"/>
      <c r="S37" s="59"/>
      <c r="T37" s="59"/>
      <c r="U37" s="59"/>
      <c r="V37" s="19">
        <f t="shared" si="5"/>
        <v>319027.8</v>
      </c>
      <c r="W37" s="44">
        <f t="shared" si="2"/>
        <v>1.5071230158730158</v>
      </c>
      <c r="Y37" s="54"/>
      <c r="Z37" s="56"/>
      <c r="AB37" s="2"/>
      <c r="AC37" s="2"/>
      <c r="AD37" s="63" t="str">
        <f t="shared" si="6"/>
        <v/>
      </c>
    </row>
    <row r="38" spans="1:30" ht="15.75">
      <c r="A38" s="54" t="s">
        <v>117</v>
      </c>
      <c r="B38" s="3" t="s">
        <v>118</v>
      </c>
      <c r="C38" s="9" t="s">
        <v>119</v>
      </c>
      <c r="D38" s="13" t="s">
        <v>120</v>
      </c>
      <c r="E38" s="3" t="str">
        <f>IF(B38="","",IF(D38="Godfroy","Godfroy",(IF(LEFT(B38,1)="1","Hiwa","Direct"))))</f>
        <v>Direct</v>
      </c>
      <c r="F38" s="10" t="s">
        <v>121</v>
      </c>
      <c r="G38" s="1">
        <v>52</v>
      </c>
      <c r="H38" s="27">
        <v>10400</v>
      </c>
      <c r="I38" s="82" t="b">
        <v>1</v>
      </c>
      <c r="J38" s="46">
        <f t="shared" si="7"/>
        <v>1.54</v>
      </c>
      <c r="K38" s="57">
        <v>16016</v>
      </c>
      <c r="L38" s="137">
        <v>0</v>
      </c>
      <c r="M38" s="58">
        <v>1750</v>
      </c>
      <c r="N38" s="58"/>
      <c r="O38" s="58"/>
      <c r="P38" s="58"/>
      <c r="Q38" s="59"/>
      <c r="R38" s="59"/>
      <c r="S38" s="59"/>
      <c r="T38" s="59"/>
      <c r="U38" s="59"/>
      <c r="V38" s="19">
        <f t="shared" si="5"/>
        <v>17766</v>
      </c>
      <c r="W38" s="44">
        <f t="shared" si="2"/>
        <v>1.7082692307692309</v>
      </c>
      <c r="Y38" s="54"/>
      <c r="Z38" s="56"/>
      <c r="AB38" s="2"/>
      <c r="AC38" s="2"/>
      <c r="AD38" s="63" t="str">
        <f t="shared" si="6"/>
        <v/>
      </c>
    </row>
    <row r="39" spans="1:30" ht="15.75">
      <c r="A39" s="29" t="s">
        <v>122</v>
      </c>
      <c r="B39" s="3" t="s">
        <v>123</v>
      </c>
      <c r="C39" s="9" t="s">
        <v>52</v>
      </c>
      <c r="D39" s="13" t="s">
        <v>30</v>
      </c>
      <c r="E39" s="3" t="str">
        <f t="shared" ref="E39" si="8">IF(B39="","",IF(D39="Godfroy","Godfroy",(IF(LEFT(B39,1)="1","Hiwa","Direct"))))</f>
        <v>Hiwa</v>
      </c>
      <c r="F39" s="3" t="s">
        <v>46</v>
      </c>
      <c r="G39" s="1">
        <v>80</v>
      </c>
      <c r="H39" s="27">
        <v>16800</v>
      </c>
      <c r="I39" s="82" t="b">
        <v>1</v>
      </c>
      <c r="J39" s="46">
        <f t="shared" si="7"/>
        <v>3.705842718259698</v>
      </c>
      <c r="K39" s="57">
        <f>64680/1.0389</f>
        <v>62258.157666762927</v>
      </c>
      <c r="L39" s="137">
        <f>2425/1.0389</f>
        <v>2334.1996342285111</v>
      </c>
      <c r="M39" s="58"/>
      <c r="N39" s="58">
        <v>98.14</v>
      </c>
      <c r="O39" s="58"/>
      <c r="P39" s="58">
        <v>1155.18</v>
      </c>
      <c r="Q39" s="59">
        <f>78.68+55.07+55.07+55.07+31.47+31.47+15.74+15.74</f>
        <v>338.31000000000006</v>
      </c>
      <c r="R39" s="59">
        <f>16.46+16.23+10.86+6.12+2.98</f>
        <v>52.649999999999991</v>
      </c>
      <c r="S39" s="59">
        <f>57.04+57.04+57.04</f>
        <v>171.12</v>
      </c>
      <c r="T39" s="59"/>
      <c r="U39" s="59"/>
      <c r="V39" s="19">
        <f t="shared" si="5"/>
        <v>66236.637300991439</v>
      </c>
      <c r="W39" s="44">
        <f t="shared" si="2"/>
        <v>3.9426569822018713</v>
      </c>
      <c r="Y39" s="54">
        <v>367271</v>
      </c>
      <c r="Z39" s="72">
        <v>45691</v>
      </c>
      <c r="AB39" s="2"/>
      <c r="AC39" s="2"/>
      <c r="AD39" s="63" t="str">
        <f t="shared" si="6"/>
        <v/>
      </c>
    </row>
    <row r="40" spans="1:30" ht="15.75">
      <c r="A40" s="54" t="s">
        <v>124</v>
      </c>
      <c r="B40" s="3" t="s">
        <v>125</v>
      </c>
      <c r="C40" s="3" t="s">
        <v>126</v>
      </c>
      <c r="D40" s="3" t="s">
        <v>127</v>
      </c>
      <c r="E40" s="3" t="str">
        <f>IF(B40="","",IF(D40="Godfroy","Godfroy",(IF(LEFT(B40,1)="1","Hiwa","Direct"))))</f>
        <v>Direct</v>
      </c>
      <c r="F40" s="3" t="s">
        <v>128</v>
      </c>
      <c r="G40" s="3">
        <v>4</v>
      </c>
      <c r="H40" s="28">
        <v>880</v>
      </c>
      <c r="I40" s="82" t="b">
        <v>1</v>
      </c>
      <c r="J40" s="46">
        <f>IF(H40="","",+K40/H40)</f>
        <v>0.92045454545454541</v>
      </c>
      <c r="K40" s="57">
        <v>810</v>
      </c>
      <c r="L40" s="137">
        <v>0</v>
      </c>
      <c r="M40" s="58">
        <v>294</v>
      </c>
      <c r="N40" s="58"/>
      <c r="O40" s="58"/>
      <c r="P40" s="58"/>
      <c r="Q40" s="59"/>
      <c r="R40" s="59"/>
      <c r="S40" s="59"/>
      <c r="T40" s="59"/>
      <c r="U40" s="59"/>
      <c r="V40" s="19">
        <f t="shared" si="5"/>
        <v>1104</v>
      </c>
      <c r="W40" s="44">
        <f>IF(J40="","",+V40/H40)</f>
        <v>1.2545454545454546</v>
      </c>
      <c r="Y40" s="54"/>
      <c r="Z40" s="56"/>
      <c r="AB40" s="2"/>
      <c r="AC40" s="2"/>
      <c r="AD40" s="63" t="str">
        <f t="shared" si="6"/>
        <v/>
      </c>
    </row>
    <row r="41" spans="1:30" ht="15.75">
      <c r="A41" s="29" t="s">
        <v>129</v>
      </c>
      <c r="B41" s="3" t="s">
        <v>106</v>
      </c>
      <c r="C41" s="9" t="s">
        <v>62</v>
      </c>
      <c r="D41" s="3" t="s">
        <v>104</v>
      </c>
      <c r="E41" s="3" t="str">
        <f t="shared" ref="E41:E45" si="9">IF(B41="","",IF(D41="Godfroy","Godfroy",(IF(LEFT(B41,1)="1","Hiwa","Direct"))))</f>
        <v>Direct</v>
      </c>
      <c r="F41" s="10" t="s">
        <v>31</v>
      </c>
      <c r="G41" s="1">
        <f>6*112</f>
        <v>672</v>
      </c>
      <c r="H41" s="27">
        <f>G41*210</f>
        <v>141120</v>
      </c>
      <c r="I41" s="82" t="b">
        <v>1</v>
      </c>
      <c r="J41" s="46">
        <f>IF(H41="","",+K41/H41)</f>
        <v>1.32</v>
      </c>
      <c r="K41" s="57">
        <v>186278.39999999999</v>
      </c>
      <c r="L41" s="137">
        <v>0</v>
      </c>
      <c r="M41" s="58"/>
      <c r="N41" s="22">
        <f>(34.69+63.45)*4</f>
        <v>392.56</v>
      </c>
      <c r="O41" s="58"/>
      <c r="P41" s="58"/>
      <c r="Q41" s="59"/>
      <c r="R41" s="59"/>
      <c r="S41" s="59">
        <f>3*57.04+57.04+57.04</f>
        <v>285.2</v>
      </c>
      <c r="T41" s="59"/>
      <c r="U41" s="59"/>
      <c r="V41" s="19">
        <f t="shared" si="5"/>
        <v>186670.96</v>
      </c>
      <c r="W41" s="44">
        <f>IF(J41="","",+V41/H41)</f>
        <v>1.3227817460317459</v>
      </c>
      <c r="Y41" s="79" t="s">
        <v>130</v>
      </c>
      <c r="Z41" s="42">
        <v>45672</v>
      </c>
      <c r="AB41" s="2"/>
      <c r="AC41" s="2"/>
      <c r="AD41" s="63" t="str">
        <f t="shared" si="6"/>
        <v/>
      </c>
    </row>
    <row r="42" spans="1:30" ht="15.75">
      <c r="A42" s="54" t="s">
        <v>131</v>
      </c>
      <c r="B42" s="3" t="s">
        <v>132</v>
      </c>
      <c r="C42" s="3" t="s">
        <v>133</v>
      </c>
      <c r="D42" s="13" t="s">
        <v>134</v>
      </c>
      <c r="E42" s="3" t="str">
        <f t="shared" si="9"/>
        <v>Direct</v>
      </c>
      <c r="F42" s="3" t="s">
        <v>121</v>
      </c>
      <c r="G42" s="65">
        <v>32</v>
      </c>
      <c r="H42" s="53">
        <f>G42*220</f>
        <v>7040</v>
      </c>
      <c r="I42" s="82" t="b">
        <v>1</v>
      </c>
      <c r="J42" s="46">
        <f t="shared" ref="J42:J105" si="10">IF(H42="","",+K42/H42)</f>
        <v>1.45</v>
      </c>
      <c r="K42" s="57">
        <v>10208</v>
      </c>
      <c r="L42" s="137">
        <v>0</v>
      </c>
      <c r="M42" s="58">
        <v>704</v>
      </c>
      <c r="N42" s="58"/>
      <c r="O42" s="58"/>
      <c r="P42" s="58"/>
      <c r="Q42" s="59"/>
      <c r="R42" s="59"/>
      <c r="S42" s="59"/>
      <c r="T42" s="59"/>
      <c r="U42" s="59"/>
      <c r="V42" s="19">
        <f t="shared" si="5"/>
        <v>10912</v>
      </c>
      <c r="W42" s="44">
        <f t="shared" ref="W42:W105" si="11">IF(J42="","",+V42/H42)</f>
        <v>1.55</v>
      </c>
      <c r="Y42" s="54"/>
      <c r="Z42" s="56"/>
      <c r="AB42" s="2"/>
      <c r="AC42" s="2"/>
      <c r="AD42" s="63" t="str">
        <f t="shared" si="6"/>
        <v/>
      </c>
    </row>
    <row r="43" spans="1:30" ht="15.75">
      <c r="A43" s="29" t="s">
        <v>135</v>
      </c>
      <c r="B43" s="3" t="s">
        <v>136</v>
      </c>
      <c r="C43" s="3" t="s">
        <v>133</v>
      </c>
      <c r="D43" s="13" t="s">
        <v>134</v>
      </c>
      <c r="E43" s="3" t="str">
        <f t="shared" si="9"/>
        <v>Direct</v>
      </c>
      <c r="F43" s="3" t="s">
        <v>121</v>
      </c>
      <c r="G43" s="65">
        <v>8</v>
      </c>
      <c r="H43" s="53">
        <f>G43*220</f>
        <v>1760</v>
      </c>
      <c r="I43" s="82" t="b">
        <v>1</v>
      </c>
      <c r="J43" s="46">
        <f t="shared" si="10"/>
        <v>1.24</v>
      </c>
      <c r="K43" s="57">
        <v>2182.4</v>
      </c>
      <c r="L43" s="137">
        <v>0</v>
      </c>
      <c r="M43" s="58">
        <v>176</v>
      </c>
      <c r="N43" s="58"/>
      <c r="O43" s="58"/>
      <c r="P43" s="58"/>
      <c r="Q43" s="59"/>
      <c r="R43" s="59"/>
      <c r="S43" s="59"/>
      <c r="T43" s="59"/>
      <c r="U43" s="59"/>
      <c r="V43" s="19">
        <f t="shared" si="5"/>
        <v>2358.4</v>
      </c>
      <c r="W43" s="44">
        <f t="shared" si="11"/>
        <v>1.34</v>
      </c>
      <c r="Y43" s="54"/>
      <c r="Z43" s="56"/>
      <c r="AB43" s="2"/>
      <c r="AC43" s="2"/>
      <c r="AD43" s="63" t="str">
        <f t="shared" si="6"/>
        <v/>
      </c>
    </row>
    <row r="44" spans="1:30" ht="15.75">
      <c r="A44" s="54" t="s">
        <v>137</v>
      </c>
      <c r="B44" s="3" t="s">
        <v>103</v>
      </c>
      <c r="C44" s="9" t="s">
        <v>62</v>
      </c>
      <c r="D44" s="3" t="s">
        <v>104</v>
      </c>
      <c r="E44" s="3" t="str">
        <f t="shared" si="9"/>
        <v>Direct</v>
      </c>
      <c r="F44" s="10" t="s">
        <v>31</v>
      </c>
      <c r="G44" s="1">
        <f>6*112</f>
        <v>672</v>
      </c>
      <c r="H44" s="27">
        <f>G44*210</f>
        <v>141120</v>
      </c>
      <c r="I44" s="82" t="b">
        <v>1</v>
      </c>
      <c r="J44" s="46">
        <f t="shared" si="10"/>
        <v>1.2899999999999998</v>
      </c>
      <c r="K44" s="48">
        <v>182044.79999999999</v>
      </c>
      <c r="L44" s="137">
        <v>0</v>
      </c>
      <c r="M44" s="22"/>
      <c r="N44" s="22">
        <f>(98.14*(6/18))+(98.14*(6/18))-(98.14*(6/18))</f>
        <v>32.713333333333331</v>
      </c>
      <c r="O44" s="22"/>
      <c r="P44" s="22"/>
      <c r="Q44" s="23"/>
      <c r="R44" s="23"/>
      <c r="S44" s="23"/>
      <c r="T44" s="23"/>
      <c r="U44" s="23"/>
      <c r="V44" s="19">
        <f t="shared" si="5"/>
        <v>182077.51333333334</v>
      </c>
      <c r="W44" s="44">
        <f t="shared" si="11"/>
        <v>1.2902318121693122</v>
      </c>
      <c r="Y44" s="54"/>
      <c r="Z44" s="56"/>
      <c r="AB44" s="2"/>
      <c r="AC44" s="2"/>
      <c r="AD44" s="63" t="str">
        <f t="shared" si="6"/>
        <v/>
      </c>
    </row>
    <row r="45" spans="1:30" ht="15.75">
      <c r="A45" s="29" t="s">
        <v>138</v>
      </c>
      <c r="B45" s="3" t="s">
        <v>106</v>
      </c>
      <c r="C45" s="3" t="s">
        <v>62</v>
      </c>
      <c r="D45" s="3" t="s">
        <v>104</v>
      </c>
      <c r="E45" s="3" t="str">
        <f t="shared" si="9"/>
        <v>Direct</v>
      </c>
      <c r="F45" s="3" t="s">
        <v>31</v>
      </c>
      <c r="G45" s="3">
        <f>12*112</f>
        <v>1344</v>
      </c>
      <c r="H45" s="28">
        <f>G45*210</f>
        <v>282240</v>
      </c>
      <c r="I45" s="82" t="b">
        <v>1</v>
      </c>
      <c r="J45" s="46">
        <f t="shared" si="10"/>
        <v>1.33</v>
      </c>
      <c r="K45" s="48">
        <v>375379.20000000001</v>
      </c>
      <c r="L45" s="137">
        <v>0</v>
      </c>
      <c r="M45" s="22"/>
      <c r="N45" s="22">
        <f>(98.14*(12/18))+(98.14*(12/18))-(98.14*(12/18))</f>
        <v>65.426666666666662</v>
      </c>
      <c r="O45" s="22"/>
      <c r="P45" s="22"/>
      <c r="Q45" s="23"/>
      <c r="R45" s="23"/>
      <c r="S45" s="23">
        <v>57.04</v>
      </c>
      <c r="T45" s="23"/>
      <c r="U45" s="23"/>
      <c r="V45" s="19">
        <f>IF(B45="","",K45+SUM(L45:R45))</f>
        <v>375444.62666666671</v>
      </c>
      <c r="W45" s="44">
        <f t="shared" si="11"/>
        <v>1.3302318121693124</v>
      </c>
      <c r="Y45" s="54"/>
      <c r="Z45" s="56"/>
      <c r="AB45" s="2"/>
      <c r="AC45" s="2"/>
      <c r="AD45" s="63" t="str">
        <f t="shared" si="6"/>
        <v/>
      </c>
    </row>
    <row r="46" spans="1:30" ht="15.75">
      <c r="A46" s="29" t="s">
        <v>139</v>
      </c>
      <c r="B46" s="3" t="s">
        <v>140</v>
      </c>
      <c r="C46" s="3" t="s">
        <v>62</v>
      </c>
      <c r="D46" s="3" t="s">
        <v>104</v>
      </c>
      <c r="E46" s="3" t="str">
        <f t="shared" si="0"/>
        <v>Direct</v>
      </c>
      <c r="F46" s="3" t="s">
        <v>31</v>
      </c>
      <c r="G46" s="3">
        <v>896</v>
      </c>
      <c r="H46" s="28">
        <f>+G46*210</f>
        <v>188160</v>
      </c>
      <c r="I46" s="82" t="b">
        <v>1</v>
      </c>
      <c r="J46" s="46">
        <f t="shared" si="10"/>
        <v>1.07</v>
      </c>
      <c r="K46" s="48">
        <v>201331.20000000001</v>
      </c>
      <c r="L46" s="137">
        <v>0</v>
      </c>
      <c r="M46" s="22"/>
      <c r="N46" s="22">
        <v>686.98</v>
      </c>
      <c r="O46" s="22"/>
      <c r="P46" s="22"/>
      <c r="Q46" s="23"/>
      <c r="R46" s="23"/>
      <c r="S46" s="23">
        <f>57.04+57.04+57.04+57.04</f>
        <v>228.16</v>
      </c>
      <c r="T46" s="23"/>
      <c r="U46" s="23"/>
      <c r="V46" s="19">
        <f t="shared" si="5"/>
        <v>202018.18000000002</v>
      </c>
      <c r="W46" s="44">
        <f t="shared" si="11"/>
        <v>1.0736510416666667</v>
      </c>
      <c r="Y46" s="80" t="s">
        <v>141</v>
      </c>
      <c r="Z46" s="72">
        <v>45726</v>
      </c>
      <c r="AB46" s="2"/>
      <c r="AC46" s="2"/>
      <c r="AD46" s="63" t="str">
        <f t="shared" si="6"/>
        <v/>
      </c>
    </row>
    <row r="47" spans="1:30" ht="15.75">
      <c r="A47" s="29" t="s">
        <v>142</v>
      </c>
      <c r="B47" s="3" t="s">
        <v>143</v>
      </c>
      <c r="C47" s="9" t="s">
        <v>119</v>
      </c>
      <c r="D47" s="3" t="s">
        <v>144</v>
      </c>
      <c r="E47" s="3" t="str">
        <f t="shared" si="0"/>
        <v>Direct</v>
      </c>
      <c r="F47" s="10" t="s">
        <v>121</v>
      </c>
      <c r="G47" s="1">
        <v>110</v>
      </c>
      <c r="H47" s="27">
        <v>1100</v>
      </c>
      <c r="I47" s="82" t="b">
        <v>1</v>
      </c>
      <c r="J47" s="46">
        <f t="shared" si="10"/>
        <v>1.085</v>
      </c>
      <c r="K47" s="48">
        <v>1193.5</v>
      </c>
      <c r="L47" s="137">
        <v>0</v>
      </c>
      <c r="M47" s="22">
        <v>485</v>
      </c>
      <c r="N47" s="22"/>
      <c r="O47" s="22"/>
      <c r="P47" s="22"/>
      <c r="Q47" s="23"/>
      <c r="R47" s="23"/>
      <c r="S47" s="23"/>
      <c r="T47" s="23"/>
      <c r="U47" s="23"/>
      <c r="V47" s="19">
        <f>IF(B47="","",K47+SUM(M47:R47))</f>
        <v>1678.5</v>
      </c>
      <c r="W47" s="44">
        <f t="shared" si="11"/>
        <v>1.5259090909090909</v>
      </c>
      <c r="Y47" s="54"/>
      <c r="Z47" s="56"/>
      <c r="AB47" s="2"/>
      <c r="AC47" s="2"/>
      <c r="AD47" s="63" t="str">
        <f t="shared" si="6"/>
        <v/>
      </c>
    </row>
    <row r="48" spans="1:30" ht="15.75">
      <c r="A48" s="29" t="s">
        <v>145</v>
      </c>
      <c r="B48" s="3" t="s">
        <v>93</v>
      </c>
      <c r="C48" s="3" t="s">
        <v>90</v>
      </c>
      <c r="D48" s="3" t="s">
        <v>112</v>
      </c>
      <c r="E48" s="3" t="str">
        <f t="shared" si="0"/>
        <v>Direct</v>
      </c>
      <c r="F48" s="3" t="s">
        <v>59</v>
      </c>
      <c r="G48" s="3">
        <v>112</v>
      </c>
      <c r="H48" s="28">
        <f>G48*205</f>
        <v>22960</v>
      </c>
      <c r="I48" s="82" t="b">
        <v>1</v>
      </c>
      <c r="J48" s="46">
        <f t="shared" si="10"/>
        <v>0.62488129154795824</v>
      </c>
      <c r="K48" s="48">
        <f>15107.68/1.053</f>
        <v>14347.274453941121</v>
      </c>
      <c r="L48" s="137">
        <f>(1798/1.037)</f>
        <v>1733.8476374156221</v>
      </c>
      <c r="M48" s="22">
        <f>+(528+69.25+450+80+35+1190+842.65)</f>
        <v>3194.9</v>
      </c>
      <c r="N48" s="22">
        <f>1782.27+35.65+96</f>
        <v>1913.92</v>
      </c>
      <c r="O48" s="22">
        <f>195+300+110</f>
        <v>605</v>
      </c>
      <c r="P48" s="22"/>
      <c r="Q48" s="23"/>
      <c r="R48" s="23"/>
      <c r="S48" s="23">
        <v>6.5</v>
      </c>
      <c r="T48" s="23"/>
      <c r="U48" s="23"/>
      <c r="V48" s="19">
        <f t="shared" si="5"/>
        <v>21794.942091356745</v>
      </c>
      <c r="W48" s="44">
        <f t="shared" si="11"/>
        <v>0.94925705972808117</v>
      </c>
      <c r="Y48" s="54"/>
      <c r="Z48" s="56"/>
      <c r="AB48" s="2"/>
      <c r="AC48" s="2"/>
      <c r="AD48" s="63" t="str">
        <f t="shared" si="6"/>
        <v/>
      </c>
    </row>
    <row r="49" spans="1:30" ht="15.75">
      <c r="A49" s="29" t="s">
        <v>146</v>
      </c>
      <c r="B49" s="3" t="s">
        <v>147</v>
      </c>
      <c r="C49" s="3" t="s">
        <v>133</v>
      </c>
      <c r="D49" s="3" t="s">
        <v>148</v>
      </c>
      <c r="E49" s="3" t="str">
        <f t="shared" si="0"/>
        <v>Direct</v>
      </c>
      <c r="F49" s="3" t="s">
        <v>121</v>
      </c>
      <c r="G49" s="3">
        <v>12</v>
      </c>
      <c r="H49" s="28">
        <f>G49*220</f>
        <v>2640</v>
      </c>
      <c r="I49" s="82" t="b">
        <v>1</v>
      </c>
      <c r="J49" s="46">
        <f t="shared" si="10"/>
        <v>1.8099999999999998</v>
      </c>
      <c r="K49" s="48">
        <v>4778.3999999999996</v>
      </c>
      <c r="L49" s="137">
        <v>0</v>
      </c>
      <c r="M49" s="22">
        <v>380</v>
      </c>
      <c r="N49" s="22"/>
      <c r="O49" s="22"/>
      <c r="P49" s="22"/>
      <c r="Q49" s="23"/>
      <c r="R49" s="23"/>
      <c r="S49" s="23"/>
      <c r="T49" s="23"/>
      <c r="U49" s="23"/>
      <c r="V49" s="19">
        <f>IF(B49="","",K49+SUM(M49:R49))</f>
        <v>5158.3999999999996</v>
      </c>
      <c r="W49" s="44">
        <f t="shared" si="11"/>
        <v>1.9539393939393939</v>
      </c>
      <c r="Y49" s="54"/>
      <c r="Z49" s="56"/>
      <c r="AB49" s="2"/>
      <c r="AC49" s="2"/>
      <c r="AD49" s="63" t="str">
        <f t="shared" si="6"/>
        <v/>
      </c>
    </row>
    <row r="50" spans="1:30" ht="15.75">
      <c r="A50" s="29" t="s">
        <v>149</v>
      </c>
      <c r="B50" s="3" t="s">
        <v>143</v>
      </c>
      <c r="C50" s="9" t="s">
        <v>119</v>
      </c>
      <c r="D50" s="3" t="s">
        <v>150</v>
      </c>
      <c r="E50" s="3" t="str">
        <f t="shared" si="0"/>
        <v>Direct</v>
      </c>
      <c r="F50" s="10" t="s">
        <v>121</v>
      </c>
      <c r="G50" s="1">
        <v>110</v>
      </c>
      <c r="H50" s="27">
        <v>1100</v>
      </c>
      <c r="I50" s="82" t="b">
        <v>1</v>
      </c>
      <c r="J50" s="46">
        <f t="shared" si="10"/>
        <v>1.085</v>
      </c>
      <c r="K50" s="48">
        <v>1193.5</v>
      </c>
      <c r="L50" s="137">
        <v>0</v>
      </c>
      <c r="M50" s="22">
        <v>480</v>
      </c>
      <c r="N50" s="22"/>
      <c r="O50" s="22"/>
      <c r="P50" s="22"/>
      <c r="Q50" s="23"/>
      <c r="R50" s="23"/>
      <c r="S50" s="23"/>
      <c r="T50" s="23"/>
      <c r="U50" s="23"/>
      <c r="V50" s="19">
        <f>IF(B50="","",K50+SUM(M50:R50))</f>
        <v>1673.5</v>
      </c>
      <c r="W50" s="44">
        <f t="shared" si="11"/>
        <v>1.5213636363636365</v>
      </c>
      <c r="Y50" s="54"/>
      <c r="Z50" s="56"/>
      <c r="AB50" s="2"/>
      <c r="AC50" s="2"/>
      <c r="AD50" s="63" t="str">
        <f t="shared" si="6"/>
        <v/>
      </c>
    </row>
    <row r="51" spans="1:30" ht="15.75">
      <c r="A51" s="29" t="s">
        <v>151</v>
      </c>
      <c r="B51" s="3" t="s">
        <v>143</v>
      </c>
      <c r="C51" s="9" t="s">
        <v>119</v>
      </c>
      <c r="D51" s="3" t="s">
        <v>144</v>
      </c>
      <c r="E51" s="3" t="str">
        <f t="shared" si="0"/>
        <v>Direct</v>
      </c>
      <c r="F51" s="10" t="s">
        <v>121</v>
      </c>
      <c r="G51" s="1">
        <v>110</v>
      </c>
      <c r="H51" s="27">
        <v>1100</v>
      </c>
      <c r="I51" s="82" t="b">
        <v>1</v>
      </c>
      <c r="J51" s="46">
        <f t="shared" si="10"/>
        <v>1.085</v>
      </c>
      <c r="K51" s="48">
        <v>1193.5</v>
      </c>
      <c r="L51" s="137">
        <v>0</v>
      </c>
      <c r="M51" s="22">
        <v>485</v>
      </c>
      <c r="N51" s="22"/>
      <c r="O51" s="22"/>
      <c r="P51" s="22"/>
      <c r="Q51" s="23"/>
      <c r="R51" s="23"/>
      <c r="S51" s="23"/>
      <c r="T51" s="23"/>
      <c r="U51" s="23"/>
      <c r="V51" s="19">
        <f>IF(B51="","",K51+SUM(M51:R51))</f>
        <v>1678.5</v>
      </c>
      <c r="W51" s="44">
        <f t="shared" si="11"/>
        <v>1.5259090909090909</v>
      </c>
      <c r="Y51" s="54"/>
      <c r="Z51" s="56"/>
      <c r="AB51" s="2"/>
      <c r="AC51" s="2"/>
      <c r="AD51" s="63" t="str">
        <f t="shared" si="6"/>
        <v/>
      </c>
    </row>
    <row r="52" spans="1:30" ht="15.75">
      <c r="A52" s="29" t="s">
        <v>152</v>
      </c>
      <c r="B52" s="3" t="s">
        <v>153</v>
      </c>
      <c r="C52" s="3" t="s">
        <v>126</v>
      </c>
      <c r="D52" s="3" t="s">
        <v>127</v>
      </c>
      <c r="E52" s="3" t="str">
        <f>IF(B52="","",IF(D52="Godfroy","Godfroy",(IF(LEFT(B52,1)="1","Hiwa","Direct"))))</f>
        <v>Direct</v>
      </c>
      <c r="F52" s="3" t="s">
        <v>128</v>
      </c>
      <c r="G52" s="3">
        <v>4</v>
      </c>
      <c r="H52" s="28">
        <v>880</v>
      </c>
      <c r="I52" s="82" t="b">
        <v>1</v>
      </c>
      <c r="J52" s="46">
        <f t="shared" si="10"/>
        <v>0.92999999999999994</v>
      </c>
      <c r="K52" s="48">
        <v>818.4</v>
      </c>
      <c r="L52" s="137">
        <v>0</v>
      </c>
      <c r="M52" s="22">
        <v>197.29</v>
      </c>
      <c r="N52" s="22"/>
      <c r="O52" s="22"/>
      <c r="P52" s="22"/>
      <c r="Q52" s="23"/>
      <c r="R52" s="23"/>
      <c r="S52" s="23"/>
      <c r="T52" s="23"/>
      <c r="U52" s="23"/>
      <c r="V52" s="19">
        <f>IF(B52="","",K52+SUM(M52:R52))</f>
        <v>1015.6899999999999</v>
      </c>
      <c r="W52" s="44">
        <f t="shared" si="11"/>
        <v>1.1541931818181816</v>
      </c>
      <c r="Y52" s="54"/>
      <c r="Z52" s="56"/>
      <c r="AB52" s="2"/>
      <c r="AC52" s="2"/>
      <c r="AD52" s="63" t="str">
        <f t="shared" si="6"/>
        <v/>
      </c>
    </row>
    <row r="53" spans="1:30" ht="15.75">
      <c r="A53" s="29" t="s">
        <v>154</v>
      </c>
      <c r="B53" s="3" t="s">
        <v>89</v>
      </c>
      <c r="C53" s="9" t="s">
        <v>90</v>
      </c>
      <c r="D53" s="3" t="s">
        <v>30</v>
      </c>
      <c r="E53" s="3" t="str">
        <f t="shared" ref="E53" si="12">IF(B53="","",IF(D53="Godfroy","Godfroy",(IF(LEFT(B53,1)="1","Hiwa","Direct"))))</f>
        <v>Hiwa</v>
      </c>
      <c r="F53" s="10" t="s">
        <v>59</v>
      </c>
      <c r="G53" s="1">
        <v>512</v>
      </c>
      <c r="H53" s="27">
        <f>G53*205</f>
        <v>104960</v>
      </c>
      <c r="I53" s="82" t="b">
        <v>1</v>
      </c>
      <c r="J53" s="46">
        <f t="shared" si="10"/>
        <v>0.6457739791073126</v>
      </c>
      <c r="K53" s="48">
        <f>71372.8/1.053</f>
        <v>67780.436847103527</v>
      </c>
      <c r="L53" s="137">
        <f>6184/1.037</f>
        <v>5963.3558341369335</v>
      </c>
      <c r="M53" s="22"/>
      <c r="N53" s="22">
        <f>2116.54+2116.54+4233.08</f>
        <v>8466.16</v>
      </c>
      <c r="O53" s="22"/>
      <c r="P53" s="22">
        <v>5051.28</v>
      </c>
      <c r="Q53" s="23">
        <f>125.31+48.95+125.31+48.95+47.97+47.97+47.97</f>
        <v>492.43000000000006</v>
      </c>
      <c r="R53" s="23">
        <f>(4.95*4)+1.85+1.78</f>
        <v>23.430000000000003</v>
      </c>
      <c r="S53" s="23">
        <f>57.04+(2*57.04)+114.08+57.04+57.04+57.04</f>
        <v>456.32000000000005</v>
      </c>
      <c r="T53" s="23"/>
      <c r="U53" s="23"/>
      <c r="V53" s="19">
        <f>IF(B53="","",K53+SUM(L53:R53))</f>
        <v>87777.092681240465</v>
      </c>
      <c r="W53" s="44">
        <f>IF(J53="","",+V53/H53)</f>
        <v>0.83629089825876968</v>
      </c>
      <c r="Y53" s="80" t="s">
        <v>155</v>
      </c>
      <c r="Z53" s="72">
        <v>45719</v>
      </c>
      <c r="AB53" s="2"/>
      <c r="AC53" s="2"/>
      <c r="AD53" s="63" t="str">
        <f t="shared" si="6"/>
        <v/>
      </c>
    </row>
    <row r="54" spans="1:30" ht="15.75">
      <c r="A54" s="29" t="s">
        <v>156</v>
      </c>
      <c r="B54" s="3" t="s">
        <v>157</v>
      </c>
      <c r="C54" s="3" t="s">
        <v>126</v>
      </c>
      <c r="D54" s="3" t="s">
        <v>158</v>
      </c>
      <c r="E54" s="3" t="str">
        <f>IF(B54="","",IF(D54="Godfroy","Godfroy",(IF(LEFT(B54,1)="1","Hiwa","Direct"))))</f>
        <v>Direct</v>
      </c>
      <c r="F54" s="3" t="s">
        <v>128</v>
      </c>
      <c r="G54" s="3">
        <v>24</v>
      </c>
      <c r="H54" s="28">
        <f>G54*21</f>
        <v>504</v>
      </c>
      <c r="I54" s="82" t="b">
        <v>1</v>
      </c>
      <c r="J54" s="46">
        <f t="shared" si="10"/>
        <v>1</v>
      </c>
      <c r="K54" s="48">
        <v>504</v>
      </c>
      <c r="L54" s="137">
        <v>0</v>
      </c>
      <c r="M54" s="22">
        <v>270</v>
      </c>
      <c r="N54" s="22"/>
      <c r="O54" s="22"/>
      <c r="P54" s="22"/>
      <c r="Q54" s="23"/>
      <c r="R54" s="23"/>
      <c r="S54" s="23"/>
      <c r="T54" s="23"/>
      <c r="U54" s="23"/>
      <c r="V54" s="19">
        <f>IF(B54="","",K54+SUM(M54:R54))</f>
        <v>774</v>
      </c>
      <c r="W54" s="44">
        <f t="shared" si="11"/>
        <v>1.5357142857142858</v>
      </c>
      <c r="Y54" s="54"/>
      <c r="Z54" s="56"/>
      <c r="AB54" s="2"/>
      <c r="AC54" s="2"/>
      <c r="AD54" s="63" t="str">
        <f t="shared" si="6"/>
        <v/>
      </c>
    </row>
    <row r="55" spans="1:30" ht="15.75">
      <c r="A55" s="29" t="s">
        <v>159</v>
      </c>
      <c r="B55" s="3" t="s">
        <v>157</v>
      </c>
      <c r="C55" s="3" t="s">
        <v>126</v>
      </c>
      <c r="D55" s="3" t="s">
        <v>158</v>
      </c>
      <c r="E55" s="3" t="str">
        <f>IF(B55="","",IF(D55="Godfroy","Godfroy",(IF(LEFT(B55,1)="1","Hiwa","Direct"))))</f>
        <v>Direct</v>
      </c>
      <c r="F55" s="3" t="s">
        <v>128</v>
      </c>
      <c r="G55" s="3">
        <v>24</v>
      </c>
      <c r="H55" s="28">
        <f>G55*21</f>
        <v>504</v>
      </c>
      <c r="I55" s="82" t="b">
        <v>1</v>
      </c>
      <c r="J55" s="46">
        <f t="shared" si="10"/>
        <v>1</v>
      </c>
      <c r="K55" s="48">
        <v>504</v>
      </c>
      <c r="L55" s="137">
        <v>0</v>
      </c>
      <c r="M55" s="22">
        <v>265</v>
      </c>
      <c r="N55" s="22"/>
      <c r="O55" s="22"/>
      <c r="P55" s="22"/>
      <c r="Q55" s="23"/>
      <c r="R55" s="23"/>
      <c r="S55" s="23"/>
      <c r="T55" s="23"/>
      <c r="U55" s="23"/>
      <c r="V55" s="19">
        <f>IF(B55="","",K55+SUM(M55:R55))</f>
        <v>769</v>
      </c>
      <c r="W55" s="44">
        <f t="shared" si="11"/>
        <v>1.5257936507936507</v>
      </c>
      <c r="Y55" s="54"/>
      <c r="Z55" s="56"/>
      <c r="AB55" s="2"/>
      <c r="AC55" s="2"/>
      <c r="AD55" s="63" t="str">
        <f t="shared" si="6"/>
        <v/>
      </c>
    </row>
    <row r="56" spans="1:30" ht="15.75">
      <c r="A56" s="29" t="s">
        <v>160</v>
      </c>
      <c r="B56" s="3" t="s">
        <v>103</v>
      </c>
      <c r="C56" s="9" t="s">
        <v>62</v>
      </c>
      <c r="D56" s="3" t="s">
        <v>104</v>
      </c>
      <c r="E56" s="3" t="str">
        <f t="shared" ref="E56:E60" si="13">IF(B56="","",IF(D56="Godfroy","Godfroy",(IF(LEFT(B56,1)="1","Hiwa","Direct"))))</f>
        <v>Direct</v>
      </c>
      <c r="F56" s="10" t="s">
        <v>31</v>
      </c>
      <c r="G56" s="1">
        <f>3*112</f>
        <v>336</v>
      </c>
      <c r="H56" s="27">
        <f>G56*210</f>
        <v>70560</v>
      </c>
      <c r="I56" s="82" t="b">
        <v>1</v>
      </c>
      <c r="J56" s="46">
        <f t="shared" si="10"/>
        <v>1.3009999999999999</v>
      </c>
      <c r="K56" s="48">
        <v>91798.56</v>
      </c>
      <c r="L56" s="137">
        <v>0</v>
      </c>
      <c r="M56" s="22"/>
      <c r="N56" s="22">
        <f>(2*34.69)+(2*63.45)</f>
        <v>196.28</v>
      </c>
      <c r="O56" s="22"/>
      <c r="P56" s="22"/>
      <c r="Q56" s="23"/>
      <c r="R56" s="23"/>
      <c r="S56" s="23" t="s">
        <v>161</v>
      </c>
      <c r="T56" s="23"/>
      <c r="U56" s="23"/>
      <c r="V56" s="19">
        <f t="shared" ref="V56:V112" si="14">IF(B56="","",K56+SUM(L56:R56))</f>
        <v>91994.84</v>
      </c>
      <c r="W56" s="44">
        <f t="shared" si="11"/>
        <v>1.303781746031746</v>
      </c>
      <c r="Y56" s="80" t="s">
        <v>162</v>
      </c>
      <c r="Z56" s="72">
        <v>45762</v>
      </c>
      <c r="AB56" s="2"/>
      <c r="AC56" s="2"/>
      <c r="AD56" s="63" t="str">
        <f t="shared" si="6"/>
        <v/>
      </c>
    </row>
    <row r="57" spans="1:30" ht="15.75">
      <c r="A57" s="29" t="s">
        <v>163</v>
      </c>
      <c r="B57" s="3" t="s">
        <v>106</v>
      </c>
      <c r="C57" s="3" t="s">
        <v>62</v>
      </c>
      <c r="D57" s="3" t="s">
        <v>104</v>
      </c>
      <c r="E57" s="3" t="str">
        <f t="shared" si="13"/>
        <v>Direct</v>
      </c>
      <c r="F57" s="3" t="s">
        <v>31</v>
      </c>
      <c r="G57" s="3">
        <f>5*112</f>
        <v>560</v>
      </c>
      <c r="H57" s="28">
        <f>G57*210</f>
        <v>117600</v>
      </c>
      <c r="I57" s="82" t="b">
        <v>1</v>
      </c>
      <c r="J57" s="46">
        <f t="shared" si="10"/>
        <v>1.34</v>
      </c>
      <c r="K57" s="48">
        <v>157584</v>
      </c>
      <c r="L57" s="137">
        <v>0</v>
      </c>
      <c r="M57" s="22"/>
      <c r="N57" s="22">
        <f>(3*34.69)+(3*63.45)</f>
        <v>294.42</v>
      </c>
      <c r="O57" s="22"/>
      <c r="P57" s="22"/>
      <c r="Q57" s="23"/>
      <c r="R57" s="23"/>
      <c r="S57" s="23">
        <f>57.14+57.14+(5*57.04)+(57.04/2)</f>
        <v>428</v>
      </c>
      <c r="T57" s="23"/>
      <c r="U57" s="23"/>
      <c r="V57" s="19">
        <f t="shared" si="14"/>
        <v>157878.42000000001</v>
      </c>
      <c r="W57" s="44">
        <f t="shared" si="11"/>
        <v>1.3425035714285716</v>
      </c>
      <c r="Y57" s="80" t="s">
        <v>164</v>
      </c>
      <c r="Z57" s="72">
        <v>45762</v>
      </c>
      <c r="AB57" s="2"/>
      <c r="AC57" s="2"/>
      <c r="AD57" s="63" t="str">
        <f t="shared" si="6"/>
        <v/>
      </c>
    </row>
    <row r="58" spans="1:30" ht="15.75">
      <c r="A58" s="29" t="s">
        <v>165</v>
      </c>
      <c r="B58" s="3" t="s">
        <v>86</v>
      </c>
      <c r="C58" s="3" t="s">
        <v>80</v>
      </c>
      <c r="D58" s="13" t="s">
        <v>87</v>
      </c>
      <c r="E58" s="3" t="str">
        <f t="shared" si="13"/>
        <v>Direct</v>
      </c>
      <c r="F58" s="3" t="s">
        <v>46</v>
      </c>
      <c r="G58" s="3">
        <v>112</v>
      </c>
      <c r="H58" s="28">
        <v>24080</v>
      </c>
      <c r="I58" s="82" t="b">
        <v>1</v>
      </c>
      <c r="J58" s="46">
        <f t="shared" si="10"/>
        <v>1.5890613451589062</v>
      </c>
      <c r="K58" s="48">
        <f>41417.6/1.0824</f>
        <v>38264.597191426459</v>
      </c>
      <c r="L58" s="137">
        <v>0</v>
      </c>
      <c r="M58" s="22">
        <v>1513</v>
      </c>
      <c r="N58" s="143">
        <f>2744+29+90</f>
        <v>2863</v>
      </c>
      <c r="O58" s="22"/>
      <c r="P58" s="22"/>
      <c r="Q58" s="23"/>
      <c r="R58" s="23"/>
      <c r="S58" s="23"/>
      <c r="T58" s="23"/>
      <c r="U58" s="23"/>
      <c r="V58" s="19">
        <f t="shared" si="14"/>
        <v>42640.597191426459</v>
      </c>
      <c r="W58" s="44">
        <f t="shared" si="11"/>
        <v>1.7707889199097366</v>
      </c>
      <c r="Y58" s="54"/>
      <c r="Z58" s="56"/>
      <c r="AB58" s="2"/>
      <c r="AC58" s="2"/>
      <c r="AD58" s="63" t="str">
        <f t="shared" si="6"/>
        <v/>
      </c>
    </row>
    <row r="59" spans="1:30" ht="15.75">
      <c r="A59" s="29" t="s">
        <v>166</v>
      </c>
      <c r="B59" s="3" t="s">
        <v>89</v>
      </c>
      <c r="C59" s="9" t="s">
        <v>90</v>
      </c>
      <c r="D59" s="3" t="s">
        <v>30</v>
      </c>
      <c r="E59" s="3" t="str">
        <f t="shared" si="13"/>
        <v>Hiwa</v>
      </c>
      <c r="F59" s="10" t="s">
        <v>59</v>
      </c>
      <c r="G59" s="1">
        <v>512</v>
      </c>
      <c r="H59" s="27">
        <f>G59*205</f>
        <v>104960</v>
      </c>
      <c r="I59" s="82" t="b">
        <v>1</v>
      </c>
      <c r="J59" s="46">
        <f t="shared" si="10"/>
        <v>0.6509045659040873</v>
      </c>
      <c r="K59" s="48">
        <f>71372.8/1.0447</f>
        <v>68318.943237293002</v>
      </c>
      <c r="L59" s="137">
        <f>6184/1.0845</f>
        <v>5702.1668971876443</v>
      </c>
      <c r="M59" s="22"/>
      <c r="N59" s="22">
        <f>6087.93+(1876.65+63.45)</f>
        <v>8028.0300000000007</v>
      </c>
      <c r="O59" s="22"/>
      <c r="P59" s="22">
        <v>4996.12</v>
      </c>
      <c r="Q59" s="23">
        <f>125.31+125.31</f>
        <v>250.62</v>
      </c>
      <c r="R59" s="23">
        <f>4.73+4.73+4.73+4.73+4.66</f>
        <v>23.580000000000002</v>
      </c>
      <c r="S59" s="23">
        <f>(57.04*3)+57.04</f>
        <v>228.16</v>
      </c>
      <c r="T59" s="23"/>
      <c r="U59" s="23"/>
      <c r="V59" s="19">
        <f t="shared" si="14"/>
        <v>87319.460134480643</v>
      </c>
      <c r="W59" s="44">
        <f t="shared" si="11"/>
        <v>0.83193083207393903</v>
      </c>
      <c r="Y59" s="80" t="s">
        <v>167</v>
      </c>
      <c r="Z59" s="72">
        <v>45750</v>
      </c>
      <c r="AB59" s="2"/>
      <c r="AC59" s="2"/>
      <c r="AD59" s="63" t="str">
        <f t="shared" si="6"/>
        <v/>
      </c>
    </row>
    <row r="60" spans="1:30" ht="15.75">
      <c r="A60" s="29" t="s">
        <v>168</v>
      </c>
      <c r="B60" s="3" t="s">
        <v>89</v>
      </c>
      <c r="C60" s="9" t="s">
        <v>90</v>
      </c>
      <c r="D60" s="3" t="s">
        <v>30</v>
      </c>
      <c r="E60" s="3" t="str">
        <f t="shared" si="13"/>
        <v>Hiwa</v>
      </c>
      <c r="F60" s="10" t="s">
        <v>59</v>
      </c>
      <c r="G60" s="1">
        <v>256</v>
      </c>
      <c r="H60" s="27">
        <f>G60*205</f>
        <v>52480</v>
      </c>
      <c r="I60" s="82" t="b">
        <v>1</v>
      </c>
      <c r="J60" s="46">
        <f t="shared" si="10"/>
        <v>0.64972291228740686</v>
      </c>
      <c r="K60" s="48">
        <f>35686.4/1.0466</f>
        <v>34097.45843684311</v>
      </c>
      <c r="L60" s="137">
        <f>3092/1.0845</f>
        <v>2851.0834485938221</v>
      </c>
      <c r="M60" s="22"/>
      <c r="N60" s="22">
        <f>2*(1876.65+63.45)</f>
        <v>3880.2000000000003</v>
      </c>
      <c r="O60" s="22"/>
      <c r="P60" s="22">
        <v>2573.06</v>
      </c>
      <c r="Q60" s="23">
        <f>125.31+125.31+125.31+125.31</f>
        <v>501.24</v>
      </c>
      <c r="R60" s="23">
        <f>4.73+4.73+4.66+4.66</f>
        <v>18.78</v>
      </c>
      <c r="S60" s="23">
        <f>57.04+57.04</f>
        <v>114.08</v>
      </c>
      <c r="T60" s="23"/>
      <c r="U60" s="23"/>
      <c r="V60" s="19">
        <f t="shared" si="14"/>
        <v>43921.821885436933</v>
      </c>
      <c r="W60" s="44">
        <f t="shared" si="11"/>
        <v>0.83692495970725866</v>
      </c>
      <c r="Y60" s="80" t="s">
        <v>169</v>
      </c>
      <c r="Z60" s="72">
        <v>45750</v>
      </c>
      <c r="AB60" s="2"/>
      <c r="AC60" s="2"/>
      <c r="AD60" s="63" t="str">
        <f t="shared" si="6"/>
        <v/>
      </c>
    </row>
    <row r="61" spans="1:30" ht="15.75">
      <c r="A61" s="29" t="s">
        <v>170</v>
      </c>
      <c r="B61" s="3" t="s">
        <v>171</v>
      </c>
      <c r="C61" s="3" t="s">
        <v>34</v>
      </c>
      <c r="D61" s="3" t="s">
        <v>172</v>
      </c>
      <c r="E61" s="3" t="s">
        <v>173</v>
      </c>
      <c r="F61" s="3" t="s">
        <v>36</v>
      </c>
      <c r="G61" s="3">
        <v>10</v>
      </c>
      <c r="H61" s="28">
        <v>250</v>
      </c>
      <c r="I61" s="82" t="b">
        <v>1</v>
      </c>
      <c r="J61" s="46">
        <f t="shared" si="10"/>
        <v>12.13</v>
      </c>
      <c r="K61" s="48">
        <v>3032.5</v>
      </c>
      <c r="L61" s="137">
        <v>0</v>
      </c>
      <c r="M61" s="22">
        <f>180+(180*9%)</f>
        <v>196.2</v>
      </c>
      <c r="N61" s="22"/>
      <c r="O61" s="22"/>
      <c r="P61" s="22"/>
      <c r="Q61" s="23"/>
      <c r="R61" s="23"/>
      <c r="S61" s="23"/>
      <c r="T61" s="23"/>
      <c r="U61" s="23"/>
      <c r="V61" s="19">
        <f>IF(B61="","",K61+SUM(M61:R61))</f>
        <v>3228.7</v>
      </c>
      <c r="W61" s="44">
        <f t="shared" si="11"/>
        <v>12.9148</v>
      </c>
      <c r="Y61" s="54"/>
      <c r="Z61" s="56"/>
      <c r="AB61" s="2"/>
      <c r="AC61" s="2"/>
      <c r="AD61" s="63" t="str">
        <f t="shared" si="6"/>
        <v/>
      </c>
    </row>
    <row r="62" spans="1:30" ht="15.75">
      <c r="A62" s="29" t="s">
        <v>174</v>
      </c>
      <c r="B62" s="3" t="s">
        <v>175</v>
      </c>
      <c r="C62" s="9" t="s">
        <v>176</v>
      </c>
      <c r="D62" s="3" t="s">
        <v>177</v>
      </c>
      <c r="E62" s="3" t="str">
        <f t="shared" ref="E62:E76" si="15">IF(B62="","",IF(D62="Godfroy","Godfroy",(IF(LEFT(B62,1)="1","Hiwa","Direct"))))</f>
        <v>Direct</v>
      </c>
      <c r="F62" s="10" t="s">
        <v>128</v>
      </c>
      <c r="G62" s="1">
        <v>14</v>
      </c>
      <c r="H62" s="27">
        <f>G62*24</f>
        <v>336</v>
      </c>
      <c r="I62" s="82" t="b">
        <v>1</v>
      </c>
      <c r="J62" s="46">
        <f>IF(H62="","",+K62/H62)</f>
        <v>2.2000000000000002</v>
      </c>
      <c r="K62" s="48">
        <v>739.2</v>
      </c>
      <c r="L62" s="137">
        <v>0</v>
      </c>
      <c r="M62" s="22">
        <f>560*(14/(10+14))</f>
        <v>326.66666666666669</v>
      </c>
      <c r="N62" s="22"/>
      <c r="O62" s="22"/>
      <c r="P62" s="22"/>
      <c r="Q62" s="23"/>
      <c r="R62" s="23"/>
      <c r="S62" s="23"/>
      <c r="T62" s="23"/>
      <c r="U62" s="23"/>
      <c r="V62" s="19">
        <f>IF(B62="","",K62+SUM(M62:R62))</f>
        <v>1065.8666666666668</v>
      </c>
      <c r="W62" s="44">
        <f>IF(J62="","",+V62/H62)</f>
        <v>3.1722222222222225</v>
      </c>
      <c r="Y62" s="54"/>
      <c r="Z62" s="56"/>
      <c r="AB62" s="2"/>
      <c r="AC62" s="2"/>
      <c r="AD62" s="63" t="str">
        <f t="shared" si="6"/>
        <v/>
      </c>
    </row>
    <row r="63" spans="1:30" ht="15.75">
      <c r="A63" s="29" t="s">
        <v>178</v>
      </c>
      <c r="B63" s="3" t="s">
        <v>179</v>
      </c>
      <c r="C63" s="9" t="s">
        <v>176</v>
      </c>
      <c r="D63" s="3" t="s">
        <v>177</v>
      </c>
      <c r="E63" s="3" t="str">
        <f t="shared" si="15"/>
        <v>Direct</v>
      </c>
      <c r="F63" s="10" t="s">
        <v>128</v>
      </c>
      <c r="G63" s="1">
        <v>10</v>
      </c>
      <c r="H63" s="27">
        <f>G63*24</f>
        <v>240</v>
      </c>
      <c r="I63" s="82" t="b">
        <v>1</v>
      </c>
      <c r="J63" s="46">
        <f>IF(H63="","",+K63/H63)</f>
        <v>2.8</v>
      </c>
      <c r="K63" s="48">
        <v>672</v>
      </c>
      <c r="L63" s="137">
        <v>0</v>
      </c>
      <c r="M63" s="22">
        <f>560*(10/(10+14))</f>
        <v>233.33333333333334</v>
      </c>
      <c r="N63" s="22"/>
      <c r="O63" s="22"/>
      <c r="P63" s="22"/>
      <c r="Q63" s="23"/>
      <c r="R63" s="23"/>
      <c r="S63" s="23"/>
      <c r="T63" s="23"/>
      <c r="U63" s="23"/>
      <c r="V63" s="19">
        <f>IF(B63="","",K63+SUM(M63:R63))</f>
        <v>905.33333333333337</v>
      </c>
      <c r="W63" s="44">
        <f>IF(J63="","",+V63/H63)</f>
        <v>3.7722222222222226</v>
      </c>
      <c r="Y63" s="54"/>
      <c r="Z63" s="56"/>
      <c r="AB63" s="2"/>
      <c r="AC63" s="2"/>
      <c r="AD63" s="63" t="str">
        <f t="shared" si="6"/>
        <v/>
      </c>
    </row>
    <row r="64" spans="1:30" ht="15.75">
      <c r="A64" s="29" t="s">
        <v>180</v>
      </c>
      <c r="B64" s="3" t="s">
        <v>103</v>
      </c>
      <c r="C64" s="9" t="s">
        <v>62</v>
      </c>
      <c r="D64" s="3" t="s">
        <v>177</v>
      </c>
      <c r="E64" s="3" t="str">
        <f t="shared" si="15"/>
        <v>Direct</v>
      </c>
      <c r="F64" s="3" t="s">
        <v>31</v>
      </c>
      <c r="G64" s="1">
        <v>112</v>
      </c>
      <c r="H64" s="27">
        <f>G64*210</f>
        <v>23520</v>
      </c>
      <c r="I64" s="82" t="b">
        <v>1</v>
      </c>
      <c r="J64" s="46">
        <f>IF(H64="","",+K64/H64)</f>
        <v>1.35</v>
      </c>
      <c r="K64" s="48">
        <v>31752</v>
      </c>
      <c r="L64" s="137">
        <v>0</v>
      </c>
      <c r="M64" s="22">
        <v>2028.25</v>
      </c>
      <c r="N64" s="22">
        <v>90</v>
      </c>
      <c r="O64" s="22">
        <f>355+653</f>
        <v>1008</v>
      </c>
      <c r="P64" s="22"/>
      <c r="Q64" s="23"/>
      <c r="R64" s="23"/>
      <c r="S64" s="23"/>
      <c r="T64" s="23"/>
      <c r="U64" s="23"/>
      <c r="V64" s="19">
        <f>IF(B64="","",K64+SUM(L64:R64))</f>
        <v>34878.25</v>
      </c>
      <c r="W64" s="44">
        <f>IF(J64="","",+V64/H64)</f>
        <v>1.4829187925170069</v>
      </c>
      <c r="Y64" s="54"/>
      <c r="Z64" s="56"/>
      <c r="AB64" s="2"/>
      <c r="AC64" s="2"/>
      <c r="AD64" s="63" t="str">
        <f t="shared" si="6"/>
        <v/>
      </c>
    </row>
    <row r="65" spans="1:30" ht="15.75">
      <c r="A65" s="29" t="s">
        <v>181</v>
      </c>
      <c r="B65" s="3" t="s">
        <v>143</v>
      </c>
      <c r="C65" s="9" t="s">
        <v>119</v>
      </c>
      <c r="D65" s="3" t="s">
        <v>144</v>
      </c>
      <c r="E65" s="3" t="str">
        <f t="shared" si="15"/>
        <v>Direct</v>
      </c>
      <c r="F65" s="10" t="s">
        <v>121</v>
      </c>
      <c r="G65" s="1">
        <v>110</v>
      </c>
      <c r="H65" s="27">
        <v>1100</v>
      </c>
      <c r="I65" s="82" t="b">
        <v>1</v>
      </c>
      <c r="J65" s="46">
        <f t="shared" si="10"/>
        <v>1.085</v>
      </c>
      <c r="K65" s="48">
        <v>1193.5</v>
      </c>
      <c r="L65" s="137">
        <v>0</v>
      </c>
      <c r="M65" s="22">
        <v>485</v>
      </c>
      <c r="N65" s="22"/>
      <c r="O65" s="22"/>
      <c r="P65" s="22"/>
      <c r="Q65" s="23"/>
      <c r="R65" s="23"/>
      <c r="S65" s="23"/>
      <c r="T65" s="23"/>
      <c r="U65" s="23"/>
      <c r="V65" s="19">
        <f>IF(B65="","",K65+SUM(M65:R65))</f>
        <v>1678.5</v>
      </c>
      <c r="W65" s="44">
        <f t="shared" si="11"/>
        <v>1.5259090909090909</v>
      </c>
      <c r="Y65" s="54"/>
      <c r="Z65" s="56"/>
      <c r="AB65" s="2"/>
      <c r="AC65" s="2"/>
      <c r="AD65" s="63" t="str">
        <f t="shared" si="6"/>
        <v/>
      </c>
    </row>
    <row r="66" spans="1:30" ht="15.75">
      <c r="A66" s="29" t="s">
        <v>182</v>
      </c>
      <c r="B66" s="3" t="s">
        <v>183</v>
      </c>
      <c r="C66" s="3" t="s">
        <v>119</v>
      </c>
      <c r="D66" s="13" t="s">
        <v>184</v>
      </c>
      <c r="E66" s="3" t="str">
        <f t="shared" si="15"/>
        <v>Direct</v>
      </c>
      <c r="F66" s="3" t="s">
        <v>121</v>
      </c>
      <c r="G66" s="3">
        <v>4</v>
      </c>
      <c r="H66" s="28">
        <v>840</v>
      </c>
      <c r="I66" s="82" t="b">
        <v>1</v>
      </c>
      <c r="J66" s="46">
        <f t="shared" si="10"/>
        <v>2.1</v>
      </c>
      <c r="K66" s="48">
        <v>1764</v>
      </c>
      <c r="L66" s="137">
        <v>0</v>
      </c>
      <c r="M66" s="22">
        <v>342.43</v>
      </c>
      <c r="N66" s="22"/>
      <c r="O66" s="22"/>
      <c r="P66" s="22"/>
      <c r="Q66" s="23"/>
      <c r="R66" s="23"/>
      <c r="S66" s="23"/>
      <c r="T66" s="23"/>
      <c r="U66" s="23"/>
      <c r="V66" s="19">
        <f>IF(B66="","",K66+SUM(M66:R66))</f>
        <v>2106.4299999999998</v>
      </c>
      <c r="W66" s="44">
        <f t="shared" si="11"/>
        <v>2.5076547619047616</v>
      </c>
      <c r="Y66" s="54"/>
      <c r="Z66" s="56"/>
      <c r="AB66" s="2"/>
      <c r="AC66" s="2"/>
      <c r="AD66" s="63" t="str">
        <f t="shared" si="6"/>
        <v/>
      </c>
    </row>
    <row r="67" spans="1:30" s="98" customFormat="1" ht="15.75">
      <c r="A67" s="84" t="s">
        <v>185</v>
      </c>
      <c r="B67" s="85" t="s">
        <v>186</v>
      </c>
      <c r="C67" s="86" t="s">
        <v>29</v>
      </c>
      <c r="D67" s="87" t="s">
        <v>97</v>
      </c>
      <c r="E67" s="85" t="str">
        <f t="shared" si="15"/>
        <v>Direct</v>
      </c>
      <c r="F67" s="88" t="s">
        <v>46</v>
      </c>
      <c r="G67" s="89">
        <v>80</v>
      </c>
      <c r="H67" s="90">
        <f>G67*215</f>
        <v>17200</v>
      </c>
      <c r="J67" s="92"/>
      <c r="K67" s="93"/>
      <c r="L67" s="139"/>
      <c r="M67" s="94"/>
      <c r="N67" s="94"/>
      <c r="O67" s="94"/>
      <c r="P67" s="94"/>
      <c r="Q67" s="95"/>
      <c r="R67" s="95"/>
      <c r="S67" s="95"/>
      <c r="T67" s="95"/>
      <c r="U67" s="95"/>
      <c r="V67" s="96"/>
      <c r="W67" s="97" t="str">
        <f t="shared" si="11"/>
        <v/>
      </c>
      <c r="Y67" s="99"/>
      <c r="Z67" s="100"/>
      <c r="AB67" s="101"/>
      <c r="AC67" s="101"/>
      <c r="AD67" s="102" t="str">
        <f t="shared" si="6"/>
        <v/>
      </c>
    </row>
    <row r="68" spans="1:30" ht="15.75">
      <c r="A68" s="29" t="s">
        <v>187</v>
      </c>
      <c r="B68" s="3" t="s">
        <v>186</v>
      </c>
      <c r="C68" s="9" t="s">
        <v>29</v>
      </c>
      <c r="D68" s="3" t="s">
        <v>188</v>
      </c>
      <c r="E68" s="3" t="str">
        <f t="shared" si="15"/>
        <v>Direct</v>
      </c>
      <c r="F68" s="3" t="s">
        <v>46</v>
      </c>
      <c r="G68" s="3">
        <v>80</v>
      </c>
      <c r="H68" s="28">
        <v>17200</v>
      </c>
      <c r="I68" s="82" t="b">
        <v>1</v>
      </c>
      <c r="J68" s="46">
        <f t="shared" si="10"/>
        <v>0.94934398419549493</v>
      </c>
      <c r="K68" s="48">
        <f>17684/1.083</f>
        <v>16328.716528162513</v>
      </c>
      <c r="L68" s="137">
        <v>0</v>
      </c>
      <c r="M68" s="22">
        <v>1345</v>
      </c>
      <c r="N68" s="22">
        <f>90+22</f>
        <v>112</v>
      </c>
      <c r="O68" s="22"/>
      <c r="P68" s="22"/>
      <c r="Q68" s="23"/>
      <c r="R68" s="23"/>
      <c r="S68" s="23"/>
      <c r="T68" s="23"/>
      <c r="U68" s="23"/>
      <c r="V68" s="19">
        <f t="shared" si="14"/>
        <v>17785.716528162513</v>
      </c>
      <c r="W68" s="44">
        <f t="shared" si="11"/>
        <v>1.0340532865210763</v>
      </c>
      <c r="Y68" s="54"/>
      <c r="Z68" s="56"/>
      <c r="AB68" s="2"/>
      <c r="AC68" s="2"/>
      <c r="AD68" s="63" t="str">
        <f t="shared" si="6"/>
        <v/>
      </c>
    </row>
    <row r="69" spans="1:30" ht="15.75">
      <c r="A69" s="29" t="s">
        <v>189</v>
      </c>
      <c r="B69" s="3" t="s">
        <v>186</v>
      </c>
      <c r="C69" s="9" t="s">
        <v>29</v>
      </c>
      <c r="D69" s="3" t="s">
        <v>188</v>
      </c>
      <c r="E69" s="3" t="str">
        <f t="shared" si="15"/>
        <v>Direct</v>
      </c>
      <c r="F69" s="3" t="s">
        <v>46</v>
      </c>
      <c r="G69" s="3">
        <v>80</v>
      </c>
      <c r="H69" s="28">
        <v>17200</v>
      </c>
      <c r="I69" s="82" t="b">
        <v>1</v>
      </c>
      <c r="J69" s="46">
        <f t="shared" si="10"/>
        <v>0.91080641145154873</v>
      </c>
      <c r="K69" s="48">
        <f>17704/1.1301</f>
        <v>15665.870276966638</v>
      </c>
      <c r="L69" s="137">
        <v>0</v>
      </c>
      <c r="M69" s="22">
        <v>1395</v>
      </c>
      <c r="N69" s="22"/>
      <c r="O69" s="22"/>
      <c r="P69" s="22"/>
      <c r="Q69" s="23"/>
      <c r="R69" s="23"/>
      <c r="S69" s="23"/>
      <c r="T69" s="23"/>
      <c r="U69" s="23"/>
      <c r="V69" s="19">
        <f t="shared" si="14"/>
        <v>17060.870276966638</v>
      </c>
      <c r="W69" s="44">
        <f t="shared" si="11"/>
        <v>0.99191106261433937</v>
      </c>
      <c r="Y69" s="54"/>
      <c r="Z69" s="56"/>
      <c r="AB69" s="2"/>
      <c r="AC69" s="2"/>
      <c r="AD69" s="63" t="str">
        <f t="shared" si="6"/>
        <v/>
      </c>
    </row>
    <row r="70" spans="1:30" ht="15.75">
      <c r="A70" s="29" t="s">
        <v>190</v>
      </c>
      <c r="B70" s="3" t="s">
        <v>93</v>
      </c>
      <c r="C70" s="3" t="s">
        <v>90</v>
      </c>
      <c r="D70" s="3" t="s">
        <v>104</v>
      </c>
      <c r="E70" s="3" t="str">
        <f t="shared" si="15"/>
        <v>Direct</v>
      </c>
      <c r="F70" s="3" t="s">
        <v>46</v>
      </c>
      <c r="G70" s="3">
        <f>7*128</f>
        <v>896</v>
      </c>
      <c r="H70" s="28">
        <f>G70*205</f>
        <v>183680</v>
      </c>
      <c r="I70" s="82" t="b">
        <v>1</v>
      </c>
      <c r="J70" s="46">
        <f t="shared" si="10"/>
        <v>0.61366550650302254</v>
      </c>
      <c r="K70" s="48">
        <f>123065.6/1.0918</f>
        <v>112718.08023447517</v>
      </c>
      <c r="L70" s="137">
        <v>0</v>
      </c>
      <c r="M70" s="22"/>
      <c r="N70" s="22"/>
      <c r="O70" s="22"/>
      <c r="P70" s="22"/>
      <c r="Q70" s="23"/>
      <c r="R70" s="23"/>
      <c r="S70" s="23"/>
      <c r="T70" s="23"/>
      <c r="U70" s="23"/>
      <c r="V70" s="19">
        <f t="shared" si="14"/>
        <v>112718.08023447517</v>
      </c>
      <c r="W70" s="44">
        <f t="shared" si="11"/>
        <v>0.61366550650302254</v>
      </c>
      <c r="Y70" s="54"/>
      <c r="Z70" s="56"/>
      <c r="AB70" s="2"/>
      <c r="AC70" s="2"/>
      <c r="AD70" s="63" t="str">
        <f t="shared" si="6"/>
        <v/>
      </c>
    </row>
    <row r="71" spans="1:30" ht="15.75">
      <c r="A71" s="29" t="s">
        <v>191</v>
      </c>
      <c r="B71" s="3" t="s">
        <v>93</v>
      </c>
      <c r="C71" s="3" t="s">
        <v>90</v>
      </c>
      <c r="D71" s="3" t="s">
        <v>104</v>
      </c>
      <c r="E71" s="3" t="str">
        <f t="shared" si="15"/>
        <v>Direct</v>
      </c>
      <c r="F71" s="3" t="s">
        <v>46</v>
      </c>
      <c r="G71" s="3">
        <f>14*128</f>
        <v>1792</v>
      </c>
      <c r="H71" s="28">
        <f>G71*205</f>
        <v>367360</v>
      </c>
      <c r="I71" s="82" t="b">
        <v>1</v>
      </c>
      <c r="J71" s="46">
        <f t="shared" si="10"/>
        <v>0.60327750765352062</v>
      </c>
      <c r="K71" s="48">
        <f>(123065.6/1.1106)+(123065.6/1.1106)</f>
        <v>221620.02521159733</v>
      </c>
      <c r="L71" s="137">
        <v>0</v>
      </c>
      <c r="M71" s="22"/>
      <c r="N71" s="22"/>
      <c r="O71" s="22"/>
      <c r="P71" s="22"/>
      <c r="Q71" s="23"/>
      <c r="R71" s="23"/>
      <c r="S71" s="23"/>
      <c r="T71" s="23"/>
      <c r="U71" s="23"/>
      <c r="V71" s="19">
        <f t="shared" si="14"/>
        <v>221620.02521159733</v>
      </c>
      <c r="W71" s="44">
        <f t="shared" si="11"/>
        <v>0.60327750765352062</v>
      </c>
      <c r="Y71" s="54"/>
      <c r="Z71" s="56"/>
      <c r="AB71" s="2"/>
      <c r="AC71" s="2"/>
      <c r="AD71" s="63" t="str">
        <f t="shared" si="6"/>
        <v/>
      </c>
    </row>
    <row r="72" spans="1:30" ht="15.75">
      <c r="A72" s="29" t="s">
        <v>192</v>
      </c>
      <c r="B72" s="3" t="s">
        <v>193</v>
      </c>
      <c r="C72" s="3" t="s">
        <v>34</v>
      </c>
      <c r="D72" s="3" t="s">
        <v>194</v>
      </c>
      <c r="E72" s="3" t="str">
        <f t="shared" si="15"/>
        <v>Direct</v>
      </c>
      <c r="F72" s="3" t="s">
        <v>36</v>
      </c>
      <c r="G72" s="3">
        <v>1</v>
      </c>
      <c r="H72" s="28">
        <v>20</v>
      </c>
      <c r="I72" s="82" t="b">
        <v>1</v>
      </c>
      <c r="J72" s="46">
        <f t="shared" si="10"/>
        <v>2.68</v>
      </c>
      <c r="K72" s="48">
        <v>53.6</v>
      </c>
      <c r="L72" s="137">
        <v>0</v>
      </c>
      <c r="M72" s="22">
        <v>225</v>
      </c>
      <c r="N72" s="22"/>
      <c r="O72" s="22"/>
      <c r="P72" s="22"/>
      <c r="Q72" s="23"/>
      <c r="R72" s="23"/>
      <c r="S72" s="23"/>
      <c r="T72" s="23"/>
      <c r="U72" s="23"/>
      <c r="V72" s="19">
        <f t="shared" ref="V72:V78" si="16">IF(B72="","",K72+SUM(M72:R72))</f>
        <v>278.60000000000002</v>
      </c>
      <c r="W72" s="44">
        <f t="shared" si="11"/>
        <v>13.930000000000001</v>
      </c>
      <c r="Y72" s="54"/>
      <c r="Z72" s="56"/>
      <c r="AB72" s="2"/>
      <c r="AC72" s="2"/>
      <c r="AD72" s="63" t="str">
        <f t="shared" ref="AD72:AD135" si="17">IF(AC72&gt;0,((AC72)*W72),"")</f>
        <v/>
      </c>
    </row>
    <row r="73" spans="1:30" ht="15.75">
      <c r="A73" s="29" t="s">
        <v>195</v>
      </c>
      <c r="B73" s="3" t="s">
        <v>196</v>
      </c>
      <c r="C73" s="9" t="s">
        <v>176</v>
      </c>
      <c r="D73" s="3" t="s">
        <v>197</v>
      </c>
      <c r="E73" s="3" t="str">
        <f t="shared" si="15"/>
        <v>Direct</v>
      </c>
      <c r="F73" s="10" t="s">
        <v>128</v>
      </c>
      <c r="G73" s="14">
        <v>96</v>
      </c>
      <c r="H73" s="81">
        <f>G73*24</f>
        <v>2304</v>
      </c>
      <c r="I73" s="82" t="b">
        <v>1</v>
      </c>
      <c r="J73" s="46">
        <f t="shared" si="10"/>
        <v>2.0999999999999996</v>
      </c>
      <c r="K73" s="48">
        <v>4838.3999999999996</v>
      </c>
      <c r="L73" s="137">
        <v>0</v>
      </c>
      <c r="M73" s="22">
        <f>2*520</f>
        <v>1040</v>
      </c>
      <c r="N73" s="22"/>
      <c r="O73" s="22"/>
      <c r="P73" s="22"/>
      <c r="Q73" s="23"/>
      <c r="R73" s="23"/>
      <c r="S73" s="23"/>
      <c r="T73" s="23"/>
      <c r="U73" s="23"/>
      <c r="V73" s="19">
        <f t="shared" si="16"/>
        <v>5878.4</v>
      </c>
      <c r="W73" s="44">
        <f t="shared" si="11"/>
        <v>2.5513888888888889</v>
      </c>
      <c r="Y73" s="54"/>
      <c r="Z73" s="56"/>
      <c r="AB73" s="2"/>
      <c r="AC73" s="2"/>
      <c r="AD73" s="63" t="str">
        <f t="shared" si="17"/>
        <v/>
      </c>
    </row>
    <row r="74" spans="1:30" ht="15.75">
      <c r="A74" s="29" t="s">
        <v>198</v>
      </c>
      <c r="B74" s="3" t="s">
        <v>132</v>
      </c>
      <c r="C74" s="3" t="s">
        <v>133</v>
      </c>
      <c r="D74" s="13" t="s">
        <v>134</v>
      </c>
      <c r="E74" s="3" t="str">
        <f t="shared" si="15"/>
        <v>Direct</v>
      </c>
      <c r="F74" s="3" t="s">
        <v>121</v>
      </c>
      <c r="G74" s="65">
        <v>32</v>
      </c>
      <c r="H74" s="53">
        <f>G74*220</f>
        <v>7040</v>
      </c>
      <c r="I74" s="82" t="b">
        <v>1</v>
      </c>
      <c r="J74" s="46">
        <f t="shared" si="10"/>
        <v>1.45</v>
      </c>
      <c r="K74" s="48">
        <v>10208</v>
      </c>
      <c r="L74" s="137">
        <v>0</v>
      </c>
      <c r="M74" s="22">
        <f>950*(32/52)</f>
        <v>584.61538461538464</v>
      </c>
      <c r="N74" s="22"/>
      <c r="O74" s="22"/>
      <c r="P74" s="22"/>
      <c r="Q74" s="23"/>
      <c r="R74" s="23"/>
      <c r="S74" s="23"/>
      <c r="T74" s="23"/>
      <c r="U74" s="23"/>
      <c r="V74" s="19">
        <f t="shared" si="16"/>
        <v>10792.615384615385</v>
      </c>
      <c r="W74" s="44">
        <f t="shared" si="11"/>
        <v>1.5330419580419581</v>
      </c>
      <c r="Y74" s="54"/>
      <c r="Z74" s="56"/>
      <c r="AB74" s="2"/>
      <c r="AC74" s="2"/>
      <c r="AD74" s="63" t="str">
        <f t="shared" si="17"/>
        <v/>
      </c>
    </row>
    <row r="75" spans="1:30" ht="15.75">
      <c r="A75" s="29" t="s">
        <v>199</v>
      </c>
      <c r="B75" s="3" t="s">
        <v>136</v>
      </c>
      <c r="C75" s="3" t="s">
        <v>133</v>
      </c>
      <c r="D75" s="13" t="s">
        <v>134</v>
      </c>
      <c r="E75" s="3" t="str">
        <f t="shared" si="15"/>
        <v>Direct</v>
      </c>
      <c r="F75" s="3" t="s">
        <v>121</v>
      </c>
      <c r="G75" s="65">
        <v>20</v>
      </c>
      <c r="H75" s="53">
        <f>G75*220</f>
        <v>4400</v>
      </c>
      <c r="I75" s="82" t="b">
        <v>1</v>
      </c>
      <c r="J75" s="46">
        <f t="shared" si="10"/>
        <v>1.24</v>
      </c>
      <c r="K75" s="48">
        <v>5456</v>
      </c>
      <c r="L75" s="137">
        <v>0</v>
      </c>
      <c r="M75" s="22">
        <f>950*(20/52)</f>
        <v>365.38461538461542</v>
      </c>
      <c r="N75" s="22"/>
      <c r="O75" s="22"/>
      <c r="P75" s="22"/>
      <c r="Q75" s="23"/>
      <c r="R75" s="23"/>
      <c r="S75" s="23"/>
      <c r="T75" s="23"/>
      <c r="U75" s="23"/>
      <c r="V75" s="19">
        <f t="shared" si="16"/>
        <v>5821.3846153846152</v>
      </c>
      <c r="W75" s="44">
        <f t="shared" si="11"/>
        <v>1.3230419580419579</v>
      </c>
      <c r="Y75" s="54"/>
      <c r="Z75" s="56"/>
      <c r="AB75" s="2"/>
      <c r="AC75" s="2"/>
      <c r="AD75" s="63" t="str">
        <f t="shared" si="17"/>
        <v/>
      </c>
    </row>
    <row r="76" spans="1:30" ht="15.75">
      <c r="A76" s="29" t="s">
        <v>200</v>
      </c>
      <c r="B76" s="3" t="s">
        <v>143</v>
      </c>
      <c r="C76" s="9" t="s">
        <v>119</v>
      </c>
      <c r="D76" s="3" t="s">
        <v>144</v>
      </c>
      <c r="E76" s="3" t="str">
        <f t="shared" si="15"/>
        <v>Direct</v>
      </c>
      <c r="F76" s="10" t="s">
        <v>121</v>
      </c>
      <c r="G76" s="1">
        <v>110</v>
      </c>
      <c r="H76" s="27">
        <v>1100</v>
      </c>
      <c r="I76" s="82" t="b">
        <v>1</v>
      </c>
      <c r="J76" s="46">
        <f t="shared" si="10"/>
        <v>1.085</v>
      </c>
      <c r="K76" s="48">
        <v>1193.5</v>
      </c>
      <c r="L76" s="137">
        <v>0</v>
      </c>
      <c r="M76" s="22">
        <v>485</v>
      </c>
      <c r="N76" s="22"/>
      <c r="O76" s="22"/>
      <c r="P76" s="22"/>
      <c r="Q76" s="23"/>
      <c r="R76" s="23"/>
      <c r="S76" s="23"/>
      <c r="T76" s="23"/>
      <c r="U76" s="23"/>
      <c r="V76" s="19">
        <f t="shared" si="16"/>
        <v>1678.5</v>
      </c>
      <c r="W76" s="44">
        <f t="shared" si="11"/>
        <v>1.5259090909090909</v>
      </c>
      <c r="Y76" s="54"/>
      <c r="Z76" s="56"/>
      <c r="AB76" s="2"/>
      <c r="AC76" s="2"/>
      <c r="AD76" s="63" t="str">
        <f t="shared" si="17"/>
        <v/>
      </c>
    </row>
    <row r="77" spans="1:30" ht="15.75">
      <c r="A77" s="29" t="s">
        <v>201</v>
      </c>
      <c r="B77" s="3" t="s">
        <v>193</v>
      </c>
      <c r="C77" s="3" t="s">
        <v>34</v>
      </c>
      <c r="D77" s="3" t="s">
        <v>194</v>
      </c>
      <c r="E77" s="3" t="str">
        <f>IF(B77="","",IF(D77="Godfroy","Godfroy",(IF(LEFT(B77,1)="1","Hiwa","Direct"))))</f>
        <v>Direct</v>
      </c>
      <c r="F77" s="3" t="s">
        <v>36</v>
      </c>
      <c r="G77" s="3">
        <v>1</v>
      </c>
      <c r="H77" s="28">
        <v>20</v>
      </c>
      <c r="I77" s="82" t="b">
        <v>1</v>
      </c>
      <c r="J77" s="46">
        <f t="shared" si="10"/>
        <v>2.68</v>
      </c>
      <c r="K77" s="48">
        <v>53.6</v>
      </c>
      <c r="L77" s="137">
        <v>0</v>
      </c>
      <c r="M77" s="22">
        <v>46</v>
      </c>
      <c r="N77" s="22"/>
      <c r="O77" s="22"/>
      <c r="P77" s="22"/>
      <c r="Q77" s="23"/>
      <c r="R77" s="23"/>
      <c r="S77" s="23"/>
      <c r="T77" s="23"/>
      <c r="U77" s="23"/>
      <c r="V77" s="19">
        <f t="shared" si="16"/>
        <v>99.6</v>
      </c>
      <c r="W77" s="44">
        <f t="shared" si="11"/>
        <v>4.9799999999999995</v>
      </c>
      <c r="Y77" s="54"/>
      <c r="Z77" s="56"/>
      <c r="AB77" s="2"/>
      <c r="AC77" s="2"/>
      <c r="AD77" s="63" t="str">
        <f t="shared" si="17"/>
        <v/>
      </c>
    </row>
    <row r="78" spans="1:30" ht="15.75">
      <c r="A78" s="29" t="s">
        <v>202</v>
      </c>
      <c r="B78" s="3" t="s">
        <v>153</v>
      </c>
      <c r="C78" s="3" t="s">
        <v>126</v>
      </c>
      <c r="D78" s="3" t="s">
        <v>127</v>
      </c>
      <c r="E78" s="3" t="str">
        <f>IF(B78="","",IF(D78="Godfroy","Godfroy",(IF(LEFT(B78,1)="1","Hiwa","Direct"))))</f>
        <v>Direct</v>
      </c>
      <c r="F78" s="3" t="s">
        <v>128</v>
      </c>
      <c r="G78" s="3">
        <v>4</v>
      </c>
      <c r="H78" s="28">
        <v>880</v>
      </c>
      <c r="I78" s="82" t="b">
        <v>1</v>
      </c>
      <c r="J78" s="46">
        <f t="shared" si="10"/>
        <v>0.95</v>
      </c>
      <c r="K78" s="48">
        <v>836</v>
      </c>
      <c r="L78" s="137">
        <v>0</v>
      </c>
      <c r="M78" s="22">
        <f>181*1.09</f>
        <v>197.29000000000002</v>
      </c>
      <c r="N78" s="22"/>
      <c r="O78" s="22"/>
      <c r="P78" s="22"/>
      <c r="Q78" s="23"/>
      <c r="R78" s="23"/>
      <c r="S78" s="23"/>
      <c r="T78" s="23"/>
      <c r="U78" s="23"/>
      <c r="V78" s="19">
        <f t="shared" si="16"/>
        <v>1033.29</v>
      </c>
      <c r="W78" s="44">
        <f t="shared" si="11"/>
        <v>1.1741931818181819</v>
      </c>
      <c r="Y78" s="54"/>
      <c r="Z78" s="56"/>
      <c r="AB78" s="2"/>
      <c r="AC78" s="2"/>
      <c r="AD78" s="63" t="str">
        <f t="shared" si="17"/>
        <v/>
      </c>
    </row>
    <row r="79" spans="1:30" ht="15.75">
      <c r="A79" s="29" t="s">
        <v>203</v>
      </c>
      <c r="B79" s="3" t="s">
        <v>123</v>
      </c>
      <c r="C79" s="9" t="s">
        <v>52</v>
      </c>
      <c r="D79" s="13" t="s">
        <v>30</v>
      </c>
      <c r="E79" s="3" t="str">
        <f t="shared" ref="E79:E88" si="18">IF(B79="","",IF(D79="Godfroy","Godfroy",(IF(LEFT(B79,1)="1","Hiwa","Direct"))))</f>
        <v>Hiwa</v>
      </c>
      <c r="F79" s="3" t="s">
        <v>46</v>
      </c>
      <c r="G79" s="1">
        <v>80</v>
      </c>
      <c r="H79" s="27">
        <f>G79*220</f>
        <v>17600</v>
      </c>
      <c r="I79" s="82" t="b">
        <v>1</v>
      </c>
      <c r="J79" s="46">
        <f t="shared" si="10"/>
        <v>3.4185757414313618</v>
      </c>
      <c r="K79" s="83">
        <f>67760/1.1262</f>
        <v>60166.933049191968</v>
      </c>
      <c r="L79" s="137">
        <f>1930/1.1262</f>
        <v>1713.7275794707866</v>
      </c>
      <c r="M79" s="22"/>
      <c r="N79" s="22">
        <f>34.69+63.45</f>
        <v>98.14</v>
      </c>
      <c r="O79" s="22">
        <f>195+75</f>
        <v>270</v>
      </c>
      <c r="P79" s="22">
        <v>1123.24</v>
      </c>
      <c r="Q79" s="23">
        <f>98.44</f>
        <v>98.44</v>
      </c>
      <c r="R79" s="23"/>
      <c r="S79" s="23">
        <v>57.04</v>
      </c>
      <c r="T79" s="23"/>
      <c r="U79" s="23"/>
      <c r="V79" s="19">
        <f t="shared" si="14"/>
        <v>63470.480628662757</v>
      </c>
      <c r="W79" s="44">
        <f t="shared" si="11"/>
        <v>3.6062773084467477</v>
      </c>
      <c r="Y79" s="54">
        <v>375583</v>
      </c>
      <c r="Z79" s="72">
        <v>45845</v>
      </c>
      <c r="AB79" s="2"/>
      <c r="AC79" s="2"/>
      <c r="AD79" s="63" t="str">
        <f t="shared" si="17"/>
        <v/>
      </c>
    </row>
    <row r="80" spans="1:30" ht="15.75">
      <c r="A80" s="29" t="s">
        <v>204</v>
      </c>
      <c r="B80" s="3" t="s">
        <v>89</v>
      </c>
      <c r="C80" s="9" t="s">
        <v>90</v>
      </c>
      <c r="D80" s="3" t="s">
        <v>30</v>
      </c>
      <c r="E80" s="3" t="str">
        <f t="shared" si="18"/>
        <v>Hiwa</v>
      </c>
      <c r="F80" s="10" t="s">
        <v>59</v>
      </c>
      <c r="G80" s="1">
        <v>512</v>
      </c>
      <c r="H80" s="27">
        <f t="shared" ref="H80:H81" si="19">G80*205</f>
        <v>104960</v>
      </c>
      <c r="I80" s="82" t="b">
        <v>1</v>
      </c>
      <c r="J80" s="46">
        <f t="shared" si="10"/>
        <v>0.62945478107932984</v>
      </c>
      <c r="K80" s="83">
        <f>71372.8/1.0803</f>
        <v>66067.573822086459</v>
      </c>
      <c r="L80" s="137">
        <f>6184/1.1324</f>
        <v>5460.9678558813139</v>
      </c>
      <c r="M80" s="22"/>
      <c r="N80" s="22">
        <f>3*(1876.65+63.45)+(1892.23+63.45)</f>
        <v>7775.9800000000005</v>
      </c>
      <c r="O80" s="22">
        <f>680+100+300</f>
        <v>1080</v>
      </c>
      <c r="P80" s="22">
        <v>5026.6400000000003</v>
      </c>
      <c r="Q80" s="23">
        <f>125.31+125.31+125.31+27.41+125.31+125.31+51.89</f>
        <v>705.85</v>
      </c>
      <c r="R80" s="23">
        <f>4.66+4.66+4.66+4.66+1.88+4.55</f>
        <v>25.07</v>
      </c>
      <c r="S80" s="23">
        <f>(2*57.04)+57.04</f>
        <v>171.12</v>
      </c>
      <c r="T80" s="23"/>
      <c r="U80" s="23"/>
      <c r="V80" s="19">
        <f t="shared" si="14"/>
        <v>86142.08167796777</v>
      </c>
      <c r="W80" s="44">
        <f t="shared" si="11"/>
        <v>0.82071343062088198</v>
      </c>
      <c r="Y80" s="80" t="s">
        <v>205</v>
      </c>
      <c r="Z80" s="72">
        <v>45786</v>
      </c>
      <c r="AB80" s="2"/>
      <c r="AC80" s="2"/>
      <c r="AD80" s="63" t="str">
        <f t="shared" si="17"/>
        <v/>
      </c>
    </row>
    <row r="81" spans="1:30" ht="15.75">
      <c r="A81" s="29" t="s">
        <v>206</v>
      </c>
      <c r="B81" s="3" t="s">
        <v>89</v>
      </c>
      <c r="C81" s="9" t="s">
        <v>90</v>
      </c>
      <c r="D81" s="3" t="s">
        <v>30</v>
      </c>
      <c r="E81" s="3" t="str">
        <f t="shared" si="18"/>
        <v>Hiwa</v>
      </c>
      <c r="F81" s="10" t="s">
        <v>59</v>
      </c>
      <c r="G81" s="1">
        <v>511</v>
      </c>
      <c r="H81" s="27">
        <f t="shared" si="19"/>
        <v>104755</v>
      </c>
      <c r="I81" s="82" t="b">
        <v>1</v>
      </c>
      <c r="J81" s="46">
        <f t="shared" si="10"/>
        <v>0.61347985239550706</v>
      </c>
      <c r="K81" s="83">
        <f>71372.8/1.1106</f>
        <v>64265.081937691342</v>
      </c>
      <c r="L81" s="137">
        <f>6184/1.1214</f>
        <v>5514.5354021758521</v>
      </c>
      <c r="M81" s="17"/>
      <c r="N81" s="22">
        <f>(1892.23+1877.45+1892.23+(3*63.45))+93.02</f>
        <v>5945.2800000000007</v>
      </c>
      <c r="O81" s="22">
        <f>(4*250)-(4*55)</f>
        <v>780</v>
      </c>
      <c r="P81" s="22">
        <v>5051.3999999999996</v>
      </c>
      <c r="Q81" s="22">
        <f>67.55+57.76+67.55+67.55</f>
        <v>260.41000000000003</v>
      </c>
      <c r="R81" s="23">
        <f>4.55+4.55+4.55+4.55</f>
        <v>18.2</v>
      </c>
      <c r="S81" s="23">
        <f>(2*57.04)+57.04</f>
        <v>171.12</v>
      </c>
      <c r="T81" s="23"/>
      <c r="U81" s="23">
        <f>(75/2)</f>
        <v>37.5</v>
      </c>
      <c r="V81" s="19">
        <f t="shared" si="14"/>
        <v>81834.907339867204</v>
      </c>
      <c r="W81" s="44">
        <f t="shared" si="11"/>
        <v>0.78120287661560028</v>
      </c>
      <c r="Y81" s="80" t="s">
        <v>207</v>
      </c>
      <c r="Z81" s="72">
        <v>45810</v>
      </c>
      <c r="AB81" s="2"/>
      <c r="AC81" s="2"/>
      <c r="AD81" s="63" t="str">
        <f t="shared" si="17"/>
        <v/>
      </c>
    </row>
    <row r="82" spans="1:30" ht="15.75">
      <c r="A82" s="29" t="s">
        <v>208</v>
      </c>
      <c r="B82" s="3" t="s">
        <v>106</v>
      </c>
      <c r="C82" s="3" t="s">
        <v>62</v>
      </c>
      <c r="D82" s="3" t="s">
        <v>104</v>
      </c>
      <c r="E82" s="3" t="str">
        <f t="shared" si="18"/>
        <v>Direct</v>
      </c>
      <c r="F82" s="3" t="s">
        <v>31</v>
      </c>
      <c r="G82" s="3">
        <f>(4*112)+(2*114)</f>
        <v>676</v>
      </c>
      <c r="H82" s="28">
        <f>G82*210</f>
        <v>141960</v>
      </c>
      <c r="I82" s="82" t="b">
        <v>1</v>
      </c>
      <c r="J82" s="46">
        <f t="shared" si="10"/>
        <v>1.3399999999999999</v>
      </c>
      <c r="K82" s="83">
        <v>190226.4</v>
      </c>
      <c r="L82" s="137">
        <v>0</v>
      </c>
      <c r="M82" s="22"/>
      <c r="N82" s="22">
        <v>22</v>
      </c>
      <c r="O82" s="22"/>
      <c r="P82" s="22"/>
      <c r="Q82" s="23"/>
      <c r="R82" s="23"/>
      <c r="S82" s="23">
        <f>57.04+(57.04/2)+(57.04/2)</f>
        <v>114.08</v>
      </c>
      <c r="T82" s="23"/>
      <c r="U82" s="23"/>
      <c r="V82" s="19">
        <f t="shared" si="14"/>
        <v>190248.4</v>
      </c>
      <c r="W82" s="44">
        <f t="shared" si="11"/>
        <v>1.3401549732318963</v>
      </c>
      <c r="Y82" s="80" t="s">
        <v>209</v>
      </c>
      <c r="Z82" s="72">
        <v>45784</v>
      </c>
      <c r="AB82" s="2"/>
      <c r="AC82" s="2"/>
      <c r="AD82" s="63" t="str">
        <f t="shared" si="17"/>
        <v/>
      </c>
    </row>
    <row r="83" spans="1:30" ht="15.75">
      <c r="A83" s="29" t="s">
        <v>210</v>
      </c>
      <c r="B83" s="3" t="s">
        <v>93</v>
      </c>
      <c r="C83" s="3" t="s">
        <v>90</v>
      </c>
      <c r="D83" s="3" t="s">
        <v>112</v>
      </c>
      <c r="E83" s="3" t="str">
        <f t="shared" si="18"/>
        <v>Direct</v>
      </c>
      <c r="F83" s="3" t="s">
        <v>59</v>
      </c>
      <c r="G83" s="3">
        <v>112</v>
      </c>
      <c r="H83" s="28">
        <f>G83*205</f>
        <v>22960</v>
      </c>
      <c r="I83" s="82" t="b">
        <v>1</v>
      </c>
      <c r="J83" s="46">
        <f t="shared" si="10"/>
        <v>0.631402331331685</v>
      </c>
      <c r="K83" s="83">
        <f>16416.4/1.1324</f>
        <v>14496.997527375486</v>
      </c>
      <c r="L83" s="137">
        <f>1868/1.1376</f>
        <v>1642.0534458509144</v>
      </c>
      <c r="M83" s="106"/>
      <c r="N83" s="106"/>
      <c r="O83" s="106"/>
      <c r="P83" s="22"/>
      <c r="Q83" s="23"/>
      <c r="R83" s="23"/>
      <c r="S83" s="23"/>
      <c r="T83" s="23"/>
      <c r="U83" s="23"/>
      <c r="V83" s="19">
        <f t="shared" si="14"/>
        <v>16139.0509732264</v>
      </c>
      <c r="W83" s="44">
        <f t="shared" si="11"/>
        <v>0.70292033855515679</v>
      </c>
      <c r="Y83" s="54"/>
      <c r="Z83" s="56"/>
      <c r="AB83" s="2"/>
      <c r="AC83" s="2"/>
      <c r="AD83" s="63" t="str">
        <f t="shared" si="17"/>
        <v/>
      </c>
    </row>
    <row r="84" spans="1:30" ht="15.75">
      <c r="A84" s="29" t="s">
        <v>211</v>
      </c>
      <c r="B84" s="3" t="s">
        <v>93</v>
      </c>
      <c r="C84" s="3" t="s">
        <v>90</v>
      </c>
      <c r="D84" s="3" t="s">
        <v>112</v>
      </c>
      <c r="E84" s="3" t="str">
        <f t="shared" si="18"/>
        <v>Direct</v>
      </c>
      <c r="F84" s="3" t="s">
        <v>59</v>
      </c>
      <c r="G84" s="3">
        <v>112</v>
      </c>
      <c r="H84" s="28">
        <f>G84*205</f>
        <v>22960</v>
      </c>
      <c r="I84" s="82" t="b">
        <v>1</v>
      </c>
      <c r="J84" s="46">
        <f t="shared" si="10"/>
        <v>0.64379614622726455</v>
      </c>
      <c r="K84" s="83">
        <f>16416.4/1.1106</f>
        <v>14781.559517377995</v>
      </c>
      <c r="L84" s="137">
        <f>(1868+117)/1.1376</f>
        <v>1744.901547116737</v>
      </c>
      <c r="M84" s="22">
        <v>1621.25</v>
      </c>
      <c r="N84" s="22">
        <f>1787.96+35.76+96+6.5</f>
        <v>1926.22</v>
      </c>
      <c r="O84" s="22">
        <v>300</v>
      </c>
      <c r="P84" s="22"/>
      <c r="Q84" s="23"/>
      <c r="R84" s="23"/>
      <c r="S84" s="23"/>
      <c r="T84" s="23"/>
      <c r="U84" s="23"/>
      <c r="V84" s="19">
        <f t="shared" si="14"/>
        <v>20373.931064494733</v>
      </c>
      <c r="W84" s="44">
        <f t="shared" si="11"/>
        <v>0.88736633556161726</v>
      </c>
      <c r="Y84" s="54"/>
      <c r="Z84" s="56"/>
      <c r="AB84" s="2"/>
      <c r="AC84" s="2"/>
      <c r="AD84" s="63" t="str">
        <f t="shared" si="17"/>
        <v/>
      </c>
    </row>
    <row r="85" spans="1:30" ht="15.75">
      <c r="A85" s="29" t="s">
        <v>212</v>
      </c>
      <c r="B85" s="3" t="s">
        <v>143</v>
      </c>
      <c r="C85" s="9" t="s">
        <v>119</v>
      </c>
      <c r="D85" s="3" t="s">
        <v>144</v>
      </c>
      <c r="E85" s="3" t="str">
        <f t="shared" si="18"/>
        <v>Direct</v>
      </c>
      <c r="F85" s="10" t="s">
        <v>121</v>
      </c>
      <c r="G85" s="1">
        <v>110</v>
      </c>
      <c r="H85" s="27">
        <v>1100</v>
      </c>
      <c r="I85" s="82" t="b">
        <v>1</v>
      </c>
      <c r="J85" s="46">
        <f t="shared" si="10"/>
        <v>1.085</v>
      </c>
      <c r="K85" s="48">
        <v>1193.5</v>
      </c>
      <c r="L85" s="137">
        <v>0</v>
      </c>
      <c r="M85" s="22">
        <v>485</v>
      </c>
      <c r="N85" s="22"/>
      <c r="O85" s="22"/>
      <c r="P85" s="22"/>
      <c r="Q85" s="23"/>
      <c r="R85" s="23"/>
      <c r="S85" s="23"/>
      <c r="T85" s="23"/>
      <c r="U85" s="23"/>
      <c r="V85" s="19">
        <f>IF(B85="","",K85+SUM(M85:R85))</f>
        <v>1678.5</v>
      </c>
      <c r="W85" s="44">
        <f t="shared" si="11"/>
        <v>1.5259090909090909</v>
      </c>
      <c r="Y85" s="54"/>
      <c r="Z85" s="56"/>
      <c r="AB85" s="2"/>
      <c r="AC85" s="2"/>
      <c r="AD85" s="63" t="str">
        <f t="shared" si="17"/>
        <v/>
      </c>
    </row>
    <row r="86" spans="1:30" ht="15.75">
      <c r="A86" s="29" t="s">
        <v>213</v>
      </c>
      <c r="B86" s="3" t="s">
        <v>214</v>
      </c>
      <c r="C86" s="9" t="s">
        <v>119</v>
      </c>
      <c r="D86" s="3" t="s">
        <v>215</v>
      </c>
      <c r="E86" s="3" t="str">
        <f t="shared" si="18"/>
        <v>Direct</v>
      </c>
      <c r="F86" s="10" t="s">
        <v>121</v>
      </c>
      <c r="G86" s="1">
        <v>4</v>
      </c>
      <c r="H86" s="27">
        <f>+G86*200</f>
        <v>800</v>
      </c>
      <c r="I86" s="82" t="b">
        <v>1</v>
      </c>
      <c r="J86" s="46">
        <f t="shared" si="10"/>
        <v>1.73</v>
      </c>
      <c r="K86" s="48">
        <v>1384</v>
      </c>
      <c r="L86" s="137">
        <v>0</v>
      </c>
      <c r="M86" s="22">
        <v>250</v>
      </c>
      <c r="N86" s="22"/>
      <c r="O86" s="22"/>
      <c r="P86" s="22"/>
      <c r="Q86" s="23"/>
      <c r="R86" s="23"/>
      <c r="S86" s="23"/>
      <c r="T86" s="23"/>
      <c r="U86" s="23"/>
      <c r="V86" s="19">
        <f>IF(B86="","",K86+SUM(M86:R86))</f>
        <v>1634</v>
      </c>
      <c r="W86" s="44">
        <f t="shared" si="11"/>
        <v>2.0425</v>
      </c>
      <c r="Y86" s="54"/>
      <c r="Z86" s="56"/>
      <c r="AB86" s="2"/>
      <c r="AC86" s="2"/>
      <c r="AD86" s="63" t="str">
        <f t="shared" si="17"/>
        <v/>
      </c>
    </row>
    <row r="87" spans="1:30" ht="15.75">
      <c r="A87" s="29" t="s">
        <v>216</v>
      </c>
      <c r="B87" s="3" t="s">
        <v>217</v>
      </c>
      <c r="C87" s="9" t="s">
        <v>119</v>
      </c>
      <c r="D87" s="3" t="s">
        <v>215</v>
      </c>
      <c r="E87" s="3" t="str">
        <f t="shared" si="18"/>
        <v>Direct</v>
      </c>
      <c r="F87" s="10" t="s">
        <v>121</v>
      </c>
      <c r="G87" s="1">
        <v>7</v>
      </c>
      <c r="H87" s="27">
        <f>+G87*5</f>
        <v>35</v>
      </c>
      <c r="I87" s="82" t="b">
        <v>1</v>
      </c>
      <c r="J87" s="46">
        <f t="shared" si="10"/>
        <v>4.7</v>
      </c>
      <c r="K87" s="48">
        <v>164.5</v>
      </c>
      <c r="L87" s="137">
        <v>0</v>
      </c>
      <c r="M87" s="22">
        <v>10</v>
      </c>
      <c r="N87" s="22"/>
      <c r="O87" s="22"/>
      <c r="P87" s="22"/>
      <c r="Q87" s="23"/>
      <c r="R87" s="23"/>
      <c r="S87" s="23"/>
      <c r="T87" s="23"/>
      <c r="U87" s="23"/>
      <c r="V87" s="19">
        <f>IF(B87="","",K87+SUM(M87:R87))</f>
        <v>174.5</v>
      </c>
      <c r="W87" s="44">
        <f t="shared" si="11"/>
        <v>4.9857142857142858</v>
      </c>
      <c r="Y87" s="54"/>
      <c r="Z87" s="56"/>
      <c r="AB87" s="2"/>
      <c r="AC87" s="2"/>
      <c r="AD87" s="63" t="str">
        <f t="shared" si="17"/>
        <v/>
      </c>
    </row>
    <row r="88" spans="1:30" ht="15.75">
      <c r="A88" s="29" t="s">
        <v>218</v>
      </c>
      <c r="B88" s="3" t="s">
        <v>93</v>
      </c>
      <c r="C88" s="3" t="s">
        <v>90</v>
      </c>
      <c r="D88" s="3" t="s">
        <v>104</v>
      </c>
      <c r="E88" s="3" t="str">
        <f t="shared" si="18"/>
        <v>Direct</v>
      </c>
      <c r="F88" s="3" t="s">
        <v>46</v>
      </c>
      <c r="G88" s="3">
        <f>7*128</f>
        <v>896</v>
      </c>
      <c r="H88" s="28">
        <f>G88*205</f>
        <v>183680</v>
      </c>
      <c r="I88" s="82" t="b">
        <v>1</v>
      </c>
      <c r="J88" s="46">
        <f t="shared" si="10"/>
        <v>0.60595098127882796</v>
      </c>
      <c r="K88" s="48">
        <f>123065.6/1.1057</f>
        <v>111301.07624129512</v>
      </c>
      <c r="L88" s="137">
        <v>0</v>
      </c>
      <c r="M88" s="22"/>
      <c r="N88" s="22"/>
      <c r="O88" s="22"/>
      <c r="P88" s="22"/>
      <c r="Q88" s="23"/>
      <c r="R88" s="23"/>
      <c r="S88" s="23"/>
      <c r="T88" s="23"/>
      <c r="U88" s="23"/>
      <c r="V88" s="19">
        <f t="shared" si="14"/>
        <v>111301.07624129512</v>
      </c>
      <c r="W88" s="44">
        <f t="shared" si="11"/>
        <v>0.60595098127882796</v>
      </c>
      <c r="Y88" s="54"/>
      <c r="Z88" s="56"/>
      <c r="AB88" s="2"/>
      <c r="AC88" s="2"/>
      <c r="AD88" s="63" t="str">
        <f t="shared" si="17"/>
        <v/>
      </c>
    </row>
    <row r="89" spans="1:30" ht="15.75">
      <c r="A89" s="29" t="s">
        <v>219</v>
      </c>
      <c r="B89" s="3" t="s">
        <v>93</v>
      </c>
      <c r="C89" s="3" t="s">
        <v>90</v>
      </c>
      <c r="D89" s="3" t="s">
        <v>104</v>
      </c>
      <c r="E89" s="3" t="str">
        <f t="shared" ref="E89:E91" si="20">IF(B89="","",IF(D89="Godfroy","Godfroy",(IF(LEFT(B89,1)="1","Hiwa","Direct"))))</f>
        <v>Direct</v>
      </c>
      <c r="F89" s="3" t="s">
        <v>46</v>
      </c>
      <c r="G89" s="3">
        <f>1*128</f>
        <v>128</v>
      </c>
      <c r="H89" s="28">
        <f>G89*205</f>
        <v>26240</v>
      </c>
      <c r="I89" s="82" t="b">
        <v>1</v>
      </c>
      <c r="J89" s="46">
        <f t="shared" si="10"/>
        <v>0.61092368013130294</v>
      </c>
      <c r="K89" s="48">
        <f>17580.8/1.0967</f>
        <v>16030.637366645389</v>
      </c>
      <c r="L89" s="137">
        <v>0</v>
      </c>
      <c r="M89" s="22"/>
      <c r="N89" s="22"/>
      <c r="O89" s="22"/>
      <c r="P89" s="22"/>
      <c r="Q89" s="23"/>
      <c r="R89" s="23"/>
      <c r="S89" s="23"/>
      <c r="T89" s="23"/>
      <c r="U89" s="23"/>
      <c r="V89" s="19">
        <f t="shared" si="14"/>
        <v>16030.637366645389</v>
      </c>
      <c r="W89" s="44">
        <f t="shared" si="11"/>
        <v>0.61092368013130294</v>
      </c>
      <c r="Y89" s="54"/>
      <c r="Z89" s="56"/>
      <c r="AB89" s="2"/>
      <c r="AC89" s="2"/>
      <c r="AD89" s="63" t="str">
        <f t="shared" si="17"/>
        <v/>
      </c>
    </row>
    <row r="90" spans="1:30" ht="15.75">
      <c r="A90" s="29" t="s">
        <v>220</v>
      </c>
      <c r="B90" s="3" t="s">
        <v>186</v>
      </c>
      <c r="C90" s="9" t="s">
        <v>29</v>
      </c>
      <c r="D90" s="3" t="s">
        <v>112</v>
      </c>
      <c r="E90" s="3" t="str">
        <f t="shared" si="20"/>
        <v>Direct</v>
      </c>
      <c r="F90" s="3" t="s">
        <v>46</v>
      </c>
      <c r="G90" s="3">
        <f>2*80</f>
        <v>160</v>
      </c>
      <c r="H90" s="28">
        <f>G90*215</f>
        <v>34400</v>
      </c>
      <c r="I90" s="82" t="b">
        <v>1</v>
      </c>
      <c r="J90" s="46">
        <f t="shared" si="10"/>
        <v>0.89265784274010207</v>
      </c>
      <c r="K90" s="48">
        <f>(17276+17276)/1.1252</f>
        <v>30707.42979025951</v>
      </c>
      <c r="L90" s="137">
        <v>0</v>
      </c>
      <c r="M90" s="22">
        <v>2343</v>
      </c>
      <c r="N90" s="22">
        <f>96+6.5</f>
        <v>102.5</v>
      </c>
      <c r="O90" s="22"/>
      <c r="P90" s="22"/>
      <c r="Q90" s="23"/>
      <c r="R90" s="23"/>
      <c r="S90" s="23"/>
      <c r="T90" s="23"/>
      <c r="U90" s="23"/>
      <c r="V90" s="19">
        <f t="shared" si="14"/>
        <v>33152.929790259514</v>
      </c>
      <c r="W90" s="44">
        <f t="shared" si="11"/>
        <v>0.96374795901917187</v>
      </c>
      <c r="Y90" s="54"/>
      <c r="Z90" s="56"/>
      <c r="AB90" s="2"/>
      <c r="AC90" s="2"/>
      <c r="AD90" s="63" t="str">
        <f t="shared" si="17"/>
        <v/>
      </c>
    </row>
    <row r="91" spans="1:30" ht="15.75">
      <c r="A91" s="29" t="s">
        <v>221</v>
      </c>
      <c r="B91" s="3" t="s">
        <v>132</v>
      </c>
      <c r="C91" s="3" t="s">
        <v>133</v>
      </c>
      <c r="D91" s="3" t="s">
        <v>222</v>
      </c>
      <c r="E91" s="3" t="str">
        <f t="shared" si="20"/>
        <v>Direct</v>
      </c>
      <c r="F91" s="3" t="s">
        <v>121</v>
      </c>
      <c r="G91" s="3">
        <v>4</v>
      </c>
      <c r="H91" s="28">
        <f>G91*220</f>
        <v>880</v>
      </c>
      <c r="I91" s="82" t="b">
        <v>1</v>
      </c>
      <c r="J91" s="46">
        <f t="shared" si="10"/>
        <v>1.46</v>
      </c>
      <c r="K91" s="48">
        <v>1284.8</v>
      </c>
      <c r="L91" s="137"/>
      <c r="M91" s="22">
        <f>595*(880/(4000+880))</f>
        <v>107.29508196721312</v>
      </c>
      <c r="N91" s="22"/>
      <c r="O91" s="22"/>
      <c r="P91" s="22"/>
      <c r="Q91" s="23"/>
      <c r="R91" s="23"/>
      <c r="S91" s="23"/>
      <c r="T91" s="23"/>
      <c r="U91" s="23"/>
      <c r="V91" s="19">
        <f>IF(B91="","",K91+SUM(M91:R91))</f>
        <v>1392.095081967213</v>
      </c>
      <c r="W91" s="44">
        <f t="shared" si="11"/>
        <v>1.5819262295081966</v>
      </c>
      <c r="Y91" s="54"/>
      <c r="Z91" s="56"/>
      <c r="AB91" s="2"/>
      <c r="AC91" s="2"/>
      <c r="AD91" s="63" t="str">
        <f t="shared" si="17"/>
        <v/>
      </c>
    </row>
    <row r="92" spans="1:30" ht="15.75">
      <c r="A92" s="29" t="s">
        <v>223</v>
      </c>
      <c r="B92" s="3" t="s">
        <v>224</v>
      </c>
      <c r="C92" s="3" t="s">
        <v>133</v>
      </c>
      <c r="D92" s="3" t="s">
        <v>222</v>
      </c>
      <c r="E92" s="3" t="str">
        <f t="shared" ref="E92" si="21">IF(B92="","",IF(D92="Godfroy","Godfroy",(IF(LEFT(B92,1)="1","Hiwa","Direct"))))</f>
        <v>Direct</v>
      </c>
      <c r="F92" s="3" t="s">
        <v>121</v>
      </c>
      <c r="G92" s="3">
        <v>4</v>
      </c>
      <c r="H92" s="28">
        <v>4000</v>
      </c>
      <c r="I92" s="82" t="b">
        <v>1</v>
      </c>
      <c r="J92" s="46">
        <f t="shared" si="10"/>
        <v>1.43</v>
      </c>
      <c r="K92" s="48">
        <v>5720</v>
      </c>
      <c r="L92" s="137">
        <v>0</v>
      </c>
      <c r="M92" s="22">
        <f>595*(4000/(4000+880))</f>
        <v>487.70491803278691</v>
      </c>
      <c r="N92" s="22"/>
      <c r="O92" s="22"/>
      <c r="P92" s="22"/>
      <c r="Q92" s="23"/>
      <c r="R92" s="23"/>
      <c r="S92" s="23"/>
      <c r="T92" s="23"/>
      <c r="U92" s="23"/>
      <c r="V92" s="19">
        <f>IF(B92="","",K92+SUM(M92:R92))</f>
        <v>6207.7049180327867</v>
      </c>
      <c r="W92" s="44">
        <f t="shared" si="11"/>
        <v>1.5519262295081966</v>
      </c>
      <c r="Y92" s="54"/>
      <c r="Z92" s="56"/>
      <c r="AB92" s="2"/>
      <c r="AC92" s="2"/>
      <c r="AD92" s="63" t="str">
        <f t="shared" si="17"/>
        <v/>
      </c>
    </row>
    <row r="93" spans="1:30" ht="15.75">
      <c r="A93" s="29" t="s">
        <v>225</v>
      </c>
      <c r="B93" s="3" t="s">
        <v>157</v>
      </c>
      <c r="C93" s="3" t="s">
        <v>126</v>
      </c>
      <c r="D93" s="3" t="s">
        <v>226</v>
      </c>
      <c r="E93" s="3" t="str">
        <f>IF(B93="","",IF(D93="Godfroy","Godfroy",(IF(LEFT(B93,1)="1","Hiwa","Direct"))))</f>
        <v>Direct</v>
      </c>
      <c r="F93" s="3" t="s">
        <v>128</v>
      </c>
      <c r="G93" s="3">
        <v>10</v>
      </c>
      <c r="H93" s="28">
        <f>G93*21</f>
        <v>210</v>
      </c>
      <c r="I93" s="82" t="b">
        <v>1</v>
      </c>
      <c r="J93" s="46">
        <f t="shared" si="10"/>
        <v>1</v>
      </c>
      <c r="K93" s="48">
        <v>210</v>
      </c>
      <c r="L93" s="137">
        <v>0</v>
      </c>
      <c r="M93" s="22">
        <v>145.44</v>
      </c>
      <c r="N93" s="22"/>
      <c r="O93" s="22"/>
      <c r="P93" s="22"/>
      <c r="Q93" s="23"/>
      <c r="R93" s="23"/>
      <c r="S93" s="23"/>
      <c r="T93" s="23"/>
      <c r="U93" s="23"/>
      <c r="V93" s="19">
        <f>IF(B93="","",K93+SUM(M93:R93))</f>
        <v>355.44</v>
      </c>
      <c r="W93" s="44">
        <f t="shared" si="11"/>
        <v>1.6925714285714286</v>
      </c>
      <c r="Y93" s="54"/>
      <c r="Z93" s="56"/>
      <c r="AB93" s="2"/>
      <c r="AC93" s="2"/>
      <c r="AD93" s="63" t="str">
        <f t="shared" si="17"/>
        <v/>
      </c>
    </row>
    <row r="94" spans="1:30" ht="15.75">
      <c r="A94" s="29" t="s">
        <v>227</v>
      </c>
      <c r="B94" s="3" t="s">
        <v>57</v>
      </c>
      <c r="C94" s="3" t="s">
        <v>58</v>
      </c>
      <c r="D94" s="3" t="s">
        <v>73</v>
      </c>
      <c r="E94" s="3" t="str">
        <f t="shared" ref="E94" si="22">IF(B94="","",IF(D94="Godfroy","Godfroy",(IF(LEFT(B94,1)="1","Hiwa","Direct"))))</f>
        <v>Hiwa</v>
      </c>
      <c r="F94" s="3" t="s">
        <v>59</v>
      </c>
      <c r="G94" s="3">
        <v>128</v>
      </c>
      <c r="H94" s="28">
        <f>G94*190</f>
        <v>24320</v>
      </c>
      <c r="I94" s="82" t="b">
        <v>0</v>
      </c>
      <c r="J94" s="46">
        <f t="shared" si="10"/>
        <v>0</v>
      </c>
      <c r="K94" s="48"/>
      <c r="L94" s="137"/>
      <c r="M94" s="22"/>
      <c r="N94" s="22"/>
      <c r="O94" s="22"/>
      <c r="P94" s="22"/>
      <c r="Q94" s="23"/>
      <c r="R94" s="23"/>
      <c r="S94" s="23"/>
      <c r="T94" s="23"/>
      <c r="U94" s="23"/>
      <c r="V94" s="19">
        <f t="shared" si="14"/>
        <v>0</v>
      </c>
      <c r="W94" s="44">
        <f t="shared" si="11"/>
        <v>0</v>
      </c>
      <c r="Y94" s="54"/>
      <c r="Z94" s="56"/>
      <c r="AB94" s="2"/>
      <c r="AC94" s="2"/>
      <c r="AD94" s="63" t="str">
        <f t="shared" si="17"/>
        <v/>
      </c>
    </row>
    <row r="95" spans="1:30" ht="15.75">
      <c r="A95" s="29" t="s">
        <v>228</v>
      </c>
      <c r="B95" s="3" t="s">
        <v>57</v>
      </c>
      <c r="C95" s="3" t="s">
        <v>229</v>
      </c>
      <c r="D95" s="3" t="s">
        <v>73</v>
      </c>
      <c r="E95" s="3" t="str">
        <f t="shared" ref="E95:E96" si="23">IF(B95="","",IF(D95="Godfroy","Godfroy",(IF(LEFT(B95,1)="1","Hiwa","Direct"))))</f>
        <v>Hiwa</v>
      </c>
      <c r="F95" s="3" t="s">
        <v>59</v>
      </c>
      <c r="G95" s="3">
        <v>140</v>
      </c>
      <c r="H95" s="28">
        <f>G95*190</f>
        <v>26600</v>
      </c>
      <c r="I95" s="82" t="b">
        <v>0</v>
      </c>
      <c r="J95" s="46">
        <f t="shared" si="10"/>
        <v>0</v>
      </c>
      <c r="K95" s="48"/>
      <c r="L95" s="137"/>
      <c r="M95" s="22"/>
      <c r="N95" s="22"/>
      <c r="O95" s="22"/>
      <c r="P95" s="22"/>
      <c r="Q95" s="23"/>
      <c r="R95" s="23"/>
      <c r="S95" s="23"/>
      <c r="T95" s="23"/>
      <c r="U95" s="23"/>
      <c r="V95" s="19">
        <f t="shared" si="14"/>
        <v>0</v>
      </c>
      <c r="W95" s="44">
        <f t="shared" si="11"/>
        <v>0</v>
      </c>
      <c r="Y95" s="54"/>
      <c r="Z95" s="56"/>
      <c r="AB95" s="2"/>
      <c r="AC95" s="2"/>
      <c r="AD95" s="63" t="str">
        <f t="shared" si="17"/>
        <v/>
      </c>
    </row>
    <row r="96" spans="1:30" ht="15.75">
      <c r="A96" s="29" t="s">
        <v>230</v>
      </c>
      <c r="B96" s="3" t="s">
        <v>82</v>
      </c>
      <c r="C96" s="3" t="s">
        <v>83</v>
      </c>
      <c r="D96" s="3" t="s">
        <v>73</v>
      </c>
      <c r="E96" s="3" t="str">
        <f t="shared" si="23"/>
        <v>Hiwa</v>
      </c>
      <c r="F96" s="3" t="s">
        <v>59</v>
      </c>
      <c r="G96" s="3">
        <v>128</v>
      </c>
      <c r="H96" s="28">
        <f>G96*204</f>
        <v>26112</v>
      </c>
      <c r="I96" s="82" t="b">
        <v>1</v>
      </c>
      <c r="J96" s="46">
        <f t="shared" si="10"/>
        <v>0.58999647763296936</v>
      </c>
      <c r="K96" s="48">
        <f>17495.04/1.1356</f>
        <v>15405.988023952097</v>
      </c>
      <c r="L96" s="137">
        <f>1546/1.1429</f>
        <v>1352.6992737772334</v>
      </c>
      <c r="M96" s="22"/>
      <c r="N96" s="22">
        <f>1828.06+63.45</f>
        <v>1891.51</v>
      </c>
      <c r="O96" s="22">
        <v>195</v>
      </c>
      <c r="P96" s="22">
        <v>1300.3499999999999</v>
      </c>
      <c r="Q96" s="23">
        <f>125.31+27.41</f>
        <v>152.72</v>
      </c>
      <c r="R96" s="23"/>
      <c r="S96" s="23">
        <v>57.04</v>
      </c>
      <c r="T96" s="23"/>
      <c r="U96" s="23">
        <f>639.52+(737.58*(28/100))</f>
        <v>846.04240000000004</v>
      </c>
      <c r="V96" s="19">
        <f t="shared" si="14"/>
        <v>20298.26729772933</v>
      </c>
      <c r="W96" s="44">
        <f t="shared" si="11"/>
        <v>0.77735398658583521</v>
      </c>
      <c r="Y96" s="54">
        <v>375413</v>
      </c>
      <c r="Z96" s="72">
        <v>45838</v>
      </c>
      <c r="AB96" s="2"/>
      <c r="AC96" s="2"/>
      <c r="AD96" s="63" t="str">
        <f t="shared" si="17"/>
        <v/>
      </c>
    </row>
    <row r="97" spans="1:30" ht="15.75">
      <c r="A97" s="29" t="s">
        <v>231</v>
      </c>
      <c r="B97" s="3" t="s">
        <v>82</v>
      </c>
      <c r="C97" s="3" t="s">
        <v>83</v>
      </c>
      <c r="D97" s="3" t="s">
        <v>73</v>
      </c>
      <c r="E97" s="3" t="str">
        <f t="shared" ref="E97:E99" si="24">IF(B97="","",IF(D97="Godfroy","Godfroy",(IF(LEFT(B97,1)="1","Hiwa","Direct"))))</f>
        <v>Hiwa</v>
      </c>
      <c r="F97" s="3" t="s">
        <v>59</v>
      </c>
      <c r="G97" s="3">
        <v>128</v>
      </c>
      <c r="H97" s="28">
        <f>G97*204</f>
        <v>26112</v>
      </c>
      <c r="I97" s="82" t="b">
        <v>1</v>
      </c>
      <c r="J97" s="46">
        <f t="shared" si="10"/>
        <v>0.58715274734904921</v>
      </c>
      <c r="K97" s="48">
        <f>17495.04/1.1411</f>
        <v>15331.732538778373</v>
      </c>
      <c r="L97" s="137">
        <f>1546/1.1508</f>
        <v>1343.413277719847</v>
      </c>
      <c r="M97" s="22"/>
      <c r="N97" s="22">
        <f>1828.06+63.45</f>
        <v>1891.51</v>
      </c>
      <c r="O97" s="22">
        <v>195</v>
      </c>
      <c r="P97" s="22">
        <v>1300.94</v>
      </c>
      <c r="Q97" s="23">
        <v>125.31</v>
      </c>
      <c r="R97" s="23"/>
      <c r="S97" s="23">
        <v>57.04</v>
      </c>
      <c r="T97" s="23"/>
      <c r="U97" s="23">
        <f>(737.58*(72/100))</f>
        <v>531.05759999999998</v>
      </c>
      <c r="V97" s="19">
        <f t="shared" si="14"/>
        <v>20187.90581649822</v>
      </c>
      <c r="W97" s="44">
        <f t="shared" si="11"/>
        <v>0.77312752054604095</v>
      </c>
      <c r="Y97" s="54">
        <v>375882</v>
      </c>
      <c r="Z97" s="72">
        <v>45846</v>
      </c>
      <c r="AB97" s="2"/>
      <c r="AC97" s="2"/>
      <c r="AD97" s="63" t="str">
        <f t="shared" si="17"/>
        <v/>
      </c>
    </row>
    <row r="98" spans="1:30" ht="15.75">
      <c r="A98" s="29" t="s">
        <v>232</v>
      </c>
      <c r="B98" s="3" t="s">
        <v>143</v>
      </c>
      <c r="C98" s="9" t="s">
        <v>119</v>
      </c>
      <c r="D98" s="3" t="s">
        <v>144</v>
      </c>
      <c r="E98" s="3" t="str">
        <f t="shared" si="24"/>
        <v>Direct</v>
      </c>
      <c r="F98" s="10" t="s">
        <v>121</v>
      </c>
      <c r="G98" s="1">
        <v>110</v>
      </c>
      <c r="H98" s="27">
        <v>1100</v>
      </c>
      <c r="I98" s="82" t="b">
        <v>1</v>
      </c>
      <c r="J98" s="46">
        <f t="shared" si="10"/>
        <v>1.115</v>
      </c>
      <c r="K98" s="48">
        <v>1226.5</v>
      </c>
      <c r="L98" s="137">
        <v>0</v>
      </c>
      <c r="M98" s="22">
        <v>485</v>
      </c>
      <c r="N98" s="22"/>
      <c r="O98" s="22"/>
      <c r="P98" s="22"/>
      <c r="Q98" s="23"/>
      <c r="R98" s="23"/>
      <c r="S98" s="23"/>
      <c r="T98" s="23"/>
      <c r="U98" s="23"/>
      <c r="V98" s="19">
        <f>IF(B98="","",K98+SUM(M98:R98))</f>
        <v>1711.5</v>
      </c>
      <c r="W98" s="44">
        <f t="shared" si="11"/>
        <v>1.5559090909090909</v>
      </c>
      <c r="Y98" s="54"/>
      <c r="Z98" s="56"/>
      <c r="AB98" s="2"/>
      <c r="AC98" s="2"/>
      <c r="AD98" s="63" t="str">
        <f t="shared" si="17"/>
        <v/>
      </c>
    </row>
    <row r="99" spans="1:30" ht="15.75">
      <c r="A99" s="29" t="s">
        <v>233</v>
      </c>
      <c r="B99" s="3" t="s">
        <v>234</v>
      </c>
      <c r="C99" s="3" t="s">
        <v>119</v>
      </c>
      <c r="D99" s="3" t="s">
        <v>235</v>
      </c>
      <c r="E99" s="3" t="str">
        <f t="shared" si="24"/>
        <v>Direct</v>
      </c>
      <c r="F99" s="3" t="s">
        <v>121</v>
      </c>
      <c r="G99" s="3">
        <v>8</v>
      </c>
      <c r="H99" s="28">
        <v>240</v>
      </c>
      <c r="I99" s="82" t="b">
        <v>1</v>
      </c>
      <c r="J99" s="46">
        <f t="shared" si="10"/>
        <v>1.6</v>
      </c>
      <c r="K99" s="48">
        <v>384</v>
      </c>
      <c r="L99" s="137">
        <v>0</v>
      </c>
      <c r="M99" s="22">
        <v>0</v>
      </c>
      <c r="N99" s="22"/>
      <c r="O99" s="22"/>
      <c r="P99" s="22"/>
      <c r="Q99" s="23"/>
      <c r="R99" s="23"/>
      <c r="S99" s="23"/>
      <c r="T99" s="23"/>
      <c r="U99" s="23"/>
      <c r="V99" s="19">
        <f>IF(B99="","",K99+SUM(M99:R99))</f>
        <v>384</v>
      </c>
      <c r="W99" s="44">
        <f t="shared" si="11"/>
        <v>1.6</v>
      </c>
      <c r="Y99" s="54"/>
      <c r="Z99" s="56"/>
      <c r="AB99" s="2"/>
      <c r="AC99" s="2"/>
      <c r="AD99" s="63" t="str">
        <f t="shared" si="17"/>
        <v/>
      </c>
    </row>
    <row r="100" spans="1:30" ht="15.75">
      <c r="A100" s="29" t="s">
        <v>236</v>
      </c>
      <c r="B100" s="3" t="s">
        <v>153</v>
      </c>
      <c r="C100" s="3" t="s">
        <v>126</v>
      </c>
      <c r="D100" s="3" t="s">
        <v>127</v>
      </c>
      <c r="E100" s="3" t="str">
        <f>IF(B100="","",IF(D100="Godfroy","Godfroy",(IF(LEFT(B100,1)="1","Hiwa","Direct"))))</f>
        <v>Direct</v>
      </c>
      <c r="F100" s="3" t="s">
        <v>128</v>
      </c>
      <c r="G100" s="3">
        <v>2</v>
      </c>
      <c r="H100" s="28">
        <f>G100*220</f>
        <v>440</v>
      </c>
      <c r="I100" s="82" t="b">
        <v>1</v>
      </c>
      <c r="J100" s="46">
        <f t="shared" si="10"/>
        <v>0.97</v>
      </c>
      <c r="K100" s="48">
        <v>426.8</v>
      </c>
      <c r="L100" s="137">
        <v>0</v>
      </c>
      <c r="M100" s="22">
        <f>(181*1.09)/2</f>
        <v>98.64500000000001</v>
      </c>
      <c r="N100" s="22"/>
      <c r="O100" s="22"/>
      <c r="P100" s="22"/>
      <c r="Q100" s="23"/>
      <c r="R100" s="23"/>
      <c r="S100" s="23"/>
      <c r="T100" s="23"/>
      <c r="U100" s="23"/>
      <c r="V100" s="19">
        <f>IF(B100="","",K100+SUM(M100:R100))</f>
        <v>525.44500000000005</v>
      </c>
      <c r="W100" s="44">
        <f t="shared" si="11"/>
        <v>1.1941931818181819</v>
      </c>
      <c r="Y100" s="54"/>
      <c r="Z100" s="56"/>
      <c r="AB100" s="2"/>
      <c r="AC100" s="2"/>
      <c r="AD100" s="63" t="str">
        <f t="shared" si="17"/>
        <v/>
      </c>
    </row>
    <row r="101" spans="1:30" ht="16.5" customHeight="1">
      <c r="A101" s="29" t="s">
        <v>237</v>
      </c>
      <c r="B101" s="3" t="s">
        <v>153</v>
      </c>
      <c r="C101" s="3" t="s">
        <v>126</v>
      </c>
      <c r="D101" s="3" t="s">
        <v>127</v>
      </c>
      <c r="E101" s="3" t="str">
        <f>IF(B101="","",IF(D101="Godfroy","Godfroy",(IF(LEFT(B101,1)="1","Hiwa","Direct"))))</f>
        <v>Direct</v>
      </c>
      <c r="F101" s="3" t="s">
        <v>128</v>
      </c>
      <c r="G101" s="3">
        <v>2</v>
      </c>
      <c r="H101" s="28">
        <f>G101*220</f>
        <v>440</v>
      </c>
      <c r="I101" s="82" t="b">
        <v>1</v>
      </c>
      <c r="J101" s="46">
        <f t="shared" si="10"/>
        <v>0.78</v>
      </c>
      <c r="K101" s="48">
        <f>2*171.6</f>
        <v>343.2</v>
      </c>
      <c r="L101" s="137">
        <v>0</v>
      </c>
      <c r="M101" s="22">
        <v>98</v>
      </c>
      <c r="N101" s="22"/>
      <c r="O101" s="22"/>
      <c r="P101" s="22"/>
      <c r="Q101" s="23"/>
      <c r="R101" s="23"/>
      <c r="S101" s="23"/>
      <c r="T101" s="23"/>
      <c r="U101" s="23"/>
      <c r="V101" s="19">
        <f>IF(B101="","",K101+SUM(M101:R101))</f>
        <v>441.2</v>
      </c>
      <c r="W101" s="44">
        <f t="shared" si="11"/>
        <v>1.0027272727272727</v>
      </c>
      <c r="Y101" s="54"/>
      <c r="Z101" s="56"/>
      <c r="AB101" s="2"/>
      <c r="AC101" s="2"/>
      <c r="AD101" s="63" t="str">
        <f t="shared" si="17"/>
        <v/>
      </c>
    </row>
    <row r="102" spans="1:30" ht="15.75">
      <c r="A102" s="29" t="s">
        <v>238</v>
      </c>
      <c r="B102" s="3" t="s">
        <v>239</v>
      </c>
      <c r="C102" s="3" t="s">
        <v>44</v>
      </c>
      <c r="D102" s="3" t="s">
        <v>240</v>
      </c>
      <c r="E102" s="3" t="str">
        <f>IF(B102="","",IF(D102="Godfroy","Godfroy",(IF(LEFT(B102,1)="1","Hiwa","Direct"))))</f>
        <v>Direct</v>
      </c>
      <c r="F102" s="3" t="s">
        <v>241</v>
      </c>
      <c r="G102" s="3">
        <v>2</v>
      </c>
      <c r="H102" s="28">
        <f>G102*215</f>
        <v>430</v>
      </c>
      <c r="I102" s="82" t="b">
        <v>1</v>
      </c>
      <c r="J102" s="46">
        <f t="shared" si="10"/>
        <v>1.7998560115190785</v>
      </c>
      <c r="K102" s="48">
        <f>860/1.1112</f>
        <v>773.93808495320377</v>
      </c>
      <c r="L102" s="137">
        <v>427</v>
      </c>
      <c r="M102" s="22">
        <v>512</v>
      </c>
      <c r="N102" s="22">
        <f>85+56</f>
        <v>141</v>
      </c>
      <c r="O102" s="22"/>
      <c r="P102" s="22"/>
      <c r="Q102" s="23"/>
      <c r="R102" s="23"/>
      <c r="S102" s="23"/>
      <c r="T102" s="23"/>
      <c r="U102" s="23"/>
      <c r="V102" s="19">
        <f t="shared" si="14"/>
        <v>1853.9380849532038</v>
      </c>
      <c r="W102" s="44">
        <f t="shared" si="11"/>
        <v>4.3114839184958225</v>
      </c>
      <c r="Y102" s="54"/>
      <c r="Z102" s="56"/>
      <c r="AB102" s="2"/>
      <c r="AC102" s="2"/>
      <c r="AD102" s="63" t="str">
        <f t="shared" si="17"/>
        <v/>
      </c>
    </row>
    <row r="103" spans="1:30" ht="15.75">
      <c r="A103" s="29" t="s">
        <v>242</v>
      </c>
      <c r="B103" s="3" t="s">
        <v>186</v>
      </c>
      <c r="C103" s="9" t="s">
        <v>29</v>
      </c>
      <c r="D103" s="3" t="s">
        <v>112</v>
      </c>
      <c r="E103" s="3" t="str">
        <f t="shared" ref="E103:E104" si="25">IF(B103="","",IF(D103="Godfroy","Godfroy",(IF(LEFT(B103,1)="1","Hiwa","Direct"))))</f>
        <v>Direct</v>
      </c>
      <c r="F103" s="3" t="s">
        <v>46</v>
      </c>
      <c r="G103" s="3">
        <v>320</v>
      </c>
      <c r="H103" s="28">
        <f>G103*215</f>
        <v>68800</v>
      </c>
      <c r="I103" s="82" t="b">
        <v>1</v>
      </c>
      <c r="J103" s="46">
        <f t="shared" si="10"/>
        <v>0.88437817302781374</v>
      </c>
      <c r="K103" s="48">
        <f>(4*17385)/1.1429</f>
        <v>60845.218304313588</v>
      </c>
      <c r="L103" s="137">
        <v>0</v>
      </c>
      <c r="M103" s="106"/>
      <c r="N103" s="106"/>
      <c r="O103" s="22"/>
      <c r="P103" s="22"/>
      <c r="Q103" s="23"/>
      <c r="R103" s="23"/>
      <c r="S103" s="23"/>
      <c r="T103" s="23"/>
      <c r="U103" s="23"/>
      <c r="V103" s="19">
        <f t="shared" si="14"/>
        <v>60845.218304313588</v>
      </c>
      <c r="W103" s="44">
        <f t="shared" si="11"/>
        <v>0.88437817302781374</v>
      </c>
      <c r="Y103" s="54"/>
      <c r="Z103" s="56"/>
      <c r="AB103" s="2"/>
      <c r="AC103" s="2"/>
      <c r="AD103" s="63" t="str">
        <f t="shared" si="17"/>
        <v/>
      </c>
    </row>
    <row r="104" spans="1:30" ht="15.75">
      <c r="A104" s="29" t="s">
        <v>243</v>
      </c>
      <c r="B104" s="3" t="s">
        <v>68</v>
      </c>
      <c r="C104" s="9" t="s">
        <v>66</v>
      </c>
      <c r="D104" s="3" t="s">
        <v>30</v>
      </c>
      <c r="E104" s="3" t="str">
        <f t="shared" si="25"/>
        <v>Hiwa</v>
      </c>
      <c r="F104" s="10" t="s">
        <v>46</v>
      </c>
      <c r="G104" s="1">
        <v>1080</v>
      </c>
      <c r="H104" s="27">
        <f>G104*20</f>
        <v>21600</v>
      </c>
      <c r="I104" s="82" t="b">
        <v>0</v>
      </c>
      <c r="J104" s="46">
        <f t="shared" si="10"/>
        <v>1.4337851929092804</v>
      </c>
      <c r="K104" s="48">
        <f>35640/1.1508</f>
        <v>30969.760166840457</v>
      </c>
      <c r="L104" s="137">
        <f>1950/1.1508</f>
        <v>1694.4734098018769</v>
      </c>
      <c r="M104" s="22"/>
      <c r="N104" s="22"/>
      <c r="O104" s="22"/>
      <c r="P104" s="22"/>
      <c r="Q104" s="23"/>
      <c r="R104" s="23"/>
      <c r="S104" s="23"/>
      <c r="T104" s="23"/>
      <c r="U104" s="23"/>
      <c r="V104" s="19">
        <f t="shared" si="14"/>
        <v>32664.233576642335</v>
      </c>
      <c r="W104" s="44">
        <f t="shared" si="11"/>
        <v>1.5122330359556637</v>
      </c>
      <c r="Y104" s="54"/>
      <c r="Z104" s="56"/>
      <c r="AB104" s="2"/>
      <c r="AC104" s="2"/>
      <c r="AD104" s="63" t="str">
        <f t="shared" si="17"/>
        <v/>
      </c>
    </row>
    <row r="105" spans="1:30" ht="15.75">
      <c r="A105" s="29" t="s">
        <v>244</v>
      </c>
      <c r="B105" s="3" t="s">
        <v>186</v>
      </c>
      <c r="C105" s="9" t="s">
        <v>29</v>
      </c>
      <c r="D105" s="3" t="s">
        <v>112</v>
      </c>
      <c r="E105" s="3" t="str">
        <f t="shared" ref="E105:E106" si="26">IF(B105="","",IF(D105="Godfroy","Godfroy",(IF(LEFT(B105,1)="1","Hiwa","Direct"))))</f>
        <v>Direct</v>
      </c>
      <c r="F105" s="3" t="s">
        <v>46</v>
      </c>
      <c r="G105" s="3">
        <v>80</v>
      </c>
      <c r="H105" s="28">
        <f>G105*215</f>
        <v>17200</v>
      </c>
      <c r="I105" s="82" t="b">
        <v>1</v>
      </c>
      <c r="J105" s="46">
        <f t="shared" si="10"/>
        <v>0.86188092896348223</v>
      </c>
      <c r="K105" s="48">
        <f>17386/1.1728</f>
        <v>14824.351978171895</v>
      </c>
      <c r="L105" s="137">
        <v>0</v>
      </c>
      <c r="M105" s="106"/>
      <c r="N105" s="106"/>
      <c r="O105" s="22"/>
      <c r="P105" s="22"/>
      <c r="Q105" s="23"/>
      <c r="R105" s="23"/>
      <c r="S105" s="23"/>
      <c r="T105" s="23"/>
      <c r="U105" s="23"/>
      <c r="V105" s="19">
        <f t="shared" si="14"/>
        <v>14824.351978171895</v>
      </c>
      <c r="W105" s="44">
        <f t="shared" si="11"/>
        <v>0.86188092896348223</v>
      </c>
      <c r="Y105" s="54"/>
      <c r="Z105" s="56"/>
      <c r="AB105" s="2"/>
      <c r="AC105" s="2"/>
      <c r="AD105" s="63" t="str">
        <f t="shared" si="17"/>
        <v/>
      </c>
    </row>
    <row r="106" spans="1:30" ht="15.75">
      <c r="A106" s="29" t="s">
        <v>245</v>
      </c>
      <c r="B106" s="3" t="s">
        <v>246</v>
      </c>
      <c r="C106" s="3" t="s">
        <v>176</v>
      </c>
      <c r="D106" s="3" t="s">
        <v>247</v>
      </c>
      <c r="E106" s="3" t="str">
        <f t="shared" si="26"/>
        <v>Direct</v>
      </c>
      <c r="F106" s="3" t="s">
        <v>121</v>
      </c>
      <c r="G106" s="3">
        <v>4</v>
      </c>
      <c r="H106" s="28">
        <v>800</v>
      </c>
      <c r="I106" s="82" t="b">
        <v>1</v>
      </c>
      <c r="J106" s="46">
        <f t="shared" ref="J106:J174" si="27">IF(H106="","",+K106/H106)</f>
        <v>1.85</v>
      </c>
      <c r="K106" s="48">
        <v>1480</v>
      </c>
      <c r="L106" s="137">
        <v>0</v>
      </c>
      <c r="M106" s="22">
        <v>435</v>
      </c>
      <c r="N106" s="22"/>
      <c r="O106" s="22"/>
      <c r="P106" s="22"/>
      <c r="Q106" s="23"/>
      <c r="R106" s="23"/>
      <c r="S106" s="23"/>
      <c r="T106" s="23"/>
      <c r="U106" s="23"/>
      <c r="V106" s="19">
        <f>IF(B106="","",K106+SUM(M106:R106))</f>
        <v>1915</v>
      </c>
      <c r="W106" s="44">
        <f t="shared" ref="W106:W202" si="28">IF(J106="","",+V106/H106)</f>
        <v>2.3937499999999998</v>
      </c>
      <c r="Y106" s="54"/>
      <c r="Z106" s="56"/>
      <c r="AB106" s="2"/>
      <c r="AC106" s="2"/>
      <c r="AD106" s="63" t="str">
        <f t="shared" si="17"/>
        <v/>
      </c>
    </row>
    <row r="107" spans="1:30" ht="15.75">
      <c r="A107" s="29" t="s">
        <v>248</v>
      </c>
      <c r="B107" s="3" t="s">
        <v>186</v>
      </c>
      <c r="C107" s="9" t="s">
        <v>29</v>
      </c>
      <c r="D107" s="3" t="s">
        <v>112</v>
      </c>
      <c r="E107" s="3" t="str">
        <f t="shared" ref="E107" si="29">IF(B107="","",IF(D107="Godfroy","Godfroy",(IF(LEFT(B107,1)="1","Hiwa","Direct"))))</f>
        <v>Direct</v>
      </c>
      <c r="F107" s="3" t="s">
        <v>46</v>
      </c>
      <c r="G107" s="3">
        <v>80</v>
      </c>
      <c r="H107" s="28">
        <f>G107*215</f>
        <v>17200</v>
      </c>
      <c r="I107" s="82" t="b">
        <v>0</v>
      </c>
      <c r="J107" s="46">
        <f t="shared" si="27"/>
        <v>0</v>
      </c>
      <c r="K107" s="48"/>
      <c r="L107" s="137"/>
      <c r="M107" s="22"/>
      <c r="N107" s="22"/>
      <c r="O107" s="22"/>
      <c r="P107" s="22"/>
      <c r="Q107" s="23"/>
      <c r="R107" s="23"/>
      <c r="S107" s="23"/>
      <c r="T107" s="23"/>
      <c r="U107" s="23"/>
      <c r="V107" s="19">
        <f>IF(B107="","",K107+SUM(M107:R107))</f>
        <v>0</v>
      </c>
      <c r="W107" s="44">
        <f t="shared" si="28"/>
        <v>0</v>
      </c>
      <c r="Y107" s="54"/>
      <c r="Z107" s="56"/>
      <c r="AB107" s="2"/>
      <c r="AC107" s="2"/>
      <c r="AD107" s="63" t="str">
        <f t="shared" si="17"/>
        <v/>
      </c>
    </row>
    <row r="108" spans="1:30" ht="15.75">
      <c r="A108" s="29" t="s">
        <v>249</v>
      </c>
      <c r="B108" s="3" t="s">
        <v>153</v>
      </c>
      <c r="C108" s="3" t="s">
        <v>126</v>
      </c>
      <c r="D108" s="3" t="s">
        <v>127</v>
      </c>
      <c r="E108" s="3" t="str">
        <f>IF(B108="","",IF(D108="Godfroy","Godfroy",(IF(LEFT(B108,1)="1","Hiwa","Direct"))))</f>
        <v>Direct</v>
      </c>
      <c r="F108" s="3" t="s">
        <v>128</v>
      </c>
      <c r="G108" s="3">
        <v>4</v>
      </c>
      <c r="H108" s="28">
        <f>G108*220</f>
        <v>880</v>
      </c>
      <c r="I108" s="82" t="b">
        <v>1</v>
      </c>
      <c r="J108" s="46">
        <f t="shared" si="27"/>
        <v>0.78</v>
      </c>
      <c r="K108" s="48">
        <v>686.4</v>
      </c>
      <c r="L108" s="137">
        <v>0</v>
      </c>
      <c r="M108" s="22">
        <f>181*1.09</f>
        <v>197.29000000000002</v>
      </c>
      <c r="N108" s="22"/>
      <c r="O108" s="22"/>
      <c r="P108" s="22"/>
      <c r="Q108" s="23"/>
      <c r="R108" s="23"/>
      <c r="S108" s="23"/>
      <c r="T108" s="23"/>
      <c r="U108" s="23"/>
      <c r="V108" s="19">
        <f>IF(B108="","",K108+SUM(M108:R108))</f>
        <v>883.69</v>
      </c>
      <c r="W108" s="44">
        <f t="shared" si="28"/>
        <v>1.004193181818182</v>
      </c>
      <c r="Y108" s="54"/>
      <c r="Z108" s="56"/>
      <c r="AB108" s="2"/>
      <c r="AC108" s="2"/>
      <c r="AD108" s="63" t="str">
        <f t="shared" si="17"/>
        <v/>
      </c>
    </row>
    <row r="109" spans="1:30" ht="15.75">
      <c r="A109" s="29" t="s">
        <v>250</v>
      </c>
      <c r="B109" s="3" t="s">
        <v>175</v>
      </c>
      <c r="C109" s="9" t="s">
        <v>176</v>
      </c>
      <c r="D109" s="3" t="s">
        <v>177</v>
      </c>
      <c r="E109" s="3" t="str">
        <f t="shared" ref="E109:E110" si="30">IF(B109="","",IF(D109="Godfroy","Godfroy",(IF(LEFT(B109,1)="1","Hiwa","Direct"))))</f>
        <v>Direct</v>
      </c>
      <c r="F109" s="10" t="s">
        <v>128</v>
      </c>
      <c r="G109" s="1">
        <v>19</v>
      </c>
      <c r="H109" s="27">
        <f>G109*24</f>
        <v>456</v>
      </c>
      <c r="I109" s="82" t="b">
        <v>1</v>
      </c>
      <c r="J109" s="46">
        <f t="shared" si="27"/>
        <v>2.2000000000000002</v>
      </c>
      <c r="K109" s="48">
        <v>1003.2</v>
      </c>
      <c r="L109" s="137">
        <v>0</v>
      </c>
      <c r="M109" s="22">
        <v>280</v>
      </c>
      <c r="N109" s="22"/>
      <c r="O109" s="22"/>
      <c r="P109" s="22"/>
      <c r="Q109" s="23"/>
      <c r="R109" s="23"/>
      <c r="S109" s="23"/>
      <c r="T109" s="23"/>
      <c r="U109" s="23"/>
      <c r="V109" s="19">
        <f>IF(B109="","",K109+SUM(M109:R109))</f>
        <v>1283.2</v>
      </c>
      <c r="W109" s="44">
        <f t="shared" si="28"/>
        <v>2.8140350877192986</v>
      </c>
      <c r="Y109" s="54"/>
      <c r="Z109" s="56"/>
      <c r="AB109" s="2"/>
      <c r="AC109" s="2"/>
      <c r="AD109" s="63" t="str">
        <f t="shared" si="17"/>
        <v/>
      </c>
    </row>
    <row r="110" spans="1:30" ht="15.75">
      <c r="A110" s="29" t="s">
        <v>251</v>
      </c>
      <c r="B110" s="3" t="s">
        <v>252</v>
      </c>
      <c r="C110" s="9" t="s">
        <v>176</v>
      </c>
      <c r="D110" s="3" t="s">
        <v>177</v>
      </c>
      <c r="E110" s="3" t="str">
        <f t="shared" si="30"/>
        <v>Direct</v>
      </c>
      <c r="F110" s="10" t="s">
        <v>128</v>
      </c>
      <c r="G110" s="1">
        <v>36</v>
      </c>
      <c r="H110" s="27">
        <f>+G110*12</f>
        <v>432</v>
      </c>
      <c r="I110" s="82" t="b">
        <v>1</v>
      </c>
      <c r="J110" s="46">
        <f t="shared" si="27"/>
        <v>2.9</v>
      </c>
      <c r="K110" s="48">
        <v>1252.8</v>
      </c>
      <c r="L110" s="137">
        <v>0</v>
      </c>
      <c r="M110" s="22">
        <v>280</v>
      </c>
      <c r="N110" s="22"/>
      <c r="O110" s="22"/>
      <c r="P110" s="22"/>
      <c r="Q110" s="23"/>
      <c r="R110" s="23"/>
      <c r="S110" s="23"/>
      <c r="T110" s="23"/>
      <c r="U110" s="23"/>
      <c r="V110" s="19">
        <f>IF(B110="","",K110+SUM(M110:R110))</f>
        <v>1532.8</v>
      </c>
      <c r="W110" s="44">
        <f t="shared" si="28"/>
        <v>3.5481481481481478</v>
      </c>
      <c r="Y110" s="54"/>
      <c r="Z110" s="56"/>
      <c r="AB110" s="2"/>
      <c r="AC110" s="2"/>
      <c r="AD110" s="63" t="str">
        <f t="shared" si="17"/>
        <v/>
      </c>
    </row>
    <row r="111" spans="1:30" ht="15.75">
      <c r="A111" s="29" t="s">
        <v>253</v>
      </c>
      <c r="B111" s="3" t="s">
        <v>254</v>
      </c>
      <c r="C111" s="9" t="s">
        <v>66</v>
      </c>
      <c r="D111" s="3" t="s">
        <v>116</v>
      </c>
      <c r="E111" s="3" t="s">
        <v>255</v>
      </c>
      <c r="F111" s="10" t="s">
        <v>59</v>
      </c>
      <c r="G111" s="1">
        <v>120</v>
      </c>
      <c r="H111" s="27">
        <f>+G111*200</f>
        <v>24000</v>
      </c>
      <c r="I111" s="82" t="b">
        <v>0</v>
      </c>
      <c r="J111" s="46">
        <f t="shared" si="27"/>
        <v>0.60827250608272498</v>
      </c>
      <c r="K111" s="48">
        <f>16800/1.1508</f>
        <v>14598.5401459854</v>
      </c>
      <c r="L111" s="137">
        <f>2325/1.1508</f>
        <v>2020.3336809176224</v>
      </c>
      <c r="M111" s="22"/>
      <c r="N111" s="22"/>
      <c r="O111" s="22"/>
      <c r="P111" s="22"/>
      <c r="Q111" s="23"/>
      <c r="R111" s="23"/>
      <c r="S111" s="23"/>
      <c r="T111" s="23"/>
      <c r="U111" s="23"/>
      <c r="V111" s="19">
        <f t="shared" si="14"/>
        <v>16618.873826903022</v>
      </c>
      <c r="W111" s="44">
        <f t="shared" si="28"/>
        <v>0.69245307612095919</v>
      </c>
      <c r="Y111" s="54"/>
      <c r="Z111" s="56"/>
      <c r="AB111" s="2"/>
      <c r="AC111" s="2"/>
      <c r="AD111" s="63" t="str">
        <f t="shared" si="17"/>
        <v/>
      </c>
    </row>
    <row r="112" spans="1:30" ht="15.75">
      <c r="A112" s="29" t="s">
        <v>256</v>
      </c>
      <c r="B112" s="3" t="s">
        <v>93</v>
      </c>
      <c r="C112" s="9" t="s">
        <v>90</v>
      </c>
      <c r="D112" s="3" t="s">
        <v>94</v>
      </c>
      <c r="E112" s="3" t="str">
        <f t="shared" ref="E112" si="31">IF(B112="","",IF(D112="Godfroy","Godfroy",(IF(LEFT(B112,1)="1","Hiwa","Direct"))))</f>
        <v>Direct</v>
      </c>
      <c r="F112" s="10" t="s">
        <v>59</v>
      </c>
      <c r="G112" s="1">
        <v>124</v>
      </c>
      <c r="H112" s="27">
        <f>G112*205</f>
        <v>25420</v>
      </c>
      <c r="I112" s="82" t="b">
        <v>1</v>
      </c>
      <c r="J112" s="46">
        <f t="shared" si="27"/>
        <v>0.59089329162321858</v>
      </c>
      <c r="K112" s="48">
        <f>17285.6/1.1508</f>
        <v>15020.507473062216</v>
      </c>
      <c r="L112" s="137">
        <f>1920/1.1667</f>
        <v>1645.6672666495242</v>
      </c>
      <c r="M112" s="22"/>
      <c r="N112" s="22"/>
      <c r="O112" s="22"/>
      <c r="P112" s="22"/>
      <c r="Q112" s="23"/>
      <c r="R112" s="23"/>
      <c r="S112" s="23"/>
      <c r="T112" s="23"/>
      <c r="U112" s="23"/>
      <c r="V112" s="19">
        <f t="shared" si="14"/>
        <v>16666.17473971174</v>
      </c>
      <c r="W112" s="44">
        <f t="shared" si="28"/>
        <v>0.65563236584231865</v>
      </c>
      <c r="Y112" s="54"/>
      <c r="Z112" s="56"/>
      <c r="AB112" s="2"/>
      <c r="AC112" s="2"/>
      <c r="AD112" s="63" t="str">
        <f t="shared" si="17"/>
        <v/>
      </c>
    </row>
    <row r="113" spans="1:30" ht="15.75">
      <c r="A113" s="29" t="s">
        <v>257</v>
      </c>
      <c r="B113" s="3" t="s">
        <v>254</v>
      </c>
      <c r="C113" s="9" t="s">
        <v>66</v>
      </c>
      <c r="D113" s="3" t="s">
        <v>116</v>
      </c>
      <c r="E113" s="3" t="s">
        <v>255</v>
      </c>
      <c r="F113" s="10" t="s">
        <v>59</v>
      </c>
      <c r="G113" s="1">
        <v>120</v>
      </c>
      <c r="H113" s="27">
        <f>+G113*200</f>
        <v>24000</v>
      </c>
      <c r="I113" s="82" t="b">
        <v>0</v>
      </c>
      <c r="J113" s="46">
        <f t="shared" si="27"/>
        <v>0</v>
      </c>
      <c r="K113" s="48"/>
      <c r="L113" s="137"/>
      <c r="M113" s="22"/>
      <c r="N113" s="22"/>
      <c r="O113" s="22"/>
      <c r="P113" s="22"/>
      <c r="Q113" s="23"/>
      <c r="R113" s="23"/>
      <c r="S113" s="23"/>
      <c r="T113" s="23"/>
      <c r="U113" s="23"/>
      <c r="V113" s="19">
        <f t="shared" ref="V113:V202" si="32">IF(B113="","",K113+SUM(L113:R113))</f>
        <v>0</v>
      </c>
      <c r="W113" s="44">
        <f t="shared" si="28"/>
        <v>0</v>
      </c>
      <c r="Y113" s="54"/>
      <c r="Z113" s="56"/>
      <c r="AB113" s="2"/>
      <c r="AC113" s="2"/>
      <c r="AD113" s="63" t="str">
        <f t="shared" si="17"/>
        <v/>
      </c>
    </row>
    <row r="114" spans="1:30" ht="15.75">
      <c r="A114" s="29" t="s">
        <v>258</v>
      </c>
      <c r="B114" s="3" t="s">
        <v>143</v>
      </c>
      <c r="C114" s="9" t="s">
        <v>119</v>
      </c>
      <c r="D114" s="3" t="s">
        <v>144</v>
      </c>
      <c r="E114" s="3" t="str">
        <f t="shared" ref="E114:E117" si="33">IF(B114="","",IF(D114="Godfroy","Godfroy",(IF(LEFT(B114,1)="1","Hiwa","Direct"))))</f>
        <v>Direct</v>
      </c>
      <c r="F114" s="10" t="s">
        <v>121</v>
      </c>
      <c r="G114" s="1">
        <v>110</v>
      </c>
      <c r="H114" s="27">
        <v>1100</v>
      </c>
      <c r="I114" s="82" t="b">
        <v>1</v>
      </c>
      <c r="J114" s="46">
        <f t="shared" si="27"/>
        <v>1.115</v>
      </c>
      <c r="K114" s="48">
        <v>1226.5</v>
      </c>
      <c r="L114" s="137">
        <v>0</v>
      </c>
      <c r="M114" s="106"/>
      <c r="N114" s="22"/>
      <c r="O114" s="22"/>
      <c r="P114" s="22"/>
      <c r="Q114" s="23"/>
      <c r="R114" s="23"/>
      <c r="S114" s="23"/>
      <c r="T114" s="23"/>
      <c r="U114" s="23"/>
      <c r="V114" s="19">
        <f t="shared" si="32"/>
        <v>1226.5</v>
      </c>
      <c r="W114" s="44">
        <f t="shared" si="28"/>
        <v>1.115</v>
      </c>
      <c r="Y114" s="54"/>
      <c r="Z114" s="56"/>
      <c r="AB114" s="2"/>
      <c r="AC114" s="2"/>
      <c r="AD114" s="63" t="str">
        <f t="shared" si="17"/>
        <v/>
      </c>
    </row>
    <row r="115" spans="1:30" ht="15.75">
      <c r="A115" s="29" t="s">
        <v>259</v>
      </c>
      <c r="B115" s="3" t="s">
        <v>89</v>
      </c>
      <c r="C115" s="9" t="s">
        <v>90</v>
      </c>
      <c r="D115" s="3" t="s">
        <v>30</v>
      </c>
      <c r="E115" s="3" t="str">
        <f t="shared" si="33"/>
        <v>Hiwa</v>
      </c>
      <c r="F115" s="10" t="s">
        <v>59</v>
      </c>
      <c r="G115" s="1">
        <v>512</v>
      </c>
      <c r="H115" s="27">
        <f t="shared" ref="H115" si="34">G115*205</f>
        <v>104960</v>
      </c>
      <c r="I115" s="82" t="b">
        <v>1</v>
      </c>
      <c r="J115" s="46">
        <f t="shared" si="27"/>
        <v>0.59748703980318085</v>
      </c>
      <c r="K115" s="48">
        <f>71372.8/1.1381</f>
        <v>62712.239697741861</v>
      </c>
      <c r="L115" s="137">
        <f>6184/1.1384</f>
        <v>5432.1855235418125</v>
      </c>
      <c r="M115" s="22"/>
      <c r="N115" s="22">
        <f>(1892.23+63.45)+(1832.4+63.45)+(29.09+63.45)</f>
        <v>3944.07</v>
      </c>
      <c r="O115" s="22">
        <v>300</v>
      </c>
      <c r="P115" s="22">
        <v>5051.3999999999996</v>
      </c>
      <c r="Q115" s="23">
        <f>125.31+123.35+125.31+125.31+1.96+46.99+125.32+125.31+1.96</f>
        <v>800.81999999999994</v>
      </c>
      <c r="R115" s="23">
        <f>4.51+4.51+4.51+4.51</f>
        <v>18.04</v>
      </c>
      <c r="S115" s="23">
        <f>57.04+57.04</f>
        <v>114.08</v>
      </c>
      <c r="T115" s="23"/>
      <c r="U115" s="23"/>
      <c r="V115" s="19">
        <f t="shared" si="32"/>
        <v>78258.755221283674</v>
      </c>
      <c r="W115" s="44">
        <f t="shared" si="28"/>
        <v>0.74560551849546186</v>
      </c>
      <c r="Y115" s="80" t="s">
        <v>260</v>
      </c>
      <c r="Z115" s="72">
        <v>45831</v>
      </c>
      <c r="AB115" s="2"/>
      <c r="AC115" s="2"/>
      <c r="AD115" s="63" t="str">
        <f t="shared" si="17"/>
        <v/>
      </c>
    </row>
    <row r="116" spans="1:30" ht="15.75">
      <c r="A116" s="29" t="s">
        <v>261</v>
      </c>
      <c r="B116" s="3" t="s">
        <v>224</v>
      </c>
      <c r="C116" s="3" t="s">
        <v>133</v>
      </c>
      <c r="D116" s="3" t="s">
        <v>222</v>
      </c>
      <c r="E116" s="3" t="str">
        <f t="shared" si="33"/>
        <v>Direct</v>
      </c>
      <c r="F116" s="3" t="s">
        <v>121</v>
      </c>
      <c r="G116" s="3">
        <v>4</v>
      </c>
      <c r="H116" s="28">
        <v>4000</v>
      </c>
      <c r="I116" s="82" t="b">
        <v>1</v>
      </c>
      <c r="J116" s="46">
        <f t="shared" si="27"/>
        <v>1.43</v>
      </c>
      <c r="K116" s="48">
        <v>5720</v>
      </c>
      <c r="L116" s="137">
        <v>0</v>
      </c>
      <c r="M116" s="22">
        <v>480</v>
      </c>
      <c r="N116" s="22"/>
      <c r="O116" s="22"/>
      <c r="P116" s="22"/>
      <c r="Q116" s="23"/>
      <c r="R116" s="23"/>
      <c r="S116" s="23"/>
      <c r="T116" s="23"/>
      <c r="U116" s="23"/>
      <c r="V116" s="19">
        <f>IF(B116="","",K116+SUM(M116:R116))</f>
        <v>6200</v>
      </c>
      <c r="W116" s="44">
        <f t="shared" si="28"/>
        <v>1.55</v>
      </c>
      <c r="Y116" s="54"/>
      <c r="Z116" s="56"/>
      <c r="AB116" s="2"/>
      <c r="AC116" s="2"/>
      <c r="AD116" s="63" t="str">
        <f t="shared" si="17"/>
        <v/>
      </c>
    </row>
    <row r="117" spans="1:30" ht="15.75">
      <c r="A117" s="29" t="s">
        <v>262</v>
      </c>
      <c r="B117" s="3" t="s">
        <v>263</v>
      </c>
      <c r="C117" s="3" t="s">
        <v>55</v>
      </c>
      <c r="D117" s="3" t="s">
        <v>73</v>
      </c>
      <c r="E117" s="3" t="str">
        <f t="shared" si="33"/>
        <v>Direct</v>
      </c>
      <c r="F117" s="3" t="s">
        <v>46</v>
      </c>
      <c r="G117" s="3">
        <v>124</v>
      </c>
      <c r="H117" s="28">
        <f>G117*190</f>
        <v>23560</v>
      </c>
      <c r="I117" s="82" t="b">
        <v>1</v>
      </c>
      <c r="J117" s="46">
        <f t="shared" si="27"/>
        <v>1.4</v>
      </c>
      <c r="K117" s="48">
        <v>32984</v>
      </c>
      <c r="L117" s="137">
        <v>0</v>
      </c>
      <c r="M117" s="22">
        <v>1521.45</v>
      </c>
      <c r="N117" s="143">
        <f>5014+90</f>
        <v>5104</v>
      </c>
      <c r="O117" s="22">
        <v>120</v>
      </c>
      <c r="P117" s="22"/>
      <c r="Q117" s="23"/>
      <c r="R117" s="23"/>
      <c r="S117" s="23"/>
      <c r="T117" s="23"/>
      <c r="U117" s="23"/>
      <c r="V117" s="19">
        <f t="shared" si="32"/>
        <v>39729.449999999997</v>
      </c>
      <c r="W117" s="44">
        <f t="shared" si="28"/>
        <v>1.6863094227504243</v>
      </c>
      <c r="Y117" s="54"/>
      <c r="Z117" s="56"/>
      <c r="AB117" s="2"/>
      <c r="AC117" s="2"/>
      <c r="AD117" s="63" t="str">
        <f t="shared" si="17"/>
        <v/>
      </c>
    </row>
    <row r="118" spans="1:30" ht="15.75">
      <c r="A118" s="29" t="s">
        <v>264</v>
      </c>
      <c r="B118" s="3" t="s">
        <v>263</v>
      </c>
      <c r="C118" s="3" t="s">
        <v>55</v>
      </c>
      <c r="D118" s="3" t="s">
        <v>73</v>
      </c>
      <c r="E118" s="3" t="str">
        <f t="shared" ref="E118:E119" si="35">IF(B118="","",IF(D118="Godfroy","Godfroy",(IF(LEFT(B118,1)="1","Hiwa","Direct"))))</f>
        <v>Direct</v>
      </c>
      <c r="F118" s="3" t="s">
        <v>46</v>
      </c>
      <c r="G118" s="3">
        <v>124</v>
      </c>
      <c r="H118" s="28">
        <f>G118*190</f>
        <v>23560</v>
      </c>
      <c r="I118" s="82" t="b">
        <v>0</v>
      </c>
      <c r="J118" s="46">
        <f t="shared" si="27"/>
        <v>0</v>
      </c>
      <c r="K118" s="48"/>
      <c r="L118" s="137"/>
      <c r="M118" s="22"/>
      <c r="N118" s="22"/>
      <c r="O118" s="22"/>
      <c r="P118" s="22"/>
      <c r="Q118" s="23"/>
      <c r="R118" s="23"/>
      <c r="S118" s="23"/>
      <c r="T118" s="23"/>
      <c r="U118" s="23"/>
      <c r="V118" s="19">
        <f t="shared" si="32"/>
        <v>0</v>
      </c>
      <c r="W118" s="44">
        <f t="shared" si="28"/>
        <v>0</v>
      </c>
      <c r="Y118" s="54"/>
      <c r="Z118" s="56"/>
      <c r="AB118" s="2"/>
      <c r="AC118" s="2"/>
      <c r="AD118" s="63" t="str">
        <f t="shared" si="17"/>
        <v/>
      </c>
    </row>
    <row r="119" spans="1:30" ht="15.75">
      <c r="A119" s="29" t="s">
        <v>265</v>
      </c>
      <c r="B119" s="3" t="s">
        <v>266</v>
      </c>
      <c r="C119" s="3" t="s">
        <v>119</v>
      </c>
      <c r="D119" s="3" t="s">
        <v>267</v>
      </c>
      <c r="E119" s="3" t="str">
        <f t="shared" si="35"/>
        <v>Direct</v>
      </c>
      <c r="F119" s="3" t="s">
        <v>121</v>
      </c>
      <c r="G119" s="3">
        <v>2</v>
      </c>
      <c r="H119" s="28">
        <v>203</v>
      </c>
      <c r="I119" s="82" t="b">
        <v>1</v>
      </c>
      <c r="J119" s="46">
        <f t="shared" si="27"/>
        <v>1.5499999999999998</v>
      </c>
      <c r="K119" s="48">
        <v>314.64999999999998</v>
      </c>
      <c r="L119" s="137">
        <v>0</v>
      </c>
      <c r="M119" s="22">
        <v>200</v>
      </c>
      <c r="N119" s="22"/>
      <c r="O119" s="22"/>
      <c r="P119" s="22"/>
      <c r="Q119" s="23"/>
      <c r="R119" s="23"/>
      <c r="S119" s="23"/>
      <c r="T119" s="23"/>
      <c r="U119" s="23"/>
      <c r="V119" s="19">
        <f t="shared" ref="V119:V134" si="36">IF(B119="","",K119+SUM(M119:R119))</f>
        <v>514.65</v>
      </c>
      <c r="W119" s="44">
        <f t="shared" si="28"/>
        <v>2.5352216748768472</v>
      </c>
      <c r="Y119" s="54"/>
      <c r="Z119" s="56"/>
      <c r="AB119" s="2"/>
      <c r="AC119" s="2"/>
      <c r="AD119" s="63" t="str">
        <f t="shared" si="17"/>
        <v/>
      </c>
    </row>
    <row r="120" spans="1:30" ht="15.75">
      <c r="A120" s="29" t="s">
        <v>268</v>
      </c>
      <c r="B120" s="3" t="s">
        <v>269</v>
      </c>
      <c r="C120" s="3" t="s">
        <v>119</v>
      </c>
      <c r="D120" s="3" t="s">
        <v>267</v>
      </c>
      <c r="E120" s="3" t="str">
        <f t="shared" ref="E120:E123" si="37">IF(B120="","",IF(D120="Godfroy","Godfroy",(IF(LEFT(B120,1)="1","Hiwa","Direct"))))</f>
        <v>Direct</v>
      </c>
      <c r="F120" s="3" t="s">
        <v>121</v>
      </c>
      <c r="G120" s="3">
        <v>29</v>
      </c>
      <c r="H120" s="28">
        <v>400</v>
      </c>
      <c r="I120" s="82" t="b">
        <v>1</v>
      </c>
      <c r="J120" s="46">
        <f t="shared" si="27"/>
        <v>0.9</v>
      </c>
      <c r="K120" s="48">
        <v>360</v>
      </c>
      <c r="L120" s="137">
        <v>0</v>
      </c>
      <c r="M120" s="22">
        <v>100</v>
      </c>
      <c r="N120" s="22"/>
      <c r="O120" s="22"/>
      <c r="P120" s="22"/>
      <c r="Q120" s="23"/>
      <c r="R120" s="23"/>
      <c r="S120" s="23"/>
      <c r="T120" s="23"/>
      <c r="U120" s="23"/>
      <c r="V120" s="19">
        <f t="shared" si="36"/>
        <v>460</v>
      </c>
      <c r="W120" s="44">
        <f t="shared" si="28"/>
        <v>1.1499999999999999</v>
      </c>
      <c r="Y120" s="54"/>
      <c r="Z120" s="56"/>
      <c r="AB120" s="2"/>
      <c r="AC120" s="2"/>
      <c r="AD120" s="63" t="str">
        <f t="shared" si="17"/>
        <v/>
      </c>
    </row>
    <row r="121" spans="1:30" ht="15.75">
      <c r="A121" s="29" t="s">
        <v>270</v>
      </c>
      <c r="B121" s="3" t="s">
        <v>214</v>
      </c>
      <c r="C121" s="9" t="s">
        <v>119</v>
      </c>
      <c r="D121" s="3" t="s">
        <v>215</v>
      </c>
      <c r="E121" s="3" t="str">
        <f t="shared" si="37"/>
        <v>Direct</v>
      </c>
      <c r="F121" s="10" t="s">
        <v>121</v>
      </c>
      <c r="G121" s="1">
        <v>4</v>
      </c>
      <c r="H121" s="27">
        <f>+G121*200</f>
        <v>800</v>
      </c>
      <c r="I121" s="82" t="b">
        <v>1</v>
      </c>
      <c r="J121" s="46">
        <f t="shared" si="27"/>
        <v>1.73</v>
      </c>
      <c r="K121" s="48">
        <v>1384</v>
      </c>
      <c r="L121" s="137">
        <v>0</v>
      </c>
      <c r="M121" s="22">
        <v>250</v>
      </c>
      <c r="N121" s="22"/>
      <c r="O121" s="22"/>
      <c r="P121" s="22"/>
      <c r="Q121" s="23"/>
      <c r="R121" s="23"/>
      <c r="S121" s="23"/>
      <c r="T121" s="23"/>
      <c r="U121" s="23"/>
      <c r="V121" s="19">
        <f t="shared" si="36"/>
        <v>1634</v>
      </c>
      <c r="W121" s="44">
        <f t="shared" si="28"/>
        <v>2.0425</v>
      </c>
      <c r="Y121" s="54"/>
      <c r="Z121" s="56"/>
      <c r="AB121" s="2"/>
      <c r="AC121" s="2"/>
      <c r="AD121" s="63" t="str">
        <f t="shared" si="17"/>
        <v/>
      </c>
    </row>
    <row r="122" spans="1:30" ht="15.75">
      <c r="A122" s="29" t="s">
        <v>271</v>
      </c>
      <c r="B122" s="3" t="s">
        <v>217</v>
      </c>
      <c r="C122" s="9" t="s">
        <v>119</v>
      </c>
      <c r="D122" s="3" t="s">
        <v>215</v>
      </c>
      <c r="E122" s="3" t="str">
        <f t="shared" si="37"/>
        <v>Direct</v>
      </c>
      <c r="F122" s="10" t="s">
        <v>121</v>
      </c>
      <c r="G122" s="1">
        <v>4</v>
      </c>
      <c r="H122" s="27">
        <f>+G122*5</f>
        <v>20</v>
      </c>
      <c r="I122" s="82" t="b">
        <v>1</v>
      </c>
      <c r="J122" s="46">
        <f t="shared" si="27"/>
        <v>4.7</v>
      </c>
      <c r="K122" s="48">
        <v>94</v>
      </c>
      <c r="L122" s="137">
        <v>0</v>
      </c>
      <c r="M122" s="22">
        <v>10</v>
      </c>
      <c r="N122" s="22"/>
      <c r="O122" s="22"/>
      <c r="P122" s="22"/>
      <c r="Q122" s="23"/>
      <c r="R122" s="23"/>
      <c r="S122" s="23"/>
      <c r="T122" s="23"/>
      <c r="U122" s="23"/>
      <c r="V122" s="19">
        <f t="shared" si="36"/>
        <v>104</v>
      </c>
      <c r="W122" s="44">
        <f t="shared" si="28"/>
        <v>5.2</v>
      </c>
      <c r="Y122" s="54"/>
      <c r="Z122" s="56"/>
      <c r="AB122" s="2"/>
      <c r="AC122" s="2"/>
      <c r="AD122" s="63" t="str">
        <f t="shared" si="17"/>
        <v/>
      </c>
    </row>
    <row r="123" spans="1:30" ht="15.75">
      <c r="A123" s="29" t="s">
        <v>272</v>
      </c>
      <c r="B123" s="3" t="s">
        <v>68</v>
      </c>
      <c r="C123" s="9" t="s">
        <v>66</v>
      </c>
      <c r="D123" s="3" t="s">
        <v>30</v>
      </c>
      <c r="E123" s="3" t="str">
        <f t="shared" si="37"/>
        <v>Hiwa</v>
      </c>
      <c r="F123" s="10" t="s">
        <v>46</v>
      </c>
      <c r="G123" s="1">
        <v>1080</v>
      </c>
      <c r="H123" s="27">
        <f>G123*20</f>
        <v>21600</v>
      </c>
      <c r="I123" s="82" t="b">
        <v>1</v>
      </c>
      <c r="J123" s="46">
        <f t="shared" si="27"/>
        <v>1.4375326711970726</v>
      </c>
      <c r="K123" s="48">
        <f>35640/1.1478</f>
        <v>31050.705697856771</v>
      </c>
      <c r="L123" s="137">
        <f>1400/1.1478</f>
        <v>1219.7246907126678</v>
      </c>
      <c r="M123" s="106"/>
      <c r="N123" s="106"/>
      <c r="O123" s="22"/>
      <c r="P123" s="22"/>
      <c r="Q123" s="23"/>
      <c r="R123" s="23"/>
      <c r="S123" s="23"/>
      <c r="T123" s="23"/>
      <c r="U123" s="23"/>
      <c r="V123" s="19">
        <f t="shared" si="36"/>
        <v>31050.705697856771</v>
      </c>
      <c r="W123" s="44">
        <f t="shared" si="28"/>
        <v>1.4375326711970726</v>
      </c>
      <c r="Y123" s="54"/>
      <c r="Z123" s="56"/>
      <c r="AB123" s="2"/>
      <c r="AC123" s="2"/>
      <c r="AD123" s="63" t="str">
        <f t="shared" ref="AD123" si="38">IF(AC123&gt;0,((AC123)*W123),"")</f>
        <v/>
      </c>
    </row>
    <row r="124" spans="1:30" ht="15.75">
      <c r="A124" s="29" t="s">
        <v>273</v>
      </c>
      <c r="B124" s="3" t="s">
        <v>157</v>
      </c>
      <c r="C124" s="3" t="s">
        <v>126</v>
      </c>
      <c r="D124" s="3" t="s">
        <v>226</v>
      </c>
      <c r="E124" s="3" t="str">
        <f>IF(B124="","",IF(D124="Godfroy","Godfroy",(IF(LEFT(B124,1)="1","Hiwa","Direct"))))</f>
        <v>Direct</v>
      </c>
      <c r="F124" s="3" t="s">
        <v>128</v>
      </c>
      <c r="G124" s="3">
        <v>10</v>
      </c>
      <c r="H124" s="28">
        <f>G124*21</f>
        <v>210</v>
      </c>
      <c r="I124" s="82" t="b">
        <v>1</v>
      </c>
      <c r="J124" s="46">
        <f t="shared" si="27"/>
        <v>1</v>
      </c>
      <c r="K124" s="48">
        <v>210</v>
      </c>
      <c r="L124" s="137">
        <v>0</v>
      </c>
      <c r="M124" s="22">
        <v>145.44</v>
      </c>
      <c r="N124" s="22"/>
      <c r="O124" s="22"/>
      <c r="P124" s="22"/>
      <c r="Q124" s="23"/>
      <c r="R124" s="23"/>
      <c r="S124" s="23"/>
      <c r="T124" s="23"/>
      <c r="U124" s="23"/>
      <c r="V124" s="19">
        <f t="shared" si="36"/>
        <v>355.44</v>
      </c>
      <c r="W124" s="44">
        <f t="shared" si="28"/>
        <v>1.6925714285714286</v>
      </c>
      <c r="Y124" s="54"/>
      <c r="Z124" s="56"/>
      <c r="AB124" s="2"/>
      <c r="AC124" s="2"/>
      <c r="AD124" s="63" t="str">
        <f t="shared" si="17"/>
        <v/>
      </c>
    </row>
    <row r="125" spans="1:30" ht="15.75">
      <c r="A125" s="29" t="s">
        <v>274</v>
      </c>
      <c r="B125" s="3" t="s">
        <v>132</v>
      </c>
      <c r="C125" s="3" t="s">
        <v>133</v>
      </c>
      <c r="D125" s="13" t="s">
        <v>134</v>
      </c>
      <c r="E125" s="3" t="str">
        <f t="shared" ref="E125:E127" si="39">IF(B125="","",IF(D125="Godfroy","Godfroy",(IF(LEFT(B125,1)="1","Hiwa","Direct"))))</f>
        <v>Direct</v>
      </c>
      <c r="F125" s="3" t="s">
        <v>121</v>
      </c>
      <c r="G125" s="65">
        <v>36</v>
      </c>
      <c r="H125" s="53">
        <f>G125*220</f>
        <v>7920</v>
      </c>
      <c r="I125" s="82" t="b">
        <v>1</v>
      </c>
      <c r="J125" s="46">
        <f t="shared" si="27"/>
        <v>1.45</v>
      </c>
      <c r="K125" s="48">
        <v>11484</v>
      </c>
      <c r="L125" s="137">
        <v>0</v>
      </c>
      <c r="M125" s="22">
        <v>864</v>
      </c>
      <c r="N125" s="22"/>
      <c r="O125" s="22"/>
      <c r="P125" s="22"/>
      <c r="Q125" s="23"/>
      <c r="R125" s="23"/>
      <c r="S125" s="23"/>
      <c r="T125" s="23"/>
      <c r="U125" s="23"/>
      <c r="V125" s="19">
        <f t="shared" si="36"/>
        <v>12348</v>
      </c>
      <c r="W125" s="44">
        <f t="shared" si="28"/>
        <v>1.5590909090909091</v>
      </c>
      <c r="Y125" s="54"/>
      <c r="Z125" s="56"/>
      <c r="AB125" s="2"/>
      <c r="AC125" s="2"/>
      <c r="AD125" s="63" t="str">
        <f t="shared" si="17"/>
        <v/>
      </c>
    </row>
    <row r="126" spans="1:30" ht="15.75">
      <c r="A126" s="29" t="s">
        <v>275</v>
      </c>
      <c r="B126" s="3" t="s">
        <v>136</v>
      </c>
      <c r="C126" s="3" t="s">
        <v>133</v>
      </c>
      <c r="D126" s="13" t="s">
        <v>134</v>
      </c>
      <c r="E126" s="3" t="str">
        <f t="shared" si="39"/>
        <v>Direct</v>
      </c>
      <c r="F126" s="3" t="s">
        <v>121</v>
      </c>
      <c r="G126" s="65">
        <v>4</v>
      </c>
      <c r="H126" s="53">
        <f>G126*220</f>
        <v>880</v>
      </c>
      <c r="I126" s="82" t="b">
        <v>1</v>
      </c>
      <c r="J126" s="46">
        <f t="shared" si="27"/>
        <v>1.24</v>
      </c>
      <c r="K126" s="48">
        <v>1091.2</v>
      </c>
      <c r="L126" s="137">
        <v>0</v>
      </c>
      <c r="M126" s="22">
        <v>96</v>
      </c>
      <c r="N126" s="22"/>
      <c r="O126" s="22"/>
      <c r="P126" s="22"/>
      <c r="Q126" s="23"/>
      <c r="R126" s="23"/>
      <c r="S126" s="23"/>
      <c r="T126" s="23"/>
      <c r="U126" s="23"/>
      <c r="V126" s="19">
        <f t="shared" si="36"/>
        <v>1187.2</v>
      </c>
      <c r="W126" s="44">
        <f t="shared" si="28"/>
        <v>1.3490909090909091</v>
      </c>
      <c r="Y126" s="54"/>
      <c r="Z126" s="56"/>
      <c r="AB126" s="2"/>
      <c r="AC126" s="2"/>
      <c r="AD126" s="63" t="str">
        <f t="shared" si="17"/>
        <v/>
      </c>
    </row>
    <row r="127" spans="1:30" ht="15.75">
      <c r="A127" s="29" t="s">
        <v>276</v>
      </c>
      <c r="B127" s="3" t="s">
        <v>277</v>
      </c>
      <c r="C127" s="9" t="s">
        <v>176</v>
      </c>
      <c r="D127" s="13" t="s">
        <v>278</v>
      </c>
      <c r="E127" s="3" t="str">
        <f t="shared" si="39"/>
        <v>Direct</v>
      </c>
      <c r="F127" s="10" t="s">
        <v>36</v>
      </c>
      <c r="G127" s="1">
        <v>8</v>
      </c>
      <c r="H127" s="27">
        <f>G127*24</f>
        <v>192</v>
      </c>
      <c r="I127" s="82" t="b">
        <v>1</v>
      </c>
      <c r="J127" s="46">
        <f t="shared" si="27"/>
        <v>2</v>
      </c>
      <c r="K127" s="48">
        <v>384</v>
      </c>
      <c r="L127" s="137">
        <v>0</v>
      </c>
      <c r="M127" s="22">
        <v>260</v>
      </c>
      <c r="N127" s="22"/>
      <c r="O127" s="22"/>
      <c r="P127" s="22"/>
      <c r="Q127" s="23"/>
      <c r="R127" s="23"/>
      <c r="S127" s="23"/>
      <c r="T127" s="23"/>
      <c r="U127" s="23"/>
      <c r="V127" s="19">
        <f t="shared" si="36"/>
        <v>644</v>
      </c>
      <c r="W127" s="44">
        <f t="shared" si="28"/>
        <v>3.3541666666666665</v>
      </c>
      <c r="Y127" s="54"/>
      <c r="Z127" s="56"/>
      <c r="AB127" s="2"/>
      <c r="AC127" s="2"/>
      <c r="AD127" s="63" t="str">
        <f t="shared" si="17"/>
        <v/>
      </c>
    </row>
    <row r="128" spans="1:30" ht="15.75">
      <c r="A128" s="29" t="s">
        <v>279</v>
      </c>
      <c r="B128" s="3" t="s">
        <v>280</v>
      </c>
      <c r="C128" s="9" t="s">
        <v>176</v>
      </c>
      <c r="D128" s="13" t="s">
        <v>278</v>
      </c>
      <c r="E128" s="3" t="str">
        <f t="shared" ref="E128:E132" si="40">IF(B128="","",IF(D128="Godfroy","Godfroy",(IF(LEFT(B128,1)="1","Hiwa","Direct"))))</f>
        <v>Direct</v>
      </c>
      <c r="F128" s="10" t="s">
        <v>36</v>
      </c>
      <c r="G128" s="1">
        <v>8</v>
      </c>
      <c r="H128" s="27">
        <f>G128*24</f>
        <v>192</v>
      </c>
      <c r="I128" s="82" t="b">
        <v>1</v>
      </c>
      <c r="J128" s="46">
        <f t="shared" si="27"/>
        <v>2.3000000000000003</v>
      </c>
      <c r="K128" s="48">
        <v>441.6</v>
      </c>
      <c r="L128" s="137">
        <v>0</v>
      </c>
      <c r="M128" s="22">
        <v>260</v>
      </c>
      <c r="N128" s="22"/>
      <c r="O128" s="22"/>
      <c r="P128" s="22"/>
      <c r="Q128" s="23"/>
      <c r="R128" s="23"/>
      <c r="S128" s="23"/>
      <c r="T128" s="23"/>
      <c r="U128" s="23"/>
      <c r="V128" s="19">
        <f t="shared" si="36"/>
        <v>701.6</v>
      </c>
      <c r="W128" s="44">
        <f t="shared" si="28"/>
        <v>3.6541666666666668</v>
      </c>
      <c r="Y128" s="54"/>
      <c r="Z128" s="56"/>
      <c r="AB128" s="2"/>
      <c r="AC128" s="2"/>
      <c r="AD128" s="63" t="str">
        <f t="shared" si="17"/>
        <v/>
      </c>
    </row>
    <row r="129" spans="1:30" ht="15.75">
      <c r="A129" s="29" t="s">
        <v>281</v>
      </c>
      <c r="B129" s="3" t="s">
        <v>143</v>
      </c>
      <c r="C129" s="9" t="s">
        <v>119</v>
      </c>
      <c r="D129" s="3" t="s">
        <v>144</v>
      </c>
      <c r="E129" s="3" t="str">
        <f t="shared" si="40"/>
        <v>Direct</v>
      </c>
      <c r="F129" s="10" t="s">
        <v>121</v>
      </c>
      <c r="G129" s="1">
        <v>110</v>
      </c>
      <c r="H129" s="27">
        <v>1100</v>
      </c>
      <c r="I129" s="82" t="b">
        <v>1</v>
      </c>
      <c r="J129" s="46">
        <f t="shared" si="27"/>
        <v>1.115</v>
      </c>
      <c r="K129" s="48">
        <v>1226.5</v>
      </c>
      <c r="L129" s="137">
        <v>0</v>
      </c>
      <c r="M129" s="106"/>
      <c r="N129" s="22"/>
      <c r="O129" s="22"/>
      <c r="P129" s="22"/>
      <c r="Q129" s="23"/>
      <c r="R129" s="23"/>
      <c r="S129" s="23"/>
      <c r="T129" s="23"/>
      <c r="U129" s="23"/>
      <c r="V129" s="19">
        <f t="shared" si="36"/>
        <v>1226.5</v>
      </c>
      <c r="W129" s="44">
        <f t="shared" si="28"/>
        <v>1.115</v>
      </c>
      <c r="Y129" s="54"/>
      <c r="Z129" s="56"/>
      <c r="AB129" s="2"/>
      <c r="AC129" s="2"/>
      <c r="AD129" s="63" t="str">
        <f t="shared" si="17"/>
        <v/>
      </c>
    </row>
    <row r="130" spans="1:30" ht="15.75">
      <c r="A130" s="29" t="s">
        <v>282</v>
      </c>
      <c r="B130" s="3" t="s">
        <v>196</v>
      </c>
      <c r="C130" s="9" t="s">
        <v>176</v>
      </c>
      <c r="D130" s="3" t="s">
        <v>197</v>
      </c>
      <c r="E130" s="3" t="str">
        <f t="shared" si="40"/>
        <v>Direct</v>
      </c>
      <c r="F130" s="10" t="s">
        <v>128</v>
      </c>
      <c r="G130" s="14">
        <v>96</v>
      </c>
      <c r="H130" s="81">
        <f>G130*24</f>
        <v>2304</v>
      </c>
      <c r="I130" s="82" t="b">
        <v>1</v>
      </c>
      <c r="J130" s="46">
        <f t="shared" si="27"/>
        <v>2.0999999999999996</v>
      </c>
      <c r="K130" s="48">
        <v>4838.3999999999996</v>
      </c>
      <c r="L130" s="137">
        <v>0</v>
      </c>
      <c r="M130" s="22">
        <v>1040</v>
      </c>
      <c r="N130" s="22"/>
      <c r="O130" s="22"/>
      <c r="P130" s="22"/>
      <c r="Q130" s="23"/>
      <c r="R130" s="23"/>
      <c r="S130" s="23"/>
      <c r="T130" s="23"/>
      <c r="U130" s="23"/>
      <c r="V130" s="19">
        <f t="shared" si="36"/>
        <v>5878.4</v>
      </c>
      <c r="W130" s="44">
        <f t="shared" si="28"/>
        <v>2.5513888888888889</v>
      </c>
      <c r="Y130" s="54"/>
      <c r="Z130" s="56"/>
      <c r="AB130" s="2"/>
      <c r="AC130" s="2"/>
      <c r="AD130" s="63" t="str">
        <f t="shared" si="17"/>
        <v/>
      </c>
    </row>
    <row r="131" spans="1:30" ht="15.75">
      <c r="A131" s="29" t="s">
        <v>283</v>
      </c>
      <c r="B131" s="3" t="s">
        <v>183</v>
      </c>
      <c r="C131" s="3" t="s">
        <v>119</v>
      </c>
      <c r="D131" s="13" t="s">
        <v>184</v>
      </c>
      <c r="E131" s="3" t="str">
        <f t="shared" si="40"/>
        <v>Direct</v>
      </c>
      <c r="F131" s="3" t="s">
        <v>121</v>
      </c>
      <c r="G131" s="3">
        <v>8</v>
      </c>
      <c r="H131" s="28">
        <f>G131*210</f>
        <v>1680</v>
      </c>
      <c r="I131" s="82" t="b">
        <v>1</v>
      </c>
      <c r="J131" s="46">
        <f t="shared" si="27"/>
        <v>2.1</v>
      </c>
      <c r="K131" s="48">
        <v>3528</v>
      </c>
      <c r="L131" s="137">
        <v>0</v>
      </c>
      <c r="M131" s="22">
        <v>380</v>
      </c>
      <c r="N131" s="22"/>
      <c r="O131" s="22"/>
      <c r="P131" s="22"/>
      <c r="Q131" s="23"/>
      <c r="R131" s="23"/>
      <c r="S131" s="23"/>
      <c r="T131" s="23"/>
      <c r="U131" s="23"/>
      <c r="V131" s="19">
        <f t="shared" si="36"/>
        <v>3908</v>
      </c>
      <c r="W131" s="44">
        <f t="shared" si="28"/>
        <v>2.3261904761904764</v>
      </c>
      <c r="Y131" s="54"/>
      <c r="Z131" s="56"/>
      <c r="AB131" s="2"/>
      <c r="AC131" s="2"/>
      <c r="AD131" s="63" t="str">
        <f t="shared" si="17"/>
        <v/>
      </c>
    </row>
    <row r="132" spans="1:30" ht="15.75">
      <c r="A132" s="29" t="s">
        <v>284</v>
      </c>
      <c r="B132" s="3" t="s">
        <v>285</v>
      </c>
      <c r="C132" s="9" t="s">
        <v>58</v>
      </c>
      <c r="D132" s="13" t="s">
        <v>30</v>
      </c>
      <c r="E132" s="3" t="str">
        <f t="shared" si="40"/>
        <v>Hiwa</v>
      </c>
      <c r="F132" s="10" t="s">
        <v>59</v>
      </c>
      <c r="G132" s="1">
        <v>12</v>
      </c>
      <c r="H132" s="27">
        <f>G132*190</f>
        <v>2280</v>
      </c>
      <c r="I132" s="82" t="b">
        <v>0</v>
      </c>
      <c r="J132" s="46">
        <f t="shared" si="27"/>
        <v>0</v>
      </c>
      <c r="K132" s="48"/>
      <c r="L132" s="137"/>
      <c r="M132" s="22"/>
      <c r="N132" s="22"/>
      <c r="O132" s="22"/>
      <c r="P132" s="22"/>
      <c r="Q132" s="23"/>
      <c r="R132" s="23"/>
      <c r="S132" s="23"/>
      <c r="T132" s="23"/>
      <c r="U132" s="23"/>
      <c r="V132" s="19">
        <f t="shared" si="36"/>
        <v>0</v>
      </c>
      <c r="W132" s="44">
        <f t="shared" si="28"/>
        <v>0</v>
      </c>
      <c r="Y132" s="54"/>
      <c r="Z132" s="56"/>
      <c r="AB132" s="2"/>
      <c r="AC132" s="2"/>
      <c r="AD132" s="63" t="str">
        <f t="shared" si="17"/>
        <v/>
      </c>
    </row>
    <row r="133" spans="1:30" ht="15.75">
      <c r="A133" s="29" t="s">
        <v>286</v>
      </c>
      <c r="B133" s="3" t="s">
        <v>183</v>
      </c>
      <c r="C133" s="3" t="s">
        <v>119</v>
      </c>
      <c r="D133" s="13" t="s">
        <v>184</v>
      </c>
      <c r="E133" s="3" t="str">
        <f t="shared" ref="E133" si="41">IF(B133="","",IF(D133="Godfroy","Godfroy",(IF(LEFT(B133,1)="1","Hiwa","Direct"))))</f>
        <v>Direct</v>
      </c>
      <c r="F133" s="3" t="s">
        <v>121</v>
      </c>
      <c r="G133" s="3">
        <v>12</v>
      </c>
      <c r="H133" s="28">
        <f>G133*210</f>
        <v>2520</v>
      </c>
      <c r="I133" s="82" t="b">
        <v>0</v>
      </c>
      <c r="J133" s="46">
        <f t="shared" si="27"/>
        <v>0</v>
      </c>
      <c r="K133" s="48"/>
      <c r="L133" s="137"/>
      <c r="M133" s="22"/>
      <c r="N133" s="22"/>
      <c r="O133" s="22"/>
      <c r="P133" s="22"/>
      <c r="Q133" s="23"/>
      <c r="R133" s="23"/>
      <c r="S133" s="23"/>
      <c r="T133" s="23"/>
      <c r="U133" s="23"/>
      <c r="V133" s="19">
        <f t="shared" si="36"/>
        <v>0</v>
      </c>
      <c r="W133" s="44">
        <f t="shared" si="28"/>
        <v>0</v>
      </c>
      <c r="Y133" s="54"/>
      <c r="Z133" s="56"/>
      <c r="AB133" s="2"/>
      <c r="AC133" s="2"/>
      <c r="AD133" s="63" t="str">
        <f t="shared" si="17"/>
        <v/>
      </c>
    </row>
    <row r="134" spans="1:30" ht="15.75">
      <c r="A134" s="29" t="s">
        <v>287</v>
      </c>
      <c r="B134" s="3" t="s">
        <v>288</v>
      </c>
      <c r="C134" s="3" t="s">
        <v>34</v>
      </c>
      <c r="D134" s="3" t="s">
        <v>289</v>
      </c>
      <c r="E134" s="3" t="str">
        <f>IF(B134="","",IF(D134="Godfroy","Godfroy",(IF(LEFT(B134,1)="1","Hiwa","Direct"))))</f>
        <v>Direct</v>
      </c>
      <c r="F134" s="3" t="s">
        <v>36</v>
      </c>
      <c r="G134" s="3">
        <v>10</v>
      </c>
      <c r="H134" s="28">
        <v>200</v>
      </c>
      <c r="I134" s="82" t="b">
        <v>1</v>
      </c>
      <c r="J134" s="46">
        <f>IF(H134="","",+K134/H134)</f>
        <v>16.04</v>
      </c>
      <c r="K134" s="48">
        <v>3208</v>
      </c>
      <c r="L134" s="137">
        <v>0</v>
      </c>
      <c r="M134" s="22">
        <v>222.85</v>
      </c>
      <c r="N134" s="22"/>
      <c r="O134" s="22"/>
      <c r="P134" s="22"/>
      <c r="Q134" s="23"/>
      <c r="R134" s="23"/>
      <c r="S134" s="23"/>
      <c r="T134" s="23"/>
      <c r="U134" s="23"/>
      <c r="V134" s="19">
        <f t="shared" si="36"/>
        <v>3430.85</v>
      </c>
      <c r="W134" s="44">
        <f t="shared" si="28"/>
        <v>17.154250000000001</v>
      </c>
      <c r="Y134" s="54"/>
      <c r="Z134" s="56"/>
      <c r="AB134" s="2"/>
      <c r="AC134" s="2"/>
      <c r="AD134" s="63" t="str">
        <f t="shared" si="17"/>
        <v/>
      </c>
    </row>
    <row r="135" spans="1:30" ht="15.75">
      <c r="A135" s="29" t="s">
        <v>290</v>
      </c>
      <c r="B135" s="3" t="s">
        <v>89</v>
      </c>
      <c r="C135" s="9" t="s">
        <v>90</v>
      </c>
      <c r="D135" s="3" t="s">
        <v>30</v>
      </c>
      <c r="E135" s="3" t="str">
        <f t="shared" ref="E135" si="42">IF(B135="","",IF(D135="Godfroy","Godfroy",(IF(LEFT(B135,1)="1","Hiwa","Direct"))))</f>
        <v>Hiwa</v>
      </c>
      <c r="F135" s="10" t="s">
        <v>59</v>
      </c>
      <c r="G135" s="1">
        <v>80</v>
      </c>
      <c r="H135" s="27">
        <f>+G135*205</f>
        <v>16400</v>
      </c>
      <c r="I135" s="82" t="b">
        <v>1</v>
      </c>
      <c r="J135" s="46">
        <f>IF(H135="","",+K135/H135)</f>
        <v>0.57578323454699409</v>
      </c>
      <c r="K135" s="48">
        <f>11152/1.181</f>
        <v>9442.8450465707028</v>
      </c>
      <c r="L135" s="137">
        <f>(1546*(80/128))/1.1718</f>
        <v>824.58610684417135</v>
      </c>
      <c r="M135" s="22"/>
      <c r="N135" s="22"/>
      <c r="O135" s="22">
        <f>195*(80/128)</f>
        <v>121.875</v>
      </c>
      <c r="P135" s="23">
        <f>1480.67*(80/128)</f>
        <v>925.41875000000005</v>
      </c>
      <c r="Q135" s="23"/>
      <c r="R135" s="23"/>
      <c r="S135" s="23"/>
      <c r="T135" s="23"/>
      <c r="U135" s="23"/>
      <c r="V135" s="19">
        <f>IF(B135="","",K135+SUM(L135:R135))</f>
        <v>11314.724903414874</v>
      </c>
      <c r="W135" s="44">
        <f>IF(J135="","",+V135/H135)</f>
        <v>0.68992225020822395</v>
      </c>
      <c r="Y135" s="54">
        <v>377263</v>
      </c>
      <c r="Z135" s="72">
        <v>45866</v>
      </c>
      <c r="AB135" s="2"/>
      <c r="AC135" s="2"/>
      <c r="AD135" s="63" t="str">
        <f t="shared" si="17"/>
        <v/>
      </c>
    </row>
    <row r="136" spans="1:30" ht="15.75">
      <c r="A136" s="29" t="s">
        <v>291</v>
      </c>
      <c r="B136" s="3" t="s">
        <v>292</v>
      </c>
      <c r="C136" s="9" t="s">
        <v>90</v>
      </c>
      <c r="D136" s="3" t="s">
        <v>30</v>
      </c>
      <c r="E136" s="3" t="str">
        <f>IF(B136="","",IF(D136="Godfroy","Godfroy",(IF(LEFT(B136,1)="1","Hiwa","Direct"))))</f>
        <v>Hiwa</v>
      </c>
      <c r="F136" s="10" t="s">
        <v>59</v>
      </c>
      <c r="G136" s="1">
        <v>48</v>
      </c>
      <c r="H136" s="27">
        <f>+G136*210</f>
        <v>10080</v>
      </c>
      <c r="I136" s="82" t="b">
        <v>1</v>
      </c>
      <c r="J136" s="46">
        <f>IF(H136="","",+K136/H136)</f>
        <v>0.88907705334462306</v>
      </c>
      <c r="K136" s="48">
        <f>10584/1.181</f>
        <v>8961.8966977138007</v>
      </c>
      <c r="L136" s="137">
        <f>(1546*(48/128))/1.1718</f>
        <v>494.75166410650286</v>
      </c>
      <c r="M136" s="22"/>
      <c r="N136" s="22">
        <f>63.45+2763.5</f>
        <v>2826.95</v>
      </c>
      <c r="O136" s="22">
        <f>195*(48/128)</f>
        <v>73.125</v>
      </c>
      <c r="P136" s="23">
        <f>1480.67*(48/128)</f>
        <v>555.25125000000003</v>
      </c>
      <c r="Q136" s="23"/>
      <c r="R136" s="23"/>
      <c r="S136" s="23"/>
      <c r="T136" s="23"/>
      <c r="U136" s="23"/>
      <c r="V136" s="19">
        <f>IF(B136="","",K136+SUM(L136:R136))</f>
        <v>12911.974611820304</v>
      </c>
      <c r="W136" s="44">
        <f>IF(J136="","",+V136/H136)</f>
        <v>1.2809498622837603</v>
      </c>
      <c r="Y136" s="54">
        <v>377264</v>
      </c>
      <c r="Z136" s="72">
        <v>45866</v>
      </c>
      <c r="AB136" s="2"/>
      <c r="AC136" s="2"/>
      <c r="AD136" s="63" t="str">
        <f t="shared" ref="AD136:AD145" si="43">IF(AC136&gt;0,((AC136)*W136),"")</f>
        <v/>
      </c>
    </row>
    <row r="137" spans="1:30" ht="15.75">
      <c r="A137" s="29" t="s">
        <v>293</v>
      </c>
      <c r="B137" s="3" t="s">
        <v>153</v>
      </c>
      <c r="C137" s="3" t="s">
        <v>126</v>
      </c>
      <c r="D137" s="3" t="s">
        <v>127</v>
      </c>
      <c r="E137" s="3" t="str">
        <f>IF(B137="","",IF(D137="Godfroy","Godfroy",(IF(LEFT(B137,1)="1","Hiwa","Direct"))))</f>
        <v>Direct</v>
      </c>
      <c r="F137" s="3" t="s">
        <v>128</v>
      </c>
      <c r="G137" s="3">
        <v>4</v>
      </c>
      <c r="H137" s="28">
        <f>G137*220</f>
        <v>880</v>
      </c>
      <c r="I137" s="82" t="b">
        <v>1</v>
      </c>
      <c r="J137" s="46">
        <f>IF(H137="","",+K137/H137)</f>
        <v>0.78</v>
      </c>
      <c r="K137" s="48">
        <v>686.4</v>
      </c>
      <c r="L137" s="137">
        <v>0</v>
      </c>
      <c r="M137" s="22">
        <v>197.29</v>
      </c>
      <c r="N137" s="22"/>
      <c r="O137" s="22"/>
      <c r="P137" s="22"/>
      <c r="Q137" s="23"/>
      <c r="R137" s="23"/>
      <c r="S137" s="23"/>
      <c r="T137" s="23"/>
      <c r="U137" s="23"/>
      <c r="V137" s="19">
        <f t="shared" ref="V137:V141" si="44">IF(B137="","",K137+SUM(M137:R137))</f>
        <v>883.68999999999994</v>
      </c>
      <c r="W137" s="44">
        <f>IF(J137="","",+V137/H137)</f>
        <v>1.0041931818181817</v>
      </c>
      <c r="Y137" s="54"/>
      <c r="Z137" s="56"/>
      <c r="AB137" s="2"/>
      <c r="AC137" s="2"/>
      <c r="AD137" s="63" t="str">
        <f t="shared" si="43"/>
        <v/>
      </c>
    </row>
    <row r="138" spans="1:30" ht="15.75">
      <c r="A138" s="29" t="s">
        <v>294</v>
      </c>
      <c r="B138" s="3" t="s">
        <v>93</v>
      </c>
      <c r="C138" s="3" t="s">
        <v>90</v>
      </c>
      <c r="D138" s="3" t="s">
        <v>112</v>
      </c>
      <c r="E138" s="3" t="str">
        <f t="shared" ref="E138" si="45">IF(B138="","",IF(D138="Godfroy","Godfroy",(IF(LEFT(B138,1)="1","Hiwa","Direct"))))</f>
        <v>Direct</v>
      </c>
      <c r="F138" s="3" t="s">
        <v>59</v>
      </c>
      <c r="G138" s="3">
        <v>112</v>
      </c>
      <c r="H138" s="28">
        <f>G138*205</f>
        <v>22960</v>
      </c>
      <c r="I138" s="82" t="b">
        <v>0</v>
      </c>
      <c r="J138" s="46">
        <f t="shared" si="27"/>
        <v>0</v>
      </c>
      <c r="K138" s="48"/>
      <c r="L138" s="137"/>
      <c r="M138" s="22"/>
      <c r="N138" s="22"/>
      <c r="O138" s="22"/>
      <c r="P138" s="22"/>
      <c r="Q138" s="23"/>
      <c r="R138" s="23"/>
      <c r="S138" s="23"/>
      <c r="T138" s="23"/>
      <c r="U138" s="23"/>
      <c r="V138" s="19">
        <f t="shared" si="44"/>
        <v>0</v>
      </c>
      <c r="W138" s="44">
        <f t="shared" si="28"/>
        <v>0</v>
      </c>
      <c r="Y138" s="54"/>
      <c r="Z138" s="56"/>
      <c r="AB138" s="2"/>
      <c r="AC138" s="2"/>
      <c r="AD138" s="63" t="str">
        <f t="shared" si="43"/>
        <v/>
      </c>
    </row>
    <row r="139" spans="1:30" ht="15.75">
      <c r="A139" s="29" t="s">
        <v>295</v>
      </c>
      <c r="B139" s="3" t="s">
        <v>296</v>
      </c>
      <c r="C139" s="3" t="s">
        <v>80</v>
      </c>
      <c r="D139" s="3" t="s">
        <v>30</v>
      </c>
      <c r="E139" s="3" t="str">
        <f>IF(B139="","",IF(D139="Godfroy","Godfroy",(IF(LEFT(B139,1)="1","Hiwa","Direct"))))</f>
        <v>Hiwa</v>
      </c>
      <c r="F139" s="3" t="s">
        <v>59</v>
      </c>
      <c r="G139" s="3">
        <v>960</v>
      </c>
      <c r="H139" s="28">
        <f>G139*20</f>
        <v>19200</v>
      </c>
      <c r="I139" s="82" t="b">
        <v>0</v>
      </c>
      <c r="J139" s="46">
        <f t="shared" si="27"/>
        <v>0</v>
      </c>
      <c r="K139" s="48"/>
      <c r="L139" s="137"/>
      <c r="M139" s="22"/>
      <c r="N139" s="22"/>
      <c r="O139" s="22"/>
      <c r="P139" s="22"/>
      <c r="Q139" s="23"/>
      <c r="R139" s="23"/>
      <c r="S139" s="23"/>
      <c r="T139" s="23"/>
      <c r="U139" s="23"/>
      <c r="V139" s="19">
        <f t="shared" si="44"/>
        <v>0</v>
      </c>
      <c r="W139" s="44">
        <f t="shared" si="28"/>
        <v>0</v>
      </c>
      <c r="Y139" s="54"/>
      <c r="Z139" s="56"/>
      <c r="AB139" s="2"/>
      <c r="AC139" s="2"/>
      <c r="AD139" s="63" t="str">
        <f t="shared" si="43"/>
        <v/>
      </c>
    </row>
    <row r="140" spans="1:30" ht="15.75">
      <c r="A140" s="29" t="s">
        <v>297</v>
      </c>
      <c r="B140" s="3" t="s">
        <v>296</v>
      </c>
      <c r="C140" s="3" t="s">
        <v>80</v>
      </c>
      <c r="D140" s="3" t="s">
        <v>30</v>
      </c>
      <c r="E140" s="3" t="str">
        <f>IF(B140="","",IF(D140="Godfroy","Godfroy",(IF(LEFT(B140,1)="1","Hiwa","Direct"))))</f>
        <v>Hiwa</v>
      </c>
      <c r="F140" s="3" t="s">
        <v>59</v>
      </c>
      <c r="G140" s="3">
        <v>960</v>
      </c>
      <c r="H140" s="28">
        <f>G140*20</f>
        <v>19200</v>
      </c>
      <c r="I140" s="82" t="b">
        <v>0</v>
      </c>
      <c r="J140" s="46">
        <f t="shared" si="27"/>
        <v>0</v>
      </c>
      <c r="K140" s="48"/>
      <c r="L140" s="137"/>
      <c r="M140" s="22"/>
      <c r="N140" s="22"/>
      <c r="O140" s="22"/>
      <c r="P140" s="22"/>
      <c r="Q140" s="23"/>
      <c r="R140" s="23"/>
      <c r="S140" s="23"/>
      <c r="T140" s="23"/>
      <c r="U140" s="23"/>
      <c r="V140" s="19">
        <f t="shared" si="44"/>
        <v>0</v>
      </c>
      <c r="W140" s="44">
        <f t="shared" si="28"/>
        <v>0</v>
      </c>
      <c r="Y140" s="54"/>
      <c r="Z140" s="56"/>
      <c r="AB140" s="2"/>
      <c r="AC140" s="2"/>
      <c r="AD140" s="63" t="str">
        <f t="shared" si="43"/>
        <v/>
      </c>
    </row>
    <row r="141" spans="1:30" ht="15.75">
      <c r="A141" s="29" t="s">
        <v>298</v>
      </c>
      <c r="B141" s="3" t="s">
        <v>186</v>
      </c>
      <c r="C141" s="9" t="s">
        <v>29</v>
      </c>
      <c r="D141" s="3" t="s">
        <v>188</v>
      </c>
      <c r="E141" s="3" t="str">
        <f t="shared" ref="E141:E142" si="46">IF(B141="","",IF(D141="Godfroy","Godfroy",(IF(LEFT(B141,1)="1","Hiwa","Direct"))))</f>
        <v>Direct</v>
      </c>
      <c r="F141" s="3" t="s">
        <v>46</v>
      </c>
      <c r="G141" s="3">
        <v>80</v>
      </c>
      <c r="H141" s="28">
        <v>17200</v>
      </c>
      <c r="I141" s="82" t="b">
        <v>0</v>
      </c>
      <c r="J141" s="46">
        <f t="shared" si="27"/>
        <v>0</v>
      </c>
      <c r="K141" s="48"/>
      <c r="L141" s="137"/>
      <c r="M141" s="22"/>
      <c r="N141" s="22"/>
      <c r="O141" s="22"/>
      <c r="P141" s="22"/>
      <c r="Q141" s="23"/>
      <c r="R141" s="23"/>
      <c r="S141" s="23"/>
      <c r="T141" s="23"/>
      <c r="U141" s="23"/>
      <c r="V141" s="19">
        <f t="shared" si="44"/>
        <v>0</v>
      </c>
      <c r="W141" s="44">
        <f t="shared" si="28"/>
        <v>0</v>
      </c>
      <c r="Y141" s="54"/>
      <c r="Z141" s="56"/>
      <c r="AB141" s="2"/>
      <c r="AC141" s="2"/>
      <c r="AD141" s="63" t="str">
        <f t="shared" si="43"/>
        <v/>
      </c>
    </row>
    <row r="142" spans="1:30" ht="15.75">
      <c r="A142" s="29" t="s">
        <v>299</v>
      </c>
      <c r="B142" s="3" t="s">
        <v>300</v>
      </c>
      <c r="C142" s="9" t="s">
        <v>34</v>
      </c>
      <c r="D142" s="13" t="s">
        <v>301</v>
      </c>
      <c r="E142" s="3" t="str">
        <f t="shared" si="46"/>
        <v>Direct</v>
      </c>
      <c r="F142" s="10" t="s">
        <v>121</v>
      </c>
      <c r="G142" s="1">
        <v>4</v>
      </c>
      <c r="H142" s="27">
        <f>+G142*20</f>
        <v>80</v>
      </c>
      <c r="I142" s="82" t="b">
        <v>1</v>
      </c>
      <c r="J142" s="46">
        <f t="shared" si="27"/>
        <v>4.1100000000000003</v>
      </c>
      <c r="K142" s="48">
        <v>328.8</v>
      </c>
      <c r="L142" s="137">
        <v>0</v>
      </c>
      <c r="M142" s="22">
        <f>164.97*(80/180)</f>
        <v>73.319999999999993</v>
      </c>
      <c r="N142" s="22"/>
      <c r="O142" s="22"/>
      <c r="P142" s="22"/>
      <c r="Q142" s="23"/>
      <c r="R142" s="23"/>
      <c r="S142" s="23"/>
      <c r="T142" s="23"/>
      <c r="U142" s="23"/>
      <c r="V142" s="19">
        <f>IF(B142="","",K142+SUM(M142:R142))</f>
        <v>402.12</v>
      </c>
      <c r="W142" s="44">
        <f t="shared" si="28"/>
        <v>5.0265000000000004</v>
      </c>
      <c r="Y142" s="54"/>
      <c r="Z142" s="56"/>
      <c r="AB142" s="2"/>
      <c r="AC142" s="2"/>
      <c r="AD142" s="63" t="str">
        <f t="shared" si="43"/>
        <v/>
      </c>
    </row>
    <row r="143" spans="1:30" ht="15.75">
      <c r="A143" s="29" t="s">
        <v>302</v>
      </c>
      <c r="B143" s="3" t="s">
        <v>303</v>
      </c>
      <c r="C143" s="9" t="s">
        <v>34</v>
      </c>
      <c r="D143" s="13" t="s">
        <v>301</v>
      </c>
      <c r="E143" s="3" t="str">
        <f t="shared" ref="E143:E145" si="47">IF(B143="","",IF(D143="Godfroy","Godfroy",(IF(LEFT(B143,1)="1","Hiwa","Direct"))))</f>
        <v>Direct</v>
      </c>
      <c r="F143" s="10" t="s">
        <v>121</v>
      </c>
      <c r="G143" s="1">
        <v>5</v>
      </c>
      <c r="H143" s="27">
        <f>+G143*20</f>
        <v>100</v>
      </c>
      <c r="I143" s="82" t="b">
        <v>1</v>
      </c>
      <c r="J143" s="46">
        <f t="shared" si="27"/>
        <v>2.34</v>
      </c>
      <c r="K143" s="48">
        <v>234</v>
      </c>
      <c r="L143" s="137">
        <v>0</v>
      </c>
      <c r="M143" s="22">
        <f>164.97*100/180</f>
        <v>91.65</v>
      </c>
      <c r="N143" s="22"/>
      <c r="O143" s="22"/>
      <c r="P143" s="22"/>
      <c r="Q143" s="23"/>
      <c r="R143" s="23"/>
      <c r="S143" s="23"/>
      <c r="T143" s="23"/>
      <c r="U143" s="23"/>
      <c r="V143" s="19">
        <f>IF(B143="","",K143+SUM(M143:R143))</f>
        <v>325.64999999999998</v>
      </c>
      <c r="W143" s="44">
        <f t="shared" si="28"/>
        <v>3.2565</v>
      </c>
      <c r="Y143" s="54"/>
      <c r="Z143" s="56"/>
      <c r="AB143" s="2"/>
      <c r="AC143" s="2"/>
      <c r="AD143" s="63" t="str">
        <f t="shared" si="43"/>
        <v/>
      </c>
    </row>
    <row r="144" spans="1:30" ht="15.75">
      <c r="A144" s="29" t="s">
        <v>304</v>
      </c>
      <c r="B144" s="3" t="s">
        <v>143</v>
      </c>
      <c r="C144" s="9" t="s">
        <v>119</v>
      </c>
      <c r="D144" s="3" t="s">
        <v>144</v>
      </c>
      <c r="E144" s="3" t="str">
        <f t="shared" si="47"/>
        <v>Direct</v>
      </c>
      <c r="F144" s="10" t="s">
        <v>121</v>
      </c>
      <c r="G144" s="1">
        <v>110</v>
      </c>
      <c r="H144" s="27">
        <v>1100</v>
      </c>
      <c r="I144" s="82" t="b">
        <v>0</v>
      </c>
      <c r="J144" s="46">
        <f t="shared" si="27"/>
        <v>0</v>
      </c>
      <c r="K144" s="48"/>
      <c r="L144" s="137"/>
      <c r="M144" s="22"/>
      <c r="N144" s="22"/>
      <c r="O144" s="22"/>
      <c r="P144" s="22"/>
      <c r="Q144" s="23"/>
      <c r="R144" s="23"/>
      <c r="S144" s="23"/>
      <c r="T144" s="23"/>
      <c r="U144" s="23"/>
      <c r="V144" s="19">
        <f t="shared" si="32"/>
        <v>0</v>
      </c>
      <c r="W144" s="44">
        <f t="shared" si="28"/>
        <v>0</v>
      </c>
      <c r="Y144" s="54"/>
      <c r="Z144" s="56"/>
      <c r="AB144" s="61"/>
      <c r="AC144" s="61"/>
      <c r="AD144" s="63" t="str">
        <f t="shared" si="43"/>
        <v/>
      </c>
    </row>
    <row r="145" spans="1:30" ht="15.75">
      <c r="A145" s="29" t="s">
        <v>305</v>
      </c>
      <c r="B145" s="3" t="s">
        <v>306</v>
      </c>
      <c r="C145" s="3" t="s">
        <v>307</v>
      </c>
      <c r="D145" s="3" t="s">
        <v>308</v>
      </c>
      <c r="E145" s="3" t="str">
        <f t="shared" si="47"/>
        <v>Direct</v>
      </c>
      <c r="F145" s="3" t="s">
        <v>46</v>
      </c>
      <c r="G145" s="3">
        <v>125</v>
      </c>
      <c r="H145" s="28">
        <f>+G145*200</f>
        <v>25000</v>
      </c>
      <c r="I145" s="82" t="b">
        <v>0</v>
      </c>
      <c r="J145" s="46">
        <f t="shared" si="27"/>
        <v>0</v>
      </c>
      <c r="K145" s="48"/>
      <c r="L145" s="137"/>
      <c r="M145" s="22"/>
      <c r="N145" s="22"/>
      <c r="O145" s="22"/>
      <c r="P145" s="22"/>
      <c r="Q145" s="23"/>
      <c r="R145" s="23"/>
      <c r="S145" s="23"/>
      <c r="T145" s="23"/>
      <c r="U145" s="23"/>
      <c r="V145" s="19">
        <f t="shared" si="32"/>
        <v>0</v>
      </c>
      <c r="W145" s="44">
        <f t="shared" si="28"/>
        <v>0</v>
      </c>
      <c r="Y145" s="54"/>
      <c r="Z145" s="56"/>
      <c r="AB145" s="61"/>
      <c r="AC145" s="61"/>
      <c r="AD145" s="63" t="str">
        <f t="shared" si="43"/>
        <v/>
      </c>
    </row>
    <row r="146" spans="1:30" ht="15.75">
      <c r="A146" s="29" t="s">
        <v>309</v>
      </c>
      <c r="B146" s="3" t="s">
        <v>306</v>
      </c>
      <c r="C146" s="3" t="s">
        <v>307</v>
      </c>
      <c r="D146" s="3" t="s">
        <v>308</v>
      </c>
      <c r="E146" s="3" t="str">
        <f t="shared" ref="E146:E147" si="48">IF(B146="","",IF(D146="Godfroy","Godfroy",(IF(LEFT(B146,1)="1","Hiwa","Direct"))))</f>
        <v>Direct</v>
      </c>
      <c r="F146" s="3" t="s">
        <v>46</v>
      </c>
      <c r="G146" s="3">
        <v>56</v>
      </c>
      <c r="H146" s="28">
        <f>+G146*200</f>
        <v>11200</v>
      </c>
      <c r="I146" s="82" t="b">
        <v>0</v>
      </c>
      <c r="J146" s="46">
        <f t="shared" si="27"/>
        <v>0</v>
      </c>
      <c r="K146" s="57"/>
      <c r="L146" s="137"/>
      <c r="M146" s="58"/>
      <c r="N146" s="58"/>
      <c r="O146" s="58"/>
      <c r="P146" s="58"/>
      <c r="Q146" s="59"/>
      <c r="R146" s="59"/>
      <c r="S146" s="59"/>
      <c r="T146" s="59"/>
      <c r="U146" s="59"/>
      <c r="V146" s="19">
        <f t="shared" ref="V146:V201" si="49">IF(B146="","",K146+SUM(L146:R146))</f>
        <v>0</v>
      </c>
      <c r="W146" s="44">
        <f t="shared" ref="W146:W201" si="50">IF(J146="","",+V146/H146)</f>
        <v>0</v>
      </c>
      <c r="Y146" s="54"/>
      <c r="Z146" s="56"/>
      <c r="AB146" s="105"/>
      <c r="AC146" s="105"/>
      <c r="AD146" s="103"/>
    </row>
    <row r="147" spans="1:30" ht="15.75">
      <c r="A147" s="29" t="s">
        <v>310</v>
      </c>
      <c r="B147" s="3" t="s">
        <v>311</v>
      </c>
      <c r="C147" s="3" t="s">
        <v>307</v>
      </c>
      <c r="D147" s="3" t="s">
        <v>73</v>
      </c>
      <c r="E147" s="3" t="str">
        <f t="shared" si="48"/>
        <v>Hiwa</v>
      </c>
      <c r="F147" s="3" t="s">
        <v>46</v>
      </c>
      <c r="G147" s="3">
        <v>125</v>
      </c>
      <c r="H147" s="28">
        <f>+G147*200</f>
        <v>25000</v>
      </c>
      <c r="I147" s="82" t="b">
        <v>0</v>
      </c>
      <c r="J147" s="46">
        <f t="shared" si="27"/>
        <v>0</v>
      </c>
      <c r="K147" s="57"/>
      <c r="L147" s="137"/>
      <c r="M147" s="58"/>
      <c r="N147" s="58"/>
      <c r="O147" s="58"/>
      <c r="P147" s="58"/>
      <c r="Q147" s="59"/>
      <c r="R147" s="59"/>
      <c r="S147" s="59"/>
      <c r="T147" s="59"/>
      <c r="U147" s="59"/>
      <c r="V147" s="19">
        <f t="shared" si="49"/>
        <v>0</v>
      </c>
      <c r="W147" s="44">
        <f t="shared" si="50"/>
        <v>0</v>
      </c>
      <c r="Y147" s="54"/>
      <c r="Z147" s="56"/>
      <c r="AB147" s="105"/>
      <c r="AC147" s="105"/>
      <c r="AD147" s="103"/>
    </row>
    <row r="148" spans="1:30" ht="15.75">
      <c r="A148" s="29" t="s">
        <v>312</v>
      </c>
      <c r="B148" s="3" t="s">
        <v>93</v>
      </c>
      <c r="C148" s="9" t="s">
        <v>90</v>
      </c>
      <c r="D148" s="3" t="s">
        <v>94</v>
      </c>
      <c r="E148" s="3" t="str">
        <f t="shared" ref="E148" si="51">IF(B148="","",IF(D148="Godfroy","Godfroy",(IF(LEFT(B148,1)="1","Hiwa","Direct"))))</f>
        <v>Direct</v>
      </c>
      <c r="F148" s="10" t="s">
        <v>59</v>
      </c>
      <c r="G148" s="1">
        <v>124</v>
      </c>
      <c r="H148" s="27">
        <f>G148*205</f>
        <v>25420</v>
      </c>
      <c r="I148" s="82" t="b">
        <v>1</v>
      </c>
      <c r="J148" s="46">
        <f t="shared" si="27"/>
        <v>0.57980900409276936</v>
      </c>
      <c r="K148" s="57">
        <f>17285.6/1.1728</f>
        <v>14738.744884038197</v>
      </c>
      <c r="L148" s="137">
        <f>1875/1.1533</f>
        <v>1625.769530911298</v>
      </c>
      <c r="M148" s="58"/>
      <c r="N148" s="58"/>
      <c r="O148" s="58"/>
      <c r="P148" s="58"/>
      <c r="Q148" s="59"/>
      <c r="R148" s="59"/>
      <c r="S148" s="59"/>
      <c r="T148" s="59"/>
      <c r="U148" s="59"/>
      <c r="V148" s="19">
        <f t="shared" si="49"/>
        <v>16364.514414949495</v>
      </c>
      <c r="W148" s="44">
        <f t="shared" si="50"/>
        <v>0.6437653192348346</v>
      </c>
      <c r="Y148" s="54"/>
      <c r="Z148" s="56"/>
      <c r="AB148" s="105"/>
      <c r="AC148" s="105"/>
      <c r="AD148" s="103"/>
    </row>
    <row r="149" spans="1:30" ht="15.75">
      <c r="A149" s="29" t="s">
        <v>313</v>
      </c>
      <c r="B149" s="55" t="s">
        <v>314</v>
      </c>
      <c r="C149" s="9" t="s">
        <v>34</v>
      </c>
      <c r="D149" s="3" t="s">
        <v>289</v>
      </c>
      <c r="E149" s="3" t="str">
        <f>IF(B149="","",IF(D149="Godfroy","Godfroy",(IF(LEFT(B149,1)="1","Hiwa","Direct"))))</f>
        <v>Direct</v>
      </c>
      <c r="F149" s="3" t="s">
        <v>36</v>
      </c>
      <c r="G149" s="3">
        <v>3</v>
      </c>
      <c r="H149" s="28">
        <v>75</v>
      </c>
      <c r="I149" s="82" t="b">
        <v>1</v>
      </c>
      <c r="J149" s="46">
        <f t="shared" si="27"/>
        <v>19.88</v>
      </c>
      <c r="K149" s="57">
        <v>1491</v>
      </c>
      <c r="L149" s="137">
        <v>0</v>
      </c>
      <c r="M149" s="58">
        <v>165</v>
      </c>
      <c r="N149" s="58"/>
      <c r="O149" s="58"/>
      <c r="P149" s="58"/>
      <c r="Q149" s="59"/>
      <c r="R149" s="59"/>
      <c r="S149" s="59"/>
      <c r="T149" s="59"/>
      <c r="U149" s="59"/>
      <c r="V149" s="19">
        <f t="shared" si="49"/>
        <v>1656</v>
      </c>
      <c r="W149" s="44">
        <f t="shared" si="50"/>
        <v>22.08</v>
      </c>
      <c r="Y149" s="54"/>
      <c r="Z149" s="56"/>
      <c r="AB149" s="105"/>
      <c r="AC149" s="105"/>
      <c r="AD149" s="103"/>
    </row>
    <row r="150" spans="1:30" ht="15.75">
      <c r="A150" s="29" t="s">
        <v>315</v>
      </c>
      <c r="B150" s="3" t="s">
        <v>143</v>
      </c>
      <c r="C150" s="9" t="s">
        <v>119</v>
      </c>
      <c r="D150" s="3" t="s">
        <v>150</v>
      </c>
      <c r="E150" s="3" t="str">
        <f t="shared" ref="E150" si="52">IF(B150="","",IF(D150="Godfroy","Godfroy",(IF(LEFT(B150,1)="1","Hiwa","Direct"))))</f>
        <v>Direct</v>
      </c>
      <c r="F150" s="10" t="s">
        <v>121</v>
      </c>
      <c r="G150" s="1">
        <v>110</v>
      </c>
      <c r="H150" s="27">
        <v>1100</v>
      </c>
      <c r="I150" s="82" t="b">
        <v>1</v>
      </c>
      <c r="J150" s="46">
        <f t="shared" si="27"/>
        <v>1.115</v>
      </c>
      <c r="K150" s="57">
        <v>1226.5</v>
      </c>
      <c r="L150" s="137">
        <v>0</v>
      </c>
      <c r="M150" s="136"/>
      <c r="N150" s="58"/>
      <c r="O150" s="58"/>
      <c r="P150" s="58"/>
      <c r="Q150" s="59"/>
      <c r="R150" s="59"/>
      <c r="S150" s="59"/>
      <c r="T150" s="59"/>
      <c r="U150" s="59"/>
      <c r="V150" s="19">
        <f t="shared" si="49"/>
        <v>1226.5</v>
      </c>
      <c r="W150" s="44">
        <f t="shared" si="50"/>
        <v>1.115</v>
      </c>
      <c r="Y150" s="54"/>
      <c r="Z150" s="56"/>
      <c r="AB150" s="105"/>
      <c r="AC150" s="105"/>
      <c r="AD150" s="103"/>
    </row>
    <row r="151" spans="1:30" ht="15.75">
      <c r="A151" s="29" t="s">
        <v>316</v>
      </c>
      <c r="B151" s="3" t="s">
        <v>143</v>
      </c>
      <c r="C151" s="9" t="s">
        <v>119</v>
      </c>
      <c r="D151" s="3" t="s">
        <v>317</v>
      </c>
      <c r="E151" s="3" t="str">
        <f t="shared" ref="E151:E152" si="53">IF(B151="","",IF(D151="Godfroy","Godfroy",(IF(LEFT(B151,1)="1","Hiwa","Direct"))))</f>
        <v>Direct</v>
      </c>
      <c r="F151" s="10" t="s">
        <v>121</v>
      </c>
      <c r="G151" s="1">
        <v>110</v>
      </c>
      <c r="H151" s="27">
        <v>1100</v>
      </c>
      <c r="I151" s="82" t="b">
        <v>1</v>
      </c>
      <c r="J151" s="46">
        <f t="shared" si="27"/>
        <v>1.115</v>
      </c>
      <c r="K151" s="57">
        <v>1226.5</v>
      </c>
      <c r="L151" s="137"/>
      <c r="M151" s="136"/>
      <c r="N151" s="58"/>
      <c r="O151" s="58"/>
      <c r="P151" s="58"/>
      <c r="Q151" s="59"/>
      <c r="R151" s="59"/>
      <c r="S151" s="59"/>
      <c r="T151" s="59"/>
      <c r="U151" s="59"/>
      <c r="V151" s="19">
        <f t="shared" si="49"/>
        <v>1226.5</v>
      </c>
      <c r="W151" s="44">
        <f t="shared" si="50"/>
        <v>1.115</v>
      </c>
      <c r="Y151" s="54"/>
      <c r="Z151" s="56"/>
      <c r="AB151" s="105"/>
      <c r="AC151" s="105"/>
      <c r="AD151" s="103"/>
    </row>
    <row r="152" spans="1:30" ht="15.75">
      <c r="A152" s="29" t="s">
        <v>318</v>
      </c>
      <c r="B152" s="55" t="s">
        <v>319</v>
      </c>
      <c r="C152" s="55" t="s">
        <v>52</v>
      </c>
      <c r="D152" s="55" t="s">
        <v>30</v>
      </c>
      <c r="E152" s="55" t="str">
        <f t="shared" si="53"/>
        <v>Hiwa</v>
      </c>
      <c r="F152" s="3" t="s">
        <v>46</v>
      </c>
      <c r="G152" s="55">
        <v>150</v>
      </c>
      <c r="H152" s="56">
        <v>3000</v>
      </c>
      <c r="I152" s="82" t="b">
        <v>1</v>
      </c>
      <c r="J152" s="46">
        <f t="shared" ref="J152:J157" si="54">IF(H152="","",+K152/H152)</f>
        <v>3.4476814342354767</v>
      </c>
      <c r="K152" s="57">
        <f>12000/1.1602</f>
        <v>10343.04430270643</v>
      </c>
      <c r="L152" s="137">
        <f>(2300/1.1602)*($H152/19280)</f>
        <v>308.46734823942933</v>
      </c>
      <c r="M152" s="58"/>
      <c r="N152" s="58"/>
      <c r="O152" s="58"/>
      <c r="P152" s="58"/>
      <c r="Q152" s="59"/>
      <c r="R152" s="59"/>
      <c r="S152" s="59"/>
      <c r="T152" s="59"/>
      <c r="U152" s="59"/>
      <c r="V152" s="19">
        <f t="shared" si="49"/>
        <v>10651.51165094586</v>
      </c>
      <c r="W152" s="44">
        <f t="shared" si="50"/>
        <v>3.55050388364862</v>
      </c>
      <c r="Y152" s="54"/>
      <c r="Z152" s="56"/>
      <c r="AB152" s="105"/>
      <c r="AC152" s="105"/>
      <c r="AD152" s="103"/>
    </row>
    <row r="153" spans="1:30" ht="15.75">
      <c r="A153" s="29" t="s">
        <v>320</v>
      </c>
      <c r="B153" s="55" t="s">
        <v>319</v>
      </c>
      <c r="C153" s="55" t="s">
        <v>52</v>
      </c>
      <c r="D153" s="55" t="s">
        <v>30</v>
      </c>
      <c r="E153" s="55" t="str">
        <f t="shared" ref="E153:E160" si="55">IF(B153="","",IF(D153="Godfroy","Godfroy",(IF(LEFT(B153,1)="1","Hiwa","Direct"))))</f>
        <v>Hiwa</v>
      </c>
      <c r="F153" s="3" t="s">
        <v>46</v>
      </c>
      <c r="G153" s="55">
        <v>50</v>
      </c>
      <c r="H153" s="56">
        <v>1000</v>
      </c>
      <c r="I153" s="82" t="b">
        <v>1</v>
      </c>
      <c r="J153" s="46">
        <f t="shared" si="54"/>
        <v>3.6200655059472506</v>
      </c>
      <c r="K153" s="57">
        <f>4200/1.1602</f>
        <v>3620.0655059472506</v>
      </c>
      <c r="L153" s="137">
        <f t="shared" ref="L153:L157" si="56">(2300/1.1602)*($H153/19280)</f>
        <v>102.82244941314312</v>
      </c>
      <c r="M153" s="58"/>
      <c r="N153" s="58"/>
      <c r="O153" s="58"/>
      <c r="P153" s="58"/>
      <c r="Q153" s="59"/>
      <c r="R153" s="59"/>
      <c r="S153" s="59"/>
      <c r="T153" s="59"/>
      <c r="U153" s="59"/>
      <c r="V153" s="19">
        <f t="shared" si="49"/>
        <v>3722.8879553603938</v>
      </c>
      <c r="W153" s="44">
        <f t="shared" si="50"/>
        <v>3.722887955360394</v>
      </c>
      <c r="Y153" s="54"/>
      <c r="Z153" s="56"/>
      <c r="AB153" s="105"/>
      <c r="AC153" s="105"/>
      <c r="AD153" s="103"/>
    </row>
    <row r="154" spans="1:30" ht="15.75">
      <c r="A154" s="29" t="s">
        <v>321</v>
      </c>
      <c r="B154" s="55" t="s">
        <v>322</v>
      </c>
      <c r="C154" s="55" t="s">
        <v>52</v>
      </c>
      <c r="D154" s="55" t="s">
        <v>30</v>
      </c>
      <c r="E154" s="55" t="str">
        <f t="shared" si="55"/>
        <v>Hiwa</v>
      </c>
      <c r="F154" s="3" t="s">
        <v>46</v>
      </c>
      <c r="G154" s="55">
        <v>450</v>
      </c>
      <c r="H154" s="56">
        <v>9000</v>
      </c>
      <c r="I154" s="82" t="b">
        <v>1</v>
      </c>
      <c r="J154" s="46">
        <f t="shared" si="54"/>
        <v>2.6719531115324946</v>
      </c>
      <c r="K154" s="57">
        <f>27900/1.1602</f>
        <v>24047.578003792452</v>
      </c>
      <c r="L154" s="137">
        <f t="shared" si="56"/>
        <v>925.40204471828804</v>
      </c>
      <c r="M154" s="58"/>
      <c r="N154" s="58"/>
      <c r="O154" s="58"/>
      <c r="P154" s="58"/>
      <c r="Q154" s="59"/>
      <c r="R154" s="59"/>
      <c r="S154" s="59"/>
      <c r="T154" s="59"/>
      <c r="U154" s="59"/>
      <c r="V154" s="19">
        <f t="shared" si="49"/>
        <v>24972.980048510741</v>
      </c>
      <c r="W154" s="44">
        <f t="shared" si="50"/>
        <v>2.7747755609456379</v>
      </c>
      <c r="Y154" s="54"/>
      <c r="Z154" s="56"/>
      <c r="AB154" s="105"/>
      <c r="AC154" s="105"/>
      <c r="AD154" s="103"/>
    </row>
    <row r="155" spans="1:30" ht="15.75">
      <c r="A155" s="29" t="s">
        <v>323</v>
      </c>
      <c r="B155" s="55" t="s">
        <v>324</v>
      </c>
      <c r="C155" s="55" t="s">
        <v>52</v>
      </c>
      <c r="D155" s="55" t="s">
        <v>30</v>
      </c>
      <c r="E155" s="55" t="str">
        <f t="shared" si="55"/>
        <v>Hiwa</v>
      </c>
      <c r="F155" s="3" t="s">
        <v>46</v>
      </c>
      <c r="G155" s="55">
        <v>12</v>
      </c>
      <c r="H155" s="56">
        <v>2640</v>
      </c>
      <c r="I155" s="82" t="b">
        <v>1</v>
      </c>
      <c r="J155" s="46">
        <f t="shared" si="54"/>
        <v>2.8012411653163252</v>
      </c>
      <c r="K155" s="57">
        <f>8580/1.1602</f>
        <v>7395.2766764350981</v>
      </c>
      <c r="L155" s="137">
        <f t="shared" si="56"/>
        <v>271.45126645069786</v>
      </c>
      <c r="M155" s="58"/>
      <c r="N155" s="58"/>
      <c r="O155" s="58"/>
      <c r="P155" s="58"/>
      <c r="Q155" s="59"/>
      <c r="R155" s="59"/>
      <c r="S155" s="59"/>
      <c r="T155" s="59"/>
      <c r="U155" s="59"/>
      <c r="V155" s="19">
        <f t="shared" si="49"/>
        <v>7666.7279428857964</v>
      </c>
      <c r="W155" s="44">
        <f t="shared" si="50"/>
        <v>2.9040636147294685</v>
      </c>
      <c r="Y155" s="54"/>
      <c r="Z155" s="56"/>
      <c r="AB155" s="105"/>
      <c r="AC155" s="105"/>
      <c r="AD155" s="103"/>
    </row>
    <row r="156" spans="1:30" ht="15.75">
      <c r="A156" s="29" t="s">
        <v>325</v>
      </c>
      <c r="B156" s="55" t="s">
        <v>326</v>
      </c>
      <c r="C156" s="55" t="s">
        <v>52</v>
      </c>
      <c r="D156" s="55" t="s">
        <v>30</v>
      </c>
      <c r="E156" s="55" t="str">
        <f t="shared" si="55"/>
        <v>Hiwa</v>
      </c>
      <c r="F156" s="3" t="s">
        <v>46</v>
      </c>
      <c r="G156" s="55">
        <v>50</v>
      </c>
      <c r="H156" s="56">
        <v>1000</v>
      </c>
      <c r="I156" s="82" t="b">
        <v>1</v>
      </c>
      <c r="J156" s="46">
        <f t="shared" si="54"/>
        <v>4.7405619720737802</v>
      </c>
      <c r="K156" s="57">
        <f>5500/1.1602</f>
        <v>4740.5619720737805</v>
      </c>
      <c r="L156" s="137">
        <f t="shared" si="56"/>
        <v>102.82244941314312</v>
      </c>
      <c r="M156" s="58"/>
      <c r="N156" s="58"/>
      <c r="O156" s="58"/>
      <c r="P156" s="58"/>
      <c r="Q156" s="59"/>
      <c r="R156" s="59"/>
      <c r="S156" s="59"/>
      <c r="T156" s="59"/>
      <c r="U156" s="59"/>
      <c r="V156" s="19">
        <f t="shared" si="49"/>
        <v>4843.3844214869232</v>
      </c>
      <c r="W156" s="44">
        <f t="shared" si="50"/>
        <v>4.8433844214869231</v>
      </c>
      <c r="Y156" s="54"/>
      <c r="Z156" s="56"/>
      <c r="AB156" s="105"/>
      <c r="AC156" s="105"/>
      <c r="AD156" s="103"/>
    </row>
    <row r="157" spans="1:30" ht="15.75">
      <c r="A157" s="29" t="s">
        <v>327</v>
      </c>
      <c r="B157" s="55" t="s">
        <v>123</v>
      </c>
      <c r="C157" s="55" t="s">
        <v>52</v>
      </c>
      <c r="D157" s="55" t="s">
        <v>30</v>
      </c>
      <c r="E157" s="55" t="str">
        <f t="shared" si="55"/>
        <v>Hiwa</v>
      </c>
      <c r="F157" s="3" t="s">
        <v>46</v>
      </c>
      <c r="G157" s="55">
        <v>12</v>
      </c>
      <c r="H157" s="56">
        <v>2640</v>
      </c>
      <c r="I157" s="82" t="b">
        <v>1</v>
      </c>
      <c r="J157" s="46">
        <f t="shared" si="54"/>
        <v>3.3183933804516466</v>
      </c>
      <c r="K157" s="57">
        <f>10164/1.1602</f>
        <v>8760.558524392347</v>
      </c>
      <c r="L157" s="137">
        <f t="shared" si="56"/>
        <v>271.45126645069786</v>
      </c>
      <c r="M157" s="58"/>
      <c r="N157" s="58"/>
      <c r="O157" s="58"/>
      <c r="P157" s="58"/>
      <c r="Q157" s="59"/>
      <c r="R157" s="59"/>
      <c r="S157" s="59"/>
      <c r="T157" s="59"/>
      <c r="U157" s="59"/>
      <c r="V157" s="19">
        <f t="shared" si="49"/>
        <v>9032.0097908430453</v>
      </c>
      <c r="W157" s="44">
        <f t="shared" si="50"/>
        <v>3.4212158298647899</v>
      </c>
      <c r="Y157" s="54"/>
      <c r="Z157" s="56"/>
      <c r="AB157" s="105"/>
      <c r="AC157" s="105"/>
      <c r="AD157" s="103"/>
    </row>
    <row r="158" spans="1:30" ht="15.75">
      <c r="A158" s="29" t="s">
        <v>328</v>
      </c>
      <c r="B158" s="3" t="s">
        <v>143</v>
      </c>
      <c r="C158" s="9" t="s">
        <v>119</v>
      </c>
      <c r="D158" s="3" t="s">
        <v>144</v>
      </c>
      <c r="E158" s="3" t="str">
        <f t="shared" si="55"/>
        <v>Direct</v>
      </c>
      <c r="F158" s="10" t="s">
        <v>121</v>
      </c>
      <c r="G158" s="1">
        <v>110</v>
      </c>
      <c r="H158" s="27">
        <v>1100</v>
      </c>
      <c r="I158" s="82" t="b">
        <v>0</v>
      </c>
      <c r="J158" s="46">
        <f t="shared" si="27"/>
        <v>0</v>
      </c>
      <c r="K158" s="57"/>
      <c r="L158" s="137"/>
      <c r="M158" s="58"/>
      <c r="N158" s="58"/>
      <c r="O158" s="58"/>
      <c r="P158" s="58"/>
      <c r="Q158" s="59"/>
      <c r="R158" s="59"/>
      <c r="S158" s="59"/>
      <c r="T158" s="59"/>
      <c r="U158" s="59"/>
      <c r="V158" s="19">
        <f t="shared" si="49"/>
        <v>0</v>
      </c>
      <c r="W158" s="44">
        <f t="shared" si="50"/>
        <v>0</v>
      </c>
      <c r="Y158" s="54"/>
      <c r="Z158" s="56"/>
      <c r="AB158" s="105"/>
      <c r="AC158" s="105"/>
      <c r="AD158" s="103"/>
    </row>
    <row r="159" spans="1:30" ht="15.75">
      <c r="A159" s="29" t="s">
        <v>329</v>
      </c>
      <c r="B159" s="3" t="s">
        <v>82</v>
      </c>
      <c r="C159" s="3" t="s">
        <v>83</v>
      </c>
      <c r="D159" s="3" t="s">
        <v>73</v>
      </c>
      <c r="E159" s="3" t="str">
        <f t="shared" si="55"/>
        <v>Hiwa</v>
      </c>
      <c r="F159" s="3" t="s">
        <v>59</v>
      </c>
      <c r="G159" s="3">
        <v>128</v>
      </c>
      <c r="H159" s="28">
        <f>G159*204</f>
        <v>26112</v>
      </c>
      <c r="I159" s="82" t="b">
        <v>0</v>
      </c>
      <c r="J159" s="46">
        <f t="shared" si="27"/>
        <v>0</v>
      </c>
      <c r="K159" s="57"/>
      <c r="L159" s="137"/>
      <c r="M159" s="58"/>
      <c r="N159" s="58"/>
      <c r="O159" s="58"/>
      <c r="P159" s="58"/>
      <c r="Q159" s="59"/>
      <c r="R159" s="59"/>
      <c r="S159" s="59"/>
      <c r="T159" s="59"/>
      <c r="U159" s="59"/>
      <c r="V159" s="19">
        <f t="shared" si="49"/>
        <v>0</v>
      </c>
      <c r="W159" s="44">
        <f t="shared" si="50"/>
        <v>0</v>
      </c>
      <c r="Y159" s="54"/>
      <c r="Z159" s="56"/>
      <c r="AB159" s="105"/>
      <c r="AC159" s="105"/>
      <c r="AD159" s="103"/>
    </row>
    <row r="160" spans="1:30" ht="15.75">
      <c r="A160" s="29" t="s">
        <v>330</v>
      </c>
      <c r="B160" s="3" t="s">
        <v>82</v>
      </c>
      <c r="C160" s="3" t="s">
        <v>83</v>
      </c>
      <c r="D160" s="3" t="s">
        <v>73</v>
      </c>
      <c r="E160" s="3" t="str">
        <f t="shared" si="55"/>
        <v>Hiwa</v>
      </c>
      <c r="F160" s="3" t="s">
        <v>59</v>
      </c>
      <c r="G160" s="3">
        <v>128</v>
      </c>
      <c r="H160" s="28">
        <f>G160*204</f>
        <v>26112</v>
      </c>
      <c r="I160" s="82" t="b">
        <v>0</v>
      </c>
      <c r="J160" s="46">
        <f t="shared" si="27"/>
        <v>0</v>
      </c>
      <c r="K160" s="57"/>
      <c r="L160" s="137"/>
      <c r="M160" s="58"/>
      <c r="N160" s="58"/>
      <c r="O160" s="58"/>
      <c r="P160" s="58"/>
      <c r="Q160" s="59"/>
      <c r="R160" s="59"/>
      <c r="S160" s="59"/>
      <c r="T160" s="59"/>
      <c r="U160" s="59"/>
      <c r="V160" s="19">
        <f t="shared" si="49"/>
        <v>0</v>
      </c>
      <c r="W160" s="44">
        <f t="shared" si="50"/>
        <v>0</v>
      </c>
      <c r="Y160" s="54"/>
      <c r="Z160" s="56"/>
      <c r="AB160" s="105"/>
      <c r="AC160" s="105"/>
      <c r="AD160" s="103"/>
    </row>
    <row r="161" spans="1:30" ht="15.75">
      <c r="A161" s="29" t="s">
        <v>331</v>
      </c>
      <c r="B161" s="3" t="s">
        <v>153</v>
      </c>
      <c r="C161" s="3" t="s">
        <v>126</v>
      </c>
      <c r="D161" s="3" t="s">
        <v>127</v>
      </c>
      <c r="E161" s="3" t="str">
        <f>IF(B161="","",IF(D161="Godfroy","Godfroy",(IF(LEFT(B161,1)="1","Hiwa","Direct"))))</f>
        <v>Direct</v>
      </c>
      <c r="F161" s="3" t="s">
        <v>128</v>
      </c>
      <c r="G161" s="3">
        <v>4</v>
      </c>
      <c r="H161" s="28">
        <f>G161*220</f>
        <v>880</v>
      </c>
      <c r="I161" s="82" t="b">
        <v>1</v>
      </c>
      <c r="J161" s="46">
        <f t="shared" si="27"/>
        <v>0.78</v>
      </c>
      <c r="K161" s="57">
        <v>686.4</v>
      </c>
      <c r="L161" s="137">
        <v>0</v>
      </c>
      <c r="M161" s="58">
        <v>181</v>
      </c>
      <c r="N161" s="58"/>
      <c r="O161" s="58"/>
      <c r="P161" s="58"/>
      <c r="Q161" s="59"/>
      <c r="R161" s="59"/>
      <c r="S161" s="59"/>
      <c r="T161" s="59"/>
      <c r="U161" s="59"/>
      <c r="V161" s="19">
        <f t="shared" si="49"/>
        <v>867.4</v>
      </c>
      <c r="W161" s="44">
        <f t="shared" si="50"/>
        <v>0.9856818181818181</v>
      </c>
      <c r="Y161" s="54"/>
      <c r="Z161" s="56"/>
      <c r="AB161" s="105"/>
      <c r="AC161" s="105"/>
      <c r="AD161" s="103"/>
    </row>
    <row r="162" spans="1:30" ht="15.75">
      <c r="A162" s="29" t="s">
        <v>332</v>
      </c>
      <c r="B162" s="3" t="s">
        <v>123</v>
      </c>
      <c r="C162" s="9" t="s">
        <v>52</v>
      </c>
      <c r="D162" s="13" t="s">
        <v>30</v>
      </c>
      <c r="E162" s="3" t="str">
        <f t="shared" ref="E162:E164" si="57">IF(B162="","",IF(D162="Godfroy","Godfroy",(IF(LEFT(B162,1)="1","Hiwa","Direct"))))</f>
        <v>Hiwa</v>
      </c>
      <c r="F162" s="3" t="s">
        <v>46</v>
      </c>
      <c r="G162" s="1">
        <v>80</v>
      </c>
      <c r="H162" s="27">
        <f>G162*220</f>
        <v>17600</v>
      </c>
      <c r="I162" s="82" t="b">
        <v>0</v>
      </c>
      <c r="J162" s="46">
        <f t="shared" si="27"/>
        <v>0</v>
      </c>
      <c r="K162" s="57"/>
      <c r="L162" s="137"/>
      <c r="M162" s="58"/>
      <c r="N162" s="58"/>
      <c r="O162" s="58"/>
      <c r="P162" s="58"/>
      <c r="Q162" s="59"/>
      <c r="R162" s="59"/>
      <c r="S162" s="59"/>
      <c r="T162" s="59"/>
      <c r="U162" s="59"/>
      <c r="V162" s="19">
        <f t="shared" si="49"/>
        <v>0</v>
      </c>
      <c r="W162" s="44">
        <f t="shared" si="50"/>
        <v>0</v>
      </c>
      <c r="Y162" s="54"/>
      <c r="Z162" s="56"/>
      <c r="AB162" s="105"/>
      <c r="AC162" s="105"/>
      <c r="AD162" s="103"/>
    </row>
    <row r="163" spans="1:30" ht="15.75">
      <c r="A163" s="29" t="s">
        <v>333</v>
      </c>
      <c r="B163" s="3" t="s">
        <v>224</v>
      </c>
      <c r="C163" s="3" t="s">
        <v>133</v>
      </c>
      <c r="D163" s="3" t="s">
        <v>222</v>
      </c>
      <c r="E163" s="3" t="str">
        <f t="shared" si="57"/>
        <v>Direct</v>
      </c>
      <c r="F163" s="3" t="s">
        <v>121</v>
      </c>
      <c r="G163" s="3">
        <v>4</v>
      </c>
      <c r="H163" s="28">
        <v>4000</v>
      </c>
      <c r="I163" s="82" t="b">
        <v>1</v>
      </c>
      <c r="J163" s="46">
        <f t="shared" si="27"/>
        <v>1.43</v>
      </c>
      <c r="K163" s="57">
        <v>5720</v>
      </c>
      <c r="L163" s="137"/>
      <c r="M163" s="58">
        <v>500</v>
      </c>
      <c r="N163" s="58"/>
      <c r="O163" s="58"/>
      <c r="P163" s="58"/>
      <c r="Q163" s="59"/>
      <c r="R163" s="59"/>
      <c r="S163" s="59"/>
      <c r="T163" s="59"/>
      <c r="U163" s="59"/>
      <c r="V163" s="19">
        <f t="shared" si="49"/>
        <v>6220</v>
      </c>
      <c r="W163" s="44">
        <f t="shared" si="50"/>
        <v>1.5549999999999999</v>
      </c>
      <c r="Y163" s="54"/>
      <c r="Z163" s="56"/>
      <c r="AB163" s="105"/>
      <c r="AC163" s="105"/>
      <c r="AD163" s="103"/>
    </row>
    <row r="164" spans="1:30" ht="15.75">
      <c r="A164" s="29" t="s">
        <v>334</v>
      </c>
      <c r="B164" s="3" t="s">
        <v>143</v>
      </c>
      <c r="C164" s="9" t="s">
        <v>119</v>
      </c>
      <c r="D164" s="3" t="s">
        <v>144</v>
      </c>
      <c r="E164" s="3" t="str">
        <f t="shared" si="57"/>
        <v>Direct</v>
      </c>
      <c r="F164" s="10" t="s">
        <v>121</v>
      </c>
      <c r="G164" s="1">
        <v>110</v>
      </c>
      <c r="H164" s="27">
        <v>1100</v>
      </c>
      <c r="I164" s="82" t="b">
        <v>0</v>
      </c>
      <c r="J164" s="46">
        <f t="shared" si="27"/>
        <v>0</v>
      </c>
      <c r="K164" s="57"/>
      <c r="L164" s="137"/>
      <c r="M164" s="58"/>
      <c r="N164" s="58"/>
      <c r="O164" s="58"/>
      <c r="P164" s="58"/>
      <c r="Q164" s="59"/>
      <c r="R164" s="59"/>
      <c r="S164" s="59"/>
      <c r="T164" s="59"/>
      <c r="U164" s="59"/>
      <c r="V164" s="19" t="e">
        <f>IF(#REF!="","",K164+SUM(L164:R164))</f>
        <v>#REF!</v>
      </c>
      <c r="W164" s="44" t="e">
        <f t="shared" si="50"/>
        <v>#REF!</v>
      </c>
      <c r="Y164" s="54"/>
      <c r="Z164" s="56"/>
      <c r="AB164" s="105"/>
      <c r="AC164" s="105"/>
      <c r="AD164" s="103"/>
    </row>
    <row r="165" spans="1:30" ht="15.75">
      <c r="A165" s="29" t="s">
        <v>335</v>
      </c>
      <c r="B165" s="3" t="s">
        <v>157</v>
      </c>
      <c r="C165" s="3" t="s">
        <v>126</v>
      </c>
      <c r="D165" s="3" t="s">
        <v>158</v>
      </c>
      <c r="E165" s="3" t="str">
        <f>IF(B165="","",IF(D165="Godfroy","Godfroy",(IF(LEFT(B165,1)="1","Hiwa","Direct"))))</f>
        <v>Direct</v>
      </c>
      <c r="F165" s="3" t="s">
        <v>128</v>
      </c>
      <c r="G165" s="3">
        <v>10</v>
      </c>
      <c r="H165" s="28">
        <v>210</v>
      </c>
      <c r="I165" s="82" t="b">
        <v>0</v>
      </c>
      <c r="J165" s="46">
        <f t="shared" si="27"/>
        <v>0</v>
      </c>
      <c r="K165" s="57"/>
      <c r="L165" s="137"/>
      <c r="M165" s="136">
        <v>269</v>
      </c>
      <c r="N165" s="58"/>
      <c r="O165" s="58"/>
      <c r="P165" s="58"/>
      <c r="Q165" s="59"/>
      <c r="R165" s="59"/>
      <c r="S165" s="59"/>
      <c r="T165" s="59"/>
      <c r="U165" s="59"/>
      <c r="V165" s="19">
        <f>IF(B164="","",K165+SUM(L165:R165))</f>
        <v>269</v>
      </c>
      <c r="W165" s="44">
        <f t="shared" si="50"/>
        <v>1.2809523809523808</v>
      </c>
      <c r="Y165" s="54"/>
      <c r="Z165" s="56"/>
      <c r="AB165" s="105"/>
      <c r="AC165" s="105"/>
      <c r="AD165" s="103"/>
    </row>
    <row r="166" spans="1:30" ht="16.5">
      <c r="A166" s="29" t="s">
        <v>336</v>
      </c>
      <c r="B166" s="3" t="s">
        <v>103</v>
      </c>
      <c r="C166" s="9" t="s">
        <v>62</v>
      </c>
      <c r="D166" s="3" t="s">
        <v>177</v>
      </c>
      <c r="E166" s="3" t="str">
        <f t="shared" ref="E166:E167" si="58">IF(B166="","",IF(D166="Godfroy","Godfroy",(IF(LEFT(B166,1)="1","Hiwa","Direct"))))</f>
        <v>Direct</v>
      </c>
      <c r="F166" s="3" t="s">
        <v>31</v>
      </c>
      <c r="G166" s="1">
        <v>112</v>
      </c>
      <c r="H166" s="27">
        <f>G166*210</f>
        <v>23520</v>
      </c>
      <c r="I166" s="82" t="b">
        <v>0</v>
      </c>
      <c r="J166" s="46">
        <f t="shared" si="27"/>
        <v>0</v>
      </c>
      <c r="K166" s="57"/>
      <c r="L166" s="137"/>
      <c r="M166" s="58"/>
      <c r="N166" s="58"/>
      <c r="O166" s="58"/>
      <c r="P166" s="58"/>
      <c r="Q166" s="59"/>
      <c r="R166" s="59"/>
      <c r="S166" s="59"/>
      <c r="T166" s="59"/>
      <c r="U166" s="59"/>
      <c r="V166" s="19">
        <f t="shared" si="49"/>
        <v>0</v>
      </c>
      <c r="W166" s="44">
        <f t="shared" si="50"/>
        <v>0</v>
      </c>
      <c r="Y166" s="54"/>
      <c r="Z166" s="56"/>
      <c r="AB166" s="105"/>
      <c r="AC166" s="105"/>
      <c r="AD166" s="103"/>
    </row>
    <row r="167" spans="1:30" ht="16.5">
      <c r="A167" s="29" t="s">
        <v>337</v>
      </c>
      <c r="B167" s="3" t="s">
        <v>68</v>
      </c>
      <c r="C167" s="9" t="s">
        <v>66</v>
      </c>
      <c r="D167" s="3" t="s">
        <v>30</v>
      </c>
      <c r="E167" s="3" t="str">
        <f t="shared" si="58"/>
        <v>Hiwa</v>
      </c>
      <c r="F167" s="10" t="s">
        <v>46</v>
      </c>
      <c r="G167" s="1">
        <v>378</v>
      </c>
      <c r="H167" s="27">
        <f>G167*20</f>
        <v>7560</v>
      </c>
      <c r="I167" s="82" t="b">
        <v>0</v>
      </c>
      <c r="J167" s="46">
        <f t="shared" si="27"/>
        <v>0</v>
      </c>
      <c r="K167" s="57"/>
      <c r="L167" s="137"/>
      <c r="M167" s="58"/>
      <c r="N167" s="58"/>
      <c r="O167" s="58"/>
      <c r="P167" s="58"/>
      <c r="Q167" s="59"/>
      <c r="R167" s="59"/>
      <c r="S167" s="59"/>
      <c r="T167" s="59"/>
      <c r="U167" s="59"/>
      <c r="V167" s="19">
        <f t="shared" si="49"/>
        <v>0</v>
      </c>
      <c r="W167" s="44">
        <f t="shared" si="50"/>
        <v>0</v>
      </c>
      <c r="Y167" s="54"/>
      <c r="Z167" s="56"/>
      <c r="AB167" s="105"/>
      <c r="AC167" s="105"/>
      <c r="AD167" s="103"/>
    </row>
    <row r="168" spans="1:30" ht="16.5">
      <c r="A168" s="29" t="s">
        <v>338</v>
      </c>
      <c r="B168" s="55" t="s">
        <v>77</v>
      </c>
      <c r="C168" s="9" t="s">
        <v>66</v>
      </c>
      <c r="D168" s="3" t="s">
        <v>30</v>
      </c>
      <c r="E168" s="3" t="str">
        <f t="shared" ref="E168:E172" si="59">IF(B168="","",IF(D168="Godfroy","Godfroy",(IF(LEFT(B168,1)="1","Hiwa","Direct"))))</f>
        <v>Hiwa</v>
      </c>
      <c r="F168" s="10" t="s">
        <v>46</v>
      </c>
      <c r="G168" s="55">
        <v>162</v>
      </c>
      <c r="H168" s="27">
        <f>G168*20</f>
        <v>3240</v>
      </c>
      <c r="I168" s="82" t="b">
        <v>0</v>
      </c>
      <c r="J168" s="46">
        <f t="shared" si="27"/>
        <v>0</v>
      </c>
      <c r="K168" s="57"/>
      <c r="L168" s="137"/>
      <c r="M168" s="58"/>
      <c r="N168" s="58"/>
      <c r="O168" s="58"/>
      <c r="P168" s="58"/>
      <c r="Q168" s="59"/>
      <c r="R168" s="59"/>
      <c r="S168" s="59"/>
      <c r="T168" s="59"/>
      <c r="U168" s="59"/>
      <c r="V168" s="19">
        <f t="shared" si="49"/>
        <v>0</v>
      </c>
      <c r="W168" s="44">
        <f t="shared" si="50"/>
        <v>0</v>
      </c>
      <c r="Y168" s="54"/>
      <c r="Z168" s="56"/>
      <c r="AB168" s="105"/>
      <c r="AC168" s="105"/>
      <c r="AD168" s="103"/>
    </row>
    <row r="169" spans="1:30" ht="16.5">
      <c r="A169" s="29" t="s">
        <v>339</v>
      </c>
      <c r="B169" s="3" t="s">
        <v>214</v>
      </c>
      <c r="C169" s="9" t="s">
        <v>119</v>
      </c>
      <c r="D169" s="3" t="s">
        <v>215</v>
      </c>
      <c r="E169" s="3" t="str">
        <f t="shared" si="59"/>
        <v>Direct</v>
      </c>
      <c r="F169" s="10" t="s">
        <v>121</v>
      </c>
      <c r="G169" s="1">
        <v>4</v>
      </c>
      <c r="H169" s="27">
        <f>+G169*200</f>
        <v>800</v>
      </c>
      <c r="I169" s="82" t="b">
        <v>0</v>
      </c>
      <c r="J169" s="46">
        <f t="shared" si="27"/>
        <v>0</v>
      </c>
      <c r="K169" s="57"/>
      <c r="L169" s="137"/>
      <c r="M169" s="58"/>
      <c r="N169" s="58"/>
      <c r="O169" s="58"/>
      <c r="P169" s="58"/>
      <c r="Q169" s="59"/>
      <c r="R169" s="59"/>
      <c r="S169" s="59"/>
      <c r="T169" s="59"/>
      <c r="U169" s="59"/>
      <c r="V169" s="19">
        <f t="shared" si="49"/>
        <v>0</v>
      </c>
      <c r="W169" s="44">
        <f t="shared" si="50"/>
        <v>0</v>
      </c>
      <c r="Y169" s="54"/>
      <c r="Z169" s="56"/>
      <c r="AB169" s="105"/>
      <c r="AC169" s="105"/>
      <c r="AD169" s="103"/>
    </row>
    <row r="170" spans="1:30" ht="16.5">
      <c r="A170" s="29" t="s">
        <v>340</v>
      </c>
      <c r="B170" s="3" t="s">
        <v>217</v>
      </c>
      <c r="C170" s="9" t="s">
        <v>119</v>
      </c>
      <c r="D170" s="3" t="s">
        <v>215</v>
      </c>
      <c r="E170" s="3" t="str">
        <f t="shared" si="59"/>
        <v>Direct</v>
      </c>
      <c r="F170" s="10" t="s">
        <v>121</v>
      </c>
      <c r="G170" s="1">
        <v>4</v>
      </c>
      <c r="H170" s="27">
        <f>+G170*5</f>
        <v>20</v>
      </c>
      <c r="I170" s="82" t="b">
        <v>0</v>
      </c>
      <c r="J170" s="46">
        <f t="shared" si="27"/>
        <v>0</v>
      </c>
      <c r="K170" s="57"/>
      <c r="L170" s="137"/>
      <c r="M170" s="58"/>
      <c r="N170" s="58"/>
      <c r="O170" s="58"/>
      <c r="P170" s="58"/>
      <c r="Q170" s="59"/>
      <c r="R170" s="59"/>
      <c r="S170" s="59"/>
      <c r="T170" s="59"/>
      <c r="U170" s="59"/>
      <c r="V170" s="19">
        <f t="shared" si="49"/>
        <v>0</v>
      </c>
      <c r="W170" s="44">
        <f t="shared" si="50"/>
        <v>0</v>
      </c>
      <c r="Y170" s="54"/>
      <c r="Z170" s="56"/>
      <c r="AB170" s="105"/>
      <c r="AC170" s="105"/>
      <c r="AD170" s="103"/>
    </row>
    <row r="171" spans="1:30" ht="15.75">
      <c r="A171" s="29" t="s">
        <v>341</v>
      </c>
      <c r="B171" s="3" t="s">
        <v>224</v>
      </c>
      <c r="C171" s="3" t="s">
        <v>133</v>
      </c>
      <c r="D171" s="3" t="s">
        <v>215</v>
      </c>
      <c r="E171" s="3" t="str">
        <f t="shared" si="59"/>
        <v>Direct</v>
      </c>
      <c r="F171" s="3" t="s">
        <v>121</v>
      </c>
      <c r="G171" s="3">
        <v>2</v>
      </c>
      <c r="H171" s="56">
        <v>2000</v>
      </c>
      <c r="I171" s="82" t="b">
        <v>0</v>
      </c>
      <c r="J171" s="46">
        <f t="shared" si="27"/>
        <v>0</v>
      </c>
      <c r="K171" s="57"/>
      <c r="L171" s="137"/>
      <c r="M171" s="58"/>
      <c r="N171" s="58"/>
      <c r="O171" s="58"/>
      <c r="P171" s="58"/>
      <c r="Q171" s="59"/>
      <c r="R171" s="59"/>
      <c r="S171" s="59"/>
      <c r="T171" s="59"/>
      <c r="U171" s="59"/>
      <c r="V171" s="19">
        <f t="shared" si="49"/>
        <v>0</v>
      </c>
      <c r="W171" s="44">
        <f t="shared" si="50"/>
        <v>0</v>
      </c>
      <c r="Y171" s="54"/>
      <c r="Z171" s="56"/>
      <c r="AB171" s="105"/>
      <c r="AC171" s="105"/>
      <c r="AD171" s="103"/>
    </row>
    <row r="172" spans="1:30" ht="16.5">
      <c r="A172" s="29" t="s">
        <v>342</v>
      </c>
      <c r="B172" s="3" t="s">
        <v>280</v>
      </c>
      <c r="C172" s="9" t="s">
        <v>176</v>
      </c>
      <c r="D172" s="13" t="s">
        <v>278</v>
      </c>
      <c r="E172" s="3" t="str">
        <f t="shared" si="59"/>
        <v>Direct</v>
      </c>
      <c r="F172" s="10" t="s">
        <v>36</v>
      </c>
      <c r="G172" s="1">
        <v>8</v>
      </c>
      <c r="H172" s="27">
        <f>G172*24</f>
        <v>192</v>
      </c>
      <c r="I172" s="82" t="b">
        <v>0</v>
      </c>
      <c r="J172" s="46">
        <f t="shared" si="27"/>
        <v>0</v>
      </c>
      <c r="K172" s="57"/>
      <c r="L172" s="137"/>
      <c r="M172" s="58">
        <v>570</v>
      </c>
      <c r="N172" s="58"/>
      <c r="O172" s="58"/>
      <c r="P172" s="58"/>
      <c r="Q172" s="59"/>
      <c r="R172" s="59"/>
      <c r="S172" s="59"/>
      <c r="T172" s="59"/>
      <c r="U172" s="59"/>
      <c r="V172" s="19">
        <f t="shared" si="49"/>
        <v>570</v>
      </c>
      <c r="W172" s="44">
        <f t="shared" si="50"/>
        <v>2.96875</v>
      </c>
      <c r="Y172" s="54"/>
      <c r="Z172" s="56"/>
      <c r="AB172" s="105"/>
      <c r="AC172" s="105"/>
      <c r="AD172" s="103"/>
    </row>
    <row r="173" spans="1:30" ht="15.75">
      <c r="A173" s="29" t="s">
        <v>343</v>
      </c>
      <c r="B173" s="55"/>
      <c r="C173" s="55"/>
      <c r="D173" s="55"/>
      <c r="E173" s="55"/>
      <c r="F173" s="55"/>
      <c r="G173" s="55"/>
      <c r="H173" s="56"/>
      <c r="I173" s="82" t="b">
        <v>0</v>
      </c>
      <c r="J173" s="46" t="str">
        <f t="shared" si="27"/>
        <v/>
      </c>
      <c r="K173" s="57"/>
      <c r="L173" s="137"/>
      <c r="M173" s="58"/>
      <c r="N173" s="58"/>
      <c r="O173" s="58"/>
      <c r="P173" s="58"/>
      <c r="Q173" s="59"/>
      <c r="R173" s="59"/>
      <c r="S173" s="59"/>
      <c r="T173" s="59"/>
      <c r="U173" s="59"/>
      <c r="V173" s="19" t="str">
        <f t="shared" si="49"/>
        <v/>
      </c>
      <c r="W173" s="44" t="str">
        <f t="shared" si="50"/>
        <v/>
      </c>
      <c r="Y173" s="54"/>
      <c r="Z173" s="56"/>
      <c r="AB173" s="105"/>
      <c r="AC173" s="105"/>
      <c r="AD173" s="103"/>
    </row>
    <row r="174" spans="1:30" ht="15.75">
      <c r="A174" s="29" t="s">
        <v>344</v>
      </c>
      <c r="B174" s="55"/>
      <c r="C174" s="55"/>
      <c r="D174" s="55"/>
      <c r="E174" s="55"/>
      <c r="F174" s="55"/>
      <c r="G174" s="55"/>
      <c r="H174" s="56"/>
      <c r="I174" s="82" t="b">
        <v>0</v>
      </c>
      <c r="J174" s="46" t="str">
        <f t="shared" si="27"/>
        <v/>
      </c>
      <c r="K174" s="57"/>
      <c r="L174" s="137"/>
      <c r="M174" s="58"/>
      <c r="N174" s="58"/>
      <c r="O174" s="58"/>
      <c r="P174" s="58"/>
      <c r="Q174" s="59"/>
      <c r="R174" s="59"/>
      <c r="S174" s="59"/>
      <c r="T174" s="59"/>
      <c r="U174" s="59"/>
      <c r="V174" s="19" t="str">
        <f t="shared" si="49"/>
        <v/>
      </c>
      <c r="W174" s="44" t="str">
        <f t="shared" si="50"/>
        <v/>
      </c>
      <c r="Y174" s="54"/>
      <c r="Z174" s="56"/>
      <c r="AB174" s="105"/>
      <c r="AC174" s="105"/>
      <c r="AD174" s="103"/>
    </row>
    <row r="175" spans="1:30" ht="15.75">
      <c r="A175" s="29" t="s">
        <v>345</v>
      </c>
      <c r="B175" s="55"/>
      <c r="C175" s="55"/>
      <c r="D175" s="55"/>
      <c r="E175" s="55"/>
      <c r="F175" s="55"/>
      <c r="G175" s="55"/>
      <c r="H175" s="56"/>
      <c r="I175" s="82" t="b">
        <v>0</v>
      </c>
      <c r="J175" s="46" t="str">
        <f t="shared" ref="J175:J201" si="60">IF(H175="","",+K175/H175)</f>
        <v/>
      </c>
      <c r="K175" s="57"/>
      <c r="L175" s="137"/>
      <c r="M175" s="58"/>
      <c r="N175" s="58"/>
      <c r="O175" s="58"/>
      <c r="P175" s="58"/>
      <c r="Q175" s="59"/>
      <c r="R175" s="59"/>
      <c r="S175" s="59"/>
      <c r="T175" s="59"/>
      <c r="U175" s="59"/>
      <c r="V175" s="19" t="str">
        <f t="shared" si="49"/>
        <v/>
      </c>
      <c r="W175" s="44" t="str">
        <f t="shared" si="50"/>
        <v/>
      </c>
      <c r="Y175" s="54"/>
      <c r="Z175" s="56"/>
      <c r="AB175" s="105"/>
      <c r="AC175" s="105"/>
      <c r="AD175" s="103"/>
    </row>
    <row r="176" spans="1:30" ht="15.75">
      <c r="A176" s="29" t="s">
        <v>346</v>
      </c>
      <c r="B176" s="55"/>
      <c r="C176" s="55"/>
      <c r="D176" s="55"/>
      <c r="E176" s="55"/>
      <c r="F176" s="55"/>
      <c r="G176" s="55"/>
      <c r="H176" s="56"/>
      <c r="I176" s="82" t="b">
        <v>0</v>
      </c>
      <c r="J176" s="46" t="str">
        <f t="shared" si="60"/>
        <v/>
      </c>
      <c r="K176" s="57"/>
      <c r="L176" s="137"/>
      <c r="M176" s="58"/>
      <c r="N176" s="58"/>
      <c r="O176" s="58"/>
      <c r="P176" s="58"/>
      <c r="Q176" s="59"/>
      <c r="R176" s="59"/>
      <c r="S176" s="59"/>
      <c r="T176" s="59"/>
      <c r="U176" s="59"/>
      <c r="V176" s="19" t="str">
        <f t="shared" si="49"/>
        <v/>
      </c>
      <c r="W176" s="44" t="str">
        <f t="shared" si="50"/>
        <v/>
      </c>
      <c r="Y176" s="54"/>
      <c r="Z176" s="56"/>
      <c r="AB176" s="105"/>
      <c r="AC176" s="105"/>
      <c r="AD176" s="103"/>
    </row>
    <row r="177" spans="1:30" ht="15.75">
      <c r="A177" s="29" t="s">
        <v>347</v>
      </c>
      <c r="B177" s="55"/>
      <c r="C177" s="55"/>
      <c r="D177" s="55"/>
      <c r="E177" s="55"/>
      <c r="F177" s="55"/>
      <c r="G177" s="55"/>
      <c r="H177" s="56"/>
      <c r="I177" s="82" t="b">
        <v>0</v>
      </c>
      <c r="J177" s="46" t="str">
        <f t="shared" si="60"/>
        <v/>
      </c>
      <c r="K177" s="57"/>
      <c r="L177" s="137"/>
      <c r="M177" s="58"/>
      <c r="N177" s="58"/>
      <c r="O177" s="58"/>
      <c r="P177" s="58"/>
      <c r="Q177" s="59"/>
      <c r="R177" s="59"/>
      <c r="S177" s="59"/>
      <c r="T177" s="59"/>
      <c r="U177" s="59"/>
      <c r="V177" s="19" t="str">
        <f t="shared" si="49"/>
        <v/>
      </c>
      <c r="W177" s="44" t="str">
        <f t="shared" si="50"/>
        <v/>
      </c>
      <c r="Y177" s="54"/>
      <c r="Z177" s="56"/>
      <c r="AB177" s="105"/>
      <c r="AC177" s="105"/>
      <c r="AD177" s="103"/>
    </row>
    <row r="178" spans="1:30" ht="15.75">
      <c r="A178" s="29" t="s">
        <v>348</v>
      </c>
      <c r="B178" s="55"/>
      <c r="C178" s="55"/>
      <c r="D178" s="55"/>
      <c r="E178" s="55"/>
      <c r="F178" s="55"/>
      <c r="G178" s="55"/>
      <c r="H178" s="56"/>
      <c r="I178" s="82" t="b">
        <v>0</v>
      </c>
      <c r="J178" s="46" t="str">
        <f t="shared" si="60"/>
        <v/>
      </c>
      <c r="K178" s="57"/>
      <c r="L178" s="137"/>
      <c r="M178" s="58"/>
      <c r="N178" s="58"/>
      <c r="O178" s="58"/>
      <c r="P178" s="58"/>
      <c r="Q178" s="59"/>
      <c r="R178" s="59"/>
      <c r="S178" s="59"/>
      <c r="T178" s="59"/>
      <c r="U178" s="59"/>
      <c r="V178" s="19" t="str">
        <f t="shared" si="49"/>
        <v/>
      </c>
      <c r="W178" s="44" t="str">
        <f t="shared" si="50"/>
        <v/>
      </c>
      <c r="Y178" s="54"/>
      <c r="Z178" s="56"/>
      <c r="AB178" s="105"/>
      <c r="AC178" s="105"/>
      <c r="AD178" s="103"/>
    </row>
    <row r="179" spans="1:30" ht="15.75">
      <c r="A179" s="29" t="s">
        <v>349</v>
      </c>
      <c r="B179" s="55"/>
      <c r="C179" s="55"/>
      <c r="D179" s="55"/>
      <c r="E179" s="55"/>
      <c r="F179" s="55"/>
      <c r="G179" s="55"/>
      <c r="H179" s="56"/>
      <c r="I179" s="82" t="b">
        <v>0</v>
      </c>
      <c r="J179" s="46" t="str">
        <f t="shared" si="60"/>
        <v/>
      </c>
      <c r="K179" s="57"/>
      <c r="L179" s="137"/>
      <c r="M179" s="58"/>
      <c r="N179" s="58"/>
      <c r="O179" s="58"/>
      <c r="P179" s="58"/>
      <c r="Q179" s="59"/>
      <c r="R179" s="59"/>
      <c r="S179" s="59"/>
      <c r="T179" s="59"/>
      <c r="U179" s="59"/>
      <c r="V179" s="19" t="str">
        <f t="shared" si="49"/>
        <v/>
      </c>
      <c r="W179" s="44" t="str">
        <f t="shared" si="50"/>
        <v/>
      </c>
      <c r="Y179" s="54"/>
      <c r="Z179" s="56"/>
      <c r="AB179" s="105"/>
      <c r="AC179" s="105"/>
      <c r="AD179" s="103"/>
    </row>
    <row r="180" spans="1:30" ht="15.75">
      <c r="A180" s="29" t="s">
        <v>350</v>
      </c>
      <c r="B180" s="55"/>
      <c r="C180" s="55"/>
      <c r="D180" s="55"/>
      <c r="E180" s="55"/>
      <c r="F180" s="55"/>
      <c r="G180" s="55"/>
      <c r="H180" s="56"/>
      <c r="I180" s="82" t="b">
        <v>0</v>
      </c>
      <c r="J180" s="46" t="str">
        <f t="shared" si="60"/>
        <v/>
      </c>
      <c r="K180" s="57"/>
      <c r="L180" s="137"/>
      <c r="M180" s="58"/>
      <c r="N180" s="58"/>
      <c r="O180" s="58"/>
      <c r="P180" s="58"/>
      <c r="Q180" s="59"/>
      <c r="R180" s="59"/>
      <c r="S180" s="59"/>
      <c r="T180" s="59"/>
      <c r="U180" s="59"/>
      <c r="V180" s="19" t="str">
        <f t="shared" si="49"/>
        <v/>
      </c>
      <c r="W180" s="44" t="str">
        <f t="shared" si="50"/>
        <v/>
      </c>
      <c r="Y180" s="54"/>
      <c r="Z180" s="56"/>
      <c r="AB180" s="105"/>
      <c r="AC180" s="105"/>
      <c r="AD180" s="103"/>
    </row>
    <row r="181" spans="1:30" ht="15.75">
      <c r="A181" s="29" t="s">
        <v>351</v>
      </c>
      <c r="B181" s="55"/>
      <c r="C181" s="55"/>
      <c r="D181" s="55"/>
      <c r="E181" s="55"/>
      <c r="F181" s="55"/>
      <c r="G181" s="55"/>
      <c r="H181" s="56"/>
      <c r="I181" s="82" t="b">
        <v>0</v>
      </c>
      <c r="J181" s="46" t="str">
        <f t="shared" si="60"/>
        <v/>
      </c>
      <c r="K181" s="57"/>
      <c r="L181" s="137"/>
      <c r="M181" s="58"/>
      <c r="N181" s="58"/>
      <c r="O181" s="58"/>
      <c r="P181" s="58"/>
      <c r="Q181" s="59"/>
      <c r="R181" s="59"/>
      <c r="S181" s="59"/>
      <c r="T181" s="59"/>
      <c r="U181" s="59"/>
      <c r="V181" s="19" t="str">
        <f t="shared" si="49"/>
        <v/>
      </c>
      <c r="W181" s="44" t="str">
        <f t="shared" si="50"/>
        <v/>
      </c>
      <c r="Y181" s="54"/>
      <c r="Z181" s="56"/>
      <c r="AB181" s="105"/>
      <c r="AC181" s="105"/>
      <c r="AD181" s="103"/>
    </row>
    <row r="182" spans="1:30" ht="15.75">
      <c r="A182" s="29" t="s">
        <v>352</v>
      </c>
      <c r="B182" s="55"/>
      <c r="C182" s="55"/>
      <c r="D182" s="55"/>
      <c r="E182" s="55"/>
      <c r="F182" s="55"/>
      <c r="G182" s="55"/>
      <c r="H182" s="56"/>
      <c r="I182" s="82" t="b">
        <v>0</v>
      </c>
      <c r="J182" s="46" t="str">
        <f t="shared" si="60"/>
        <v/>
      </c>
      <c r="K182" s="57"/>
      <c r="L182" s="137"/>
      <c r="M182" s="58"/>
      <c r="N182" s="58"/>
      <c r="O182" s="58"/>
      <c r="P182" s="58"/>
      <c r="Q182" s="59"/>
      <c r="R182" s="59"/>
      <c r="S182" s="59"/>
      <c r="T182" s="59"/>
      <c r="U182" s="59"/>
      <c r="V182" s="19" t="str">
        <f t="shared" si="49"/>
        <v/>
      </c>
      <c r="W182" s="44" t="str">
        <f t="shared" si="50"/>
        <v/>
      </c>
      <c r="Y182" s="54"/>
      <c r="Z182" s="56"/>
      <c r="AB182" s="105"/>
      <c r="AC182" s="105"/>
      <c r="AD182" s="103"/>
    </row>
    <row r="183" spans="1:30" ht="15.75">
      <c r="A183" s="29" t="s">
        <v>353</v>
      </c>
      <c r="B183" s="55"/>
      <c r="C183" s="55"/>
      <c r="D183" s="55"/>
      <c r="E183" s="55"/>
      <c r="F183" s="55"/>
      <c r="G183" s="55"/>
      <c r="H183" s="56"/>
      <c r="I183" s="82" t="b">
        <v>0</v>
      </c>
      <c r="J183" s="46" t="str">
        <f t="shared" si="60"/>
        <v/>
      </c>
      <c r="K183" s="57"/>
      <c r="L183" s="137"/>
      <c r="M183" s="58"/>
      <c r="N183" s="58"/>
      <c r="O183" s="58"/>
      <c r="P183" s="58"/>
      <c r="Q183" s="59"/>
      <c r="R183" s="59"/>
      <c r="S183" s="59"/>
      <c r="T183" s="59"/>
      <c r="U183" s="59"/>
      <c r="V183" s="19" t="str">
        <f t="shared" si="49"/>
        <v/>
      </c>
      <c r="W183" s="44" t="str">
        <f t="shared" si="50"/>
        <v/>
      </c>
      <c r="Y183" s="54"/>
      <c r="Z183" s="56"/>
      <c r="AB183" s="105"/>
      <c r="AC183" s="105"/>
      <c r="AD183" s="103"/>
    </row>
    <row r="184" spans="1:30" ht="15.75">
      <c r="A184" s="29" t="s">
        <v>354</v>
      </c>
      <c r="B184" s="55"/>
      <c r="C184" s="55"/>
      <c r="D184" s="55"/>
      <c r="E184" s="55"/>
      <c r="F184" s="55"/>
      <c r="G184" s="55"/>
      <c r="H184" s="56"/>
      <c r="I184" s="82" t="b">
        <v>0</v>
      </c>
      <c r="J184" s="46" t="str">
        <f t="shared" si="60"/>
        <v/>
      </c>
      <c r="K184" s="57"/>
      <c r="L184" s="137"/>
      <c r="M184" s="58"/>
      <c r="N184" s="58"/>
      <c r="O184" s="58"/>
      <c r="P184" s="58"/>
      <c r="Q184" s="59"/>
      <c r="R184" s="59"/>
      <c r="S184" s="59"/>
      <c r="T184" s="59"/>
      <c r="U184" s="59"/>
      <c r="V184" s="19" t="str">
        <f t="shared" si="49"/>
        <v/>
      </c>
      <c r="W184" s="44" t="str">
        <f t="shared" si="50"/>
        <v/>
      </c>
      <c r="Y184" s="54"/>
      <c r="Z184" s="56"/>
      <c r="AB184" s="105"/>
      <c r="AC184" s="105"/>
      <c r="AD184" s="103"/>
    </row>
    <row r="185" spans="1:30" ht="15.75">
      <c r="A185" s="29" t="s">
        <v>355</v>
      </c>
      <c r="B185" s="55"/>
      <c r="C185" s="55"/>
      <c r="D185" s="55"/>
      <c r="E185" s="55"/>
      <c r="F185" s="55"/>
      <c r="G185" s="55"/>
      <c r="H185" s="56"/>
      <c r="I185" s="82" t="b">
        <v>0</v>
      </c>
      <c r="J185" s="46" t="str">
        <f t="shared" si="60"/>
        <v/>
      </c>
      <c r="K185" s="57"/>
      <c r="L185" s="137"/>
      <c r="M185" s="58"/>
      <c r="N185" s="58"/>
      <c r="O185" s="58"/>
      <c r="P185" s="58"/>
      <c r="Q185" s="59"/>
      <c r="R185" s="59"/>
      <c r="S185" s="59"/>
      <c r="T185" s="59"/>
      <c r="U185" s="59"/>
      <c r="V185" s="19" t="str">
        <f t="shared" si="49"/>
        <v/>
      </c>
      <c r="W185" s="44" t="str">
        <f t="shared" si="50"/>
        <v/>
      </c>
      <c r="Y185" s="54"/>
      <c r="Z185" s="56"/>
      <c r="AB185" s="105"/>
      <c r="AC185" s="105"/>
      <c r="AD185" s="103"/>
    </row>
    <row r="186" spans="1:30" ht="15.75">
      <c r="A186" s="29" t="s">
        <v>356</v>
      </c>
      <c r="B186" s="55"/>
      <c r="C186" s="55"/>
      <c r="D186" s="55"/>
      <c r="E186" s="55"/>
      <c r="F186" s="55"/>
      <c r="G186" s="55"/>
      <c r="H186" s="56"/>
      <c r="I186" s="82" t="b">
        <v>0</v>
      </c>
      <c r="J186" s="46" t="str">
        <f t="shared" si="60"/>
        <v/>
      </c>
      <c r="K186" s="57"/>
      <c r="L186" s="137"/>
      <c r="M186" s="58"/>
      <c r="N186" s="58"/>
      <c r="O186" s="58"/>
      <c r="P186" s="58"/>
      <c r="Q186" s="59"/>
      <c r="R186" s="59"/>
      <c r="S186" s="59"/>
      <c r="T186" s="59"/>
      <c r="U186" s="59"/>
      <c r="V186" s="19" t="str">
        <f t="shared" si="49"/>
        <v/>
      </c>
      <c r="W186" s="44" t="str">
        <f t="shared" si="50"/>
        <v/>
      </c>
      <c r="Y186" s="54"/>
      <c r="Z186" s="56"/>
      <c r="AB186" s="105"/>
      <c r="AC186" s="105"/>
      <c r="AD186" s="103"/>
    </row>
    <row r="187" spans="1:30" ht="15.75">
      <c r="A187" s="29" t="s">
        <v>357</v>
      </c>
      <c r="B187" s="55"/>
      <c r="C187" s="55"/>
      <c r="D187" s="55"/>
      <c r="E187" s="55"/>
      <c r="F187" s="55"/>
      <c r="G187" s="55"/>
      <c r="H187" s="56"/>
      <c r="I187" s="82" t="b">
        <v>0</v>
      </c>
      <c r="J187" s="46" t="str">
        <f t="shared" si="60"/>
        <v/>
      </c>
      <c r="K187" s="57"/>
      <c r="L187" s="137"/>
      <c r="M187" s="58"/>
      <c r="N187" s="58"/>
      <c r="O187" s="58"/>
      <c r="P187" s="58"/>
      <c r="Q187" s="59"/>
      <c r="R187" s="59"/>
      <c r="S187" s="59"/>
      <c r="T187" s="59"/>
      <c r="U187" s="59"/>
      <c r="V187" s="19" t="str">
        <f t="shared" si="49"/>
        <v/>
      </c>
      <c r="W187" s="44" t="str">
        <f t="shared" si="50"/>
        <v/>
      </c>
      <c r="Y187" s="54"/>
      <c r="Z187" s="56"/>
      <c r="AB187" s="105"/>
      <c r="AC187" s="105"/>
      <c r="AD187" s="103"/>
    </row>
    <row r="188" spans="1:30" ht="15.75">
      <c r="A188" s="29" t="s">
        <v>358</v>
      </c>
      <c r="B188" s="55"/>
      <c r="C188" s="55"/>
      <c r="D188" s="55"/>
      <c r="E188" s="55"/>
      <c r="F188" s="55"/>
      <c r="G188" s="55"/>
      <c r="H188" s="56"/>
      <c r="I188" s="82" t="b">
        <v>0</v>
      </c>
      <c r="J188" s="46" t="str">
        <f t="shared" si="60"/>
        <v/>
      </c>
      <c r="K188" s="57"/>
      <c r="L188" s="137"/>
      <c r="M188" s="58"/>
      <c r="N188" s="58"/>
      <c r="O188" s="58"/>
      <c r="P188" s="58"/>
      <c r="Q188" s="59"/>
      <c r="R188" s="59"/>
      <c r="S188" s="59"/>
      <c r="T188" s="59"/>
      <c r="U188" s="59"/>
      <c r="V188" s="19" t="str">
        <f t="shared" si="49"/>
        <v/>
      </c>
      <c r="W188" s="44" t="str">
        <f t="shared" si="50"/>
        <v/>
      </c>
      <c r="Y188" s="54"/>
      <c r="Z188" s="56"/>
      <c r="AB188" s="105"/>
      <c r="AC188" s="105"/>
      <c r="AD188" s="103"/>
    </row>
    <row r="189" spans="1:30" ht="15.75">
      <c r="A189" s="29" t="s">
        <v>359</v>
      </c>
      <c r="B189" s="55"/>
      <c r="C189" s="55"/>
      <c r="D189" s="55"/>
      <c r="E189" s="55"/>
      <c r="F189" s="55"/>
      <c r="G189" s="55"/>
      <c r="H189" s="56"/>
      <c r="I189" s="82" t="b">
        <v>0</v>
      </c>
      <c r="J189" s="46" t="str">
        <f t="shared" si="60"/>
        <v/>
      </c>
      <c r="K189" s="57"/>
      <c r="L189" s="137"/>
      <c r="M189" s="58"/>
      <c r="N189" s="58"/>
      <c r="O189" s="58"/>
      <c r="P189" s="58"/>
      <c r="Q189" s="59"/>
      <c r="R189" s="59"/>
      <c r="S189" s="59"/>
      <c r="T189" s="59"/>
      <c r="U189" s="59"/>
      <c r="V189" s="19" t="str">
        <f t="shared" si="49"/>
        <v/>
      </c>
      <c r="W189" s="44" t="str">
        <f t="shared" si="50"/>
        <v/>
      </c>
      <c r="Y189" s="54"/>
      <c r="Z189" s="56"/>
      <c r="AB189" s="105"/>
      <c r="AC189" s="105"/>
      <c r="AD189" s="103"/>
    </row>
    <row r="190" spans="1:30" ht="15.75">
      <c r="A190" s="29" t="s">
        <v>360</v>
      </c>
      <c r="B190" s="55"/>
      <c r="C190" s="55"/>
      <c r="D190" s="55"/>
      <c r="E190" s="55"/>
      <c r="F190" s="55"/>
      <c r="G190" s="55"/>
      <c r="H190" s="56"/>
      <c r="I190" s="82" t="b">
        <v>0</v>
      </c>
      <c r="J190" s="46" t="str">
        <f t="shared" si="60"/>
        <v/>
      </c>
      <c r="K190" s="57"/>
      <c r="L190" s="137"/>
      <c r="M190" s="58"/>
      <c r="N190" s="58"/>
      <c r="O190" s="58"/>
      <c r="P190" s="58"/>
      <c r="Q190" s="59"/>
      <c r="R190" s="59"/>
      <c r="S190" s="59"/>
      <c r="T190" s="59"/>
      <c r="U190" s="59"/>
      <c r="V190" s="19" t="str">
        <f t="shared" si="49"/>
        <v/>
      </c>
      <c r="W190" s="44" t="str">
        <f t="shared" si="50"/>
        <v/>
      </c>
      <c r="Y190" s="54"/>
      <c r="Z190" s="56"/>
      <c r="AB190" s="105"/>
      <c r="AC190" s="105"/>
      <c r="AD190" s="103"/>
    </row>
    <row r="191" spans="1:30" ht="15.75">
      <c r="A191" s="29" t="s">
        <v>361</v>
      </c>
      <c r="B191" s="55"/>
      <c r="C191" s="55"/>
      <c r="D191" s="55"/>
      <c r="E191" s="55"/>
      <c r="F191" s="55"/>
      <c r="G191" s="55"/>
      <c r="H191" s="56"/>
      <c r="I191" s="82" t="b">
        <v>0</v>
      </c>
      <c r="J191" s="46" t="str">
        <f t="shared" si="60"/>
        <v/>
      </c>
      <c r="K191" s="57"/>
      <c r="L191" s="137"/>
      <c r="M191" s="58"/>
      <c r="N191" s="58"/>
      <c r="O191" s="58"/>
      <c r="P191" s="58"/>
      <c r="Q191" s="59"/>
      <c r="R191" s="59"/>
      <c r="S191" s="59"/>
      <c r="T191" s="59"/>
      <c r="U191" s="59"/>
      <c r="V191" s="19" t="str">
        <f t="shared" si="49"/>
        <v/>
      </c>
      <c r="W191" s="44" t="str">
        <f t="shared" si="50"/>
        <v/>
      </c>
      <c r="Y191" s="54"/>
      <c r="Z191" s="56"/>
      <c r="AB191" s="105"/>
      <c r="AC191" s="105"/>
      <c r="AD191" s="103"/>
    </row>
    <row r="192" spans="1:30" ht="15.75">
      <c r="A192" s="29" t="s">
        <v>362</v>
      </c>
      <c r="B192" s="55"/>
      <c r="C192" s="55"/>
      <c r="D192" s="55"/>
      <c r="E192" s="55"/>
      <c r="F192" s="55"/>
      <c r="G192" s="55"/>
      <c r="H192" s="56"/>
      <c r="I192" s="82" t="b">
        <v>0</v>
      </c>
      <c r="J192" s="46" t="str">
        <f t="shared" si="60"/>
        <v/>
      </c>
      <c r="K192" s="57"/>
      <c r="L192" s="137"/>
      <c r="M192" s="58"/>
      <c r="N192" s="58"/>
      <c r="O192" s="58"/>
      <c r="P192" s="58"/>
      <c r="Q192" s="59"/>
      <c r="R192" s="59"/>
      <c r="S192" s="59"/>
      <c r="T192" s="59"/>
      <c r="U192" s="59"/>
      <c r="V192" s="19" t="str">
        <f t="shared" si="49"/>
        <v/>
      </c>
      <c r="W192" s="44" t="str">
        <f t="shared" si="50"/>
        <v/>
      </c>
      <c r="Y192" s="54"/>
      <c r="Z192" s="56"/>
      <c r="AB192" s="105"/>
      <c r="AC192" s="105"/>
      <c r="AD192" s="103"/>
    </row>
    <row r="193" spans="1:30" ht="15.75">
      <c r="A193" s="29" t="s">
        <v>363</v>
      </c>
      <c r="B193" s="55"/>
      <c r="C193" s="55"/>
      <c r="D193" s="55"/>
      <c r="E193" s="55"/>
      <c r="F193" s="55"/>
      <c r="G193" s="55"/>
      <c r="H193" s="56"/>
      <c r="I193" s="82" t="b">
        <v>0</v>
      </c>
      <c r="J193" s="46" t="str">
        <f t="shared" si="60"/>
        <v/>
      </c>
      <c r="K193" s="57"/>
      <c r="L193" s="137"/>
      <c r="M193" s="58"/>
      <c r="N193" s="58"/>
      <c r="O193" s="58"/>
      <c r="P193" s="58"/>
      <c r="Q193" s="59"/>
      <c r="R193" s="59"/>
      <c r="S193" s="59"/>
      <c r="T193" s="59"/>
      <c r="U193" s="59"/>
      <c r="V193" s="19" t="str">
        <f t="shared" si="49"/>
        <v/>
      </c>
      <c r="W193" s="44" t="str">
        <f t="shared" si="50"/>
        <v/>
      </c>
      <c r="Y193" s="54"/>
      <c r="Z193" s="56"/>
      <c r="AB193" s="105"/>
      <c r="AC193" s="105"/>
      <c r="AD193" s="103"/>
    </row>
    <row r="194" spans="1:30" ht="15.75">
      <c r="A194" s="29" t="s">
        <v>364</v>
      </c>
      <c r="B194" s="55"/>
      <c r="C194" s="55"/>
      <c r="D194" s="55"/>
      <c r="E194" s="55"/>
      <c r="F194" s="55"/>
      <c r="G194" s="55"/>
      <c r="H194" s="56"/>
      <c r="I194" s="82" t="b">
        <v>0</v>
      </c>
      <c r="J194" s="46" t="str">
        <f t="shared" si="60"/>
        <v/>
      </c>
      <c r="K194" s="57"/>
      <c r="L194" s="137"/>
      <c r="M194" s="58"/>
      <c r="N194" s="58"/>
      <c r="O194" s="58"/>
      <c r="P194" s="58"/>
      <c r="Q194" s="59"/>
      <c r="R194" s="59"/>
      <c r="S194" s="59"/>
      <c r="T194" s="59"/>
      <c r="U194" s="59"/>
      <c r="V194" s="19" t="str">
        <f t="shared" si="49"/>
        <v/>
      </c>
      <c r="W194" s="44" t="str">
        <f t="shared" si="50"/>
        <v/>
      </c>
      <c r="Y194" s="54"/>
      <c r="Z194" s="56"/>
      <c r="AB194" s="105"/>
      <c r="AC194" s="105"/>
      <c r="AD194" s="103"/>
    </row>
    <row r="195" spans="1:30" ht="15.75">
      <c r="A195" s="29" t="s">
        <v>365</v>
      </c>
      <c r="B195" s="55"/>
      <c r="C195" s="55"/>
      <c r="D195" s="55"/>
      <c r="E195" s="55"/>
      <c r="F195" s="55"/>
      <c r="G195" s="55"/>
      <c r="H195" s="56"/>
      <c r="I195" s="82" t="b">
        <v>0</v>
      </c>
      <c r="J195" s="46" t="str">
        <f t="shared" si="60"/>
        <v/>
      </c>
      <c r="K195" s="57"/>
      <c r="L195" s="137"/>
      <c r="M195" s="58"/>
      <c r="N195" s="58"/>
      <c r="O195" s="58"/>
      <c r="P195" s="58"/>
      <c r="Q195" s="59"/>
      <c r="R195" s="59"/>
      <c r="S195" s="59"/>
      <c r="T195" s="59"/>
      <c r="U195" s="59"/>
      <c r="V195" s="19" t="str">
        <f t="shared" si="49"/>
        <v/>
      </c>
      <c r="W195" s="44" t="str">
        <f t="shared" si="50"/>
        <v/>
      </c>
      <c r="Y195" s="54"/>
      <c r="Z195" s="56"/>
      <c r="AB195" s="105"/>
      <c r="AC195" s="105"/>
      <c r="AD195" s="103"/>
    </row>
    <row r="196" spans="1:30" ht="15.75">
      <c r="A196" s="29" t="s">
        <v>366</v>
      </c>
      <c r="B196" s="55"/>
      <c r="C196" s="55"/>
      <c r="D196" s="55"/>
      <c r="E196" s="55"/>
      <c r="F196" s="55"/>
      <c r="G196" s="55"/>
      <c r="H196" s="56"/>
      <c r="I196" s="82" t="b">
        <v>0</v>
      </c>
      <c r="J196" s="46" t="str">
        <f t="shared" si="60"/>
        <v/>
      </c>
      <c r="K196" s="57"/>
      <c r="L196" s="137"/>
      <c r="M196" s="58"/>
      <c r="N196" s="58"/>
      <c r="O196" s="58"/>
      <c r="P196" s="58"/>
      <c r="Q196" s="59"/>
      <c r="R196" s="59"/>
      <c r="S196" s="59"/>
      <c r="T196" s="59"/>
      <c r="U196" s="59"/>
      <c r="V196" s="19" t="str">
        <f t="shared" si="49"/>
        <v/>
      </c>
      <c r="W196" s="44" t="str">
        <f t="shared" si="50"/>
        <v/>
      </c>
      <c r="Y196" s="54"/>
      <c r="Z196" s="56"/>
      <c r="AB196" s="105"/>
      <c r="AC196" s="105"/>
      <c r="AD196" s="103"/>
    </row>
    <row r="197" spans="1:30" ht="15.75">
      <c r="A197" s="29" t="s">
        <v>367</v>
      </c>
      <c r="B197" s="55"/>
      <c r="C197" s="55"/>
      <c r="D197" s="55"/>
      <c r="E197" s="55"/>
      <c r="F197" s="55"/>
      <c r="G197" s="55"/>
      <c r="H197" s="56"/>
      <c r="I197" s="82" t="b">
        <v>0</v>
      </c>
      <c r="J197" s="46" t="str">
        <f t="shared" si="60"/>
        <v/>
      </c>
      <c r="K197" s="57"/>
      <c r="L197" s="137"/>
      <c r="M197" s="58"/>
      <c r="N197" s="58"/>
      <c r="O197" s="58"/>
      <c r="P197" s="58"/>
      <c r="Q197" s="59"/>
      <c r="R197" s="59"/>
      <c r="S197" s="59"/>
      <c r="T197" s="59"/>
      <c r="U197" s="59"/>
      <c r="V197" s="19" t="str">
        <f t="shared" si="49"/>
        <v/>
      </c>
      <c r="W197" s="44" t="str">
        <f t="shared" si="50"/>
        <v/>
      </c>
      <c r="Y197" s="54"/>
      <c r="Z197" s="56"/>
      <c r="AB197" s="105"/>
      <c r="AC197" s="105"/>
      <c r="AD197" s="103"/>
    </row>
    <row r="198" spans="1:30" ht="15.75">
      <c r="A198" s="29" t="s">
        <v>368</v>
      </c>
      <c r="B198" s="55"/>
      <c r="C198" s="55"/>
      <c r="D198" s="55"/>
      <c r="E198" s="55"/>
      <c r="F198" s="55"/>
      <c r="G198" s="55"/>
      <c r="H198" s="56"/>
      <c r="I198" s="82" t="b">
        <v>0</v>
      </c>
      <c r="J198" s="46" t="str">
        <f t="shared" si="60"/>
        <v/>
      </c>
      <c r="K198" s="57"/>
      <c r="L198" s="140"/>
      <c r="M198" s="58"/>
      <c r="N198" s="58"/>
      <c r="O198" s="58"/>
      <c r="P198" s="58"/>
      <c r="Q198" s="59"/>
      <c r="R198" s="59"/>
      <c r="S198" s="59"/>
      <c r="T198" s="59"/>
      <c r="U198" s="59"/>
      <c r="V198" s="19" t="str">
        <f t="shared" si="49"/>
        <v/>
      </c>
      <c r="W198" s="44" t="str">
        <f t="shared" si="50"/>
        <v/>
      </c>
      <c r="Y198" s="54"/>
      <c r="Z198" s="56"/>
      <c r="AB198" s="105"/>
      <c r="AC198" s="105"/>
      <c r="AD198" s="103"/>
    </row>
    <row r="199" spans="1:30" ht="15.75">
      <c r="A199" s="29" t="s">
        <v>369</v>
      </c>
      <c r="B199" s="55"/>
      <c r="C199" s="55"/>
      <c r="D199" s="55"/>
      <c r="E199" s="55"/>
      <c r="F199" s="55"/>
      <c r="G199" s="55"/>
      <c r="H199" s="56"/>
      <c r="I199" s="82" t="b">
        <v>0</v>
      </c>
      <c r="J199" s="46" t="str">
        <f t="shared" si="60"/>
        <v/>
      </c>
      <c r="K199" s="57"/>
      <c r="L199" s="140"/>
      <c r="M199" s="58"/>
      <c r="N199" s="58"/>
      <c r="O199" s="58"/>
      <c r="P199" s="58"/>
      <c r="Q199" s="59"/>
      <c r="R199" s="59"/>
      <c r="S199" s="59"/>
      <c r="T199" s="59"/>
      <c r="U199" s="59"/>
      <c r="V199" s="19" t="str">
        <f t="shared" si="49"/>
        <v/>
      </c>
      <c r="W199" s="44" t="str">
        <f t="shared" si="50"/>
        <v/>
      </c>
      <c r="Y199" s="54"/>
      <c r="Z199" s="56"/>
      <c r="AB199" s="105"/>
      <c r="AC199" s="105"/>
      <c r="AD199" s="103"/>
    </row>
    <row r="200" spans="1:30" ht="15.75">
      <c r="A200" s="29" t="s">
        <v>370</v>
      </c>
      <c r="B200" s="55"/>
      <c r="C200" s="55"/>
      <c r="D200" s="55"/>
      <c r="E200" s="55"/>
      <c r="F200" s="55"/>
      <c r="G200" s="55"/>
      <c r="H200" s="56"/>
      <c r="I200" s="82" t="b">
        <v>0</v>
      </c>
      <c r="J200" s="46" t="str">
        <f t="shared" si="60"/>
        <v/>
      </c>
      <c r="K200" s="57"/>
      <c r="L200" s="140"/>
      <c r="M200" s="58"/>
      <c r="N200" s="58"/>
      <c r="O200" s="58"/>
      <c r="P200" s="58"/>
      <c r="Q200" s="59"/>
      <c r="R200" s="59"/>
      <c r="S200" s="59"/>
      <c r="T200" s="59"/>
      <c r="U200" s="59"/>
      <c r="V200" s="19" t="str">
        <f t="shared" si="49"/>
        <v/>
      </c>
      <c r="W200" s="44" t="str">
        <f t="shared" si="50"/>
        <v/>
      </c>
      <c r="Y200" s="54"/>
      <c r="Z200" s="56"/>
      <c r="AB200" s="105"/>
      <c r="AC200" s="105"/>
      <c r="AD200" s="103"/>
    </row>
    <row r="201" spans="1:30" ht="15.75">
      <c r="A201" s="29" t="s">
        <v>371</v>
      </c>
      <c r="B201" s="55"/>
      <c r="C201" s="55"/>
      <c r="D201" s="55"/>
      <c r="E201" s="55"/>
      <c r="F201" s="55"/>
      <c r="G201" s="55"/>
      <c r="H201" s="56"/>
      <c r="I201" s="82" t="b">
        <v>0</v>
      </c>
      <c r="J201" s="46" t="str">
        <f t="shared" si="60"/>
        <v/>
      </c>
      <c r="K201" s="57"/>
      <c r="L201" s="140"/>
      <c r="M201" s="58"/>
      <c r="N201" s="58"/>
      <c r="O201" s="58"/>
      <c r="P201" s="58"/>
      <c r="Q201" s="59"/>
      <c r="R201" s="59"/>
      <c r="S201" s="59"/>
      <c r="T201" s="59"/>
      <c r="U201" s="59"/>
      <c r="V201" s="19" t="str">
        <f t="shared" si="49"/>
        <v/>
      </c>
      <c r="W201" s="44" t="str">
        <f t="shared" si="50"/>
        <v/>
      </c>
      <c r="Y201" s="54"/>
      <c r="Z201" s="56"/>
      <c r="AB201" s="105"/>
      <c r="AC201" s="105"/>
      <c r="AD201" s="103"/>
    </row>
    <row r="202" spans="1:30" ht="16.5" thickBot="1">
      <c r="A202" s="30"/>
      <c r="B202" s="31"/>
      <c r="C202" s="31"/>
      <c r="D202" s="31"/>
      <c r="E202" s="31"/>
      <c r="F202" s="31"/>
      <c r="G202" s="31"/>
      <c r="H202" s="32"/>
      <c r="I202" s="82" t="b">
        <v>0</v>
      </c>
      <c r="J202" s="49"/>
      <c r="K202" s="142"/>
      <c r="L202" s="141"/>
      <c r="M202" s="50"/>
      <c r="N202" s="50"/>
      <c r="O202" s="50"/>
      <c r="P202" s="50"/>
      <c r="Q202" s="51"/>
      <c r="R202" s="51"/>
      <c r="S202" s="51"/>
      <c r="T202" s="51"/>
      <c r="U202" s="51"/>
      <c r="V202" s="52" t="str">
        <f t="shared" si="32"/>
        <v/>
      </c>
      <c r="W202" s="71" t="str">
        <f t="shared" si="28"/>
        <v/>
      </c>
      <c r="Y202" s="30"/>
      <c r="Z202" s="32"/>
      <c r="AB202" s="62"/>
      <c r="AC202" s="62"/>
      <c r="AD202" s="66"/>
    </row>
  </sheetData>
  <autoFilter ref="A2:AD202" xr:uid="{969E45CB-FC1E-4835-BA2F-DA99948549B1}"/>
  <mergeCells count="1">
    <mergeCell ref="AB1:AC1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668F4-BA82-407B-BFFA-BFB4D66AFE77}">
  <dimension ref="A1:AC202"/>
  <sheetViews>
    <sheetView showGridLines="0" zoomScale="95" zoomScaleNormal="95" workbookViewId="0">
      <pane xSplit="4" ySplit="2" topLeftCell="O3" activePane="bottomRight" state="frozen"/>
      <selection pane="bottomRight" activeCell="AB4" sqref="AB4:AB6"/>
      <selection pane="bottomLeft" activeCell="A3" sqref="A3"/>
      <selection pane="topRight" activeCell="E1" sqref="E1"/>
    </sheetView>
  </sheetViews>
  <sheetFormatPr defaultColWidth="8.7109375" defaultRowHeight="15"/>
  <cols>
    <col min="1" max="1" width="8.7109375" style="5" customWidth="1"/>
    <col min="2" max="2" width="20.7109375" style="5" customWidth="1"/>
    <col min="3" max="3" width="15.7109375" style="5" customWidth="1"/>
    <col min="4" max="4" width="23.7109375" style="5" customWidth="1"/>
    <col min="5" max="8" width="10.7109375" style="5" customWidth="1"/>
    <col min="9" max="9" width="3.7109375" style="8" customWidth="1"/>
    <col min="10" max="10" width="10.7109375" style="5" customWidth="1"/>
    <col min="11" max="11" width="12.42578125" style="12" customWidth="1"/>
    <col min="12" max="12" width="10.7109375" style="8" customWidth="1"/>
    <col min="13" max="13" width="10" style="8" customWidth="1"/>
    <col min="14" max="14" width="10.7109375" style="8" customWidth="1"/>
    <col min="15" max="15" width="9.7109375" style="8" customWidth="1"/>
    <col min="16" max="21" width="10.7109375" style="5" customWidth="1"/>
    <col min="22" max="22" width="10.7109375" style="15" customWidth="1"/>
    <col min="23" max="23" width="1.7109375" style="8" customWidth="1"/>
    <col min="24" max="24" width="12.7109375" style="5" customWidth="1"/>
    <col min="25" max="25" width="12.140625" style="5" customWidth="1"/>
    <col min="26" max="26" width="1.7109375" style="8" customWidth="1"/>
    <col min="27" max="28" width="10.7109375" style="8" customWidth="1"/>
    <col min="29" max="29" width="20.7109375" style="8" customWidth="1"/>
    <col min="30" max="984" width="10.7109375" style="8" customWidth="1"/>
    <col min="985" max="16384" width="8.7109375" style="8"/>
  </cols>
  <sheetData>
    <row r="1" spans="1:29" ht="28.5" customHeight="1" thickBot="1">
      <c r="A1" s="4"/>
      <c r="B1" s="4"/>
      <c r="C1" s="4"/>
      <c r="D1" s="24"/>
      <c r="E1" s="25"/>
      <c r="F1" s="4"/>
      <c r="I1" s="6"/>
      <c r="K1" s="7"/>
      <c r="L1" s="6"/>
      <c r="M1" s="6"/>
      <c r="N1" s="6"/>
      <c r="O1" s="6"/>
      <c r="W1" s="6"/>
      <c r="AA1" s="145"/>
      <c r="AB1" s="146"/>
      <c r="AC1" s="75">
        <f>SUM(AC3:AC46)</f>
        <v>71693.538757498594</v>
      </c>
    </row>
    <row r="2" spans="1:29" s="45" customFormat="1" ht="50.25" customHeight="1" thickBot="1">
      <c r="A2" s="107" t="s">
        <v>0</v>
      </c>
      <c r="B2" s="108" t="s">
        <v>1</v>
      </c>
      <c r="C2" s="108" t="s">
        <v>2</v>
      </c>
      <c r="D2" s="108" t="s">
        <v>3</v>
      </c>
      <c r="E2" s="108" t="s">
        <v>4</v>
      </c>
      <c r="F2" s="108" t="s">
        <v>5</v>
      </c>
      <c r="G2" s="108" t="s">
        <v>6</v>
      </c>
      <c r="H2" s="109" t="s">
        <v>7</v>
      </c>
      <c r="J2" s="107" t="s">
        <v>8</v>
      </c>
      <c r="K2" s="110" t="s">
        <v>372</v>
      </c>
      <c r="L2" s="110" t="s">
        <v>373</v>
      </c>
      <c r="M2" s="111" t="s">
        <v>12</v>
      </c>
      <c r="N2" s="111" t="s">
        <v>13</v>
      </c>
      <c r="O2" s="111" t="s">
        <v>14</v>
      </c>
      <c r="P2" s="112" t="s">
        <v>15</v>
      </c>
      <c r="Q2" s="112" t="s">
        <v>16</v>
      </c>
      <c r="R2" s="112" t="s">
        <v>17</v>
      </c>
      <c r="S2" s="112" t="s">
        <v>18</v>
      </c>
      <c r="T2" s="112" t="s">
        <v>19</v>
      </c>
      <c r="U2" s="112" t="s">
        <v>20</v>
      </c>
      <c r="V2" s="113" t="s">
        <v>21</v>
      </c>
      <c r="X2" s="107" t="s">
        <v>22</v>
      </c>
      <c r="Y2" s="109" t="s">
        <v>23</v>
      </c>
      <c r="AA2" s="114" t="s">
        <v>24</v>
      </c>
      <c r="AB2" s="114" t="s">
        <v>25</v>
      </c>
      <c r="AC2" s="115" t="s">
        <v>26</v>
      </c>
    </row>
    <row r="3" spans="1:29" ht="15.75">
      <c r="A3" s="67" t="s">
        <v>27</v>
      </c>
      <c r="B3" s="68" t="s">
        <v>28</v>
      </c>
      <c r="C3" s="69" t="s">
        <v>29</v>
      </c>
      <c r="D3" s="68" t="s">
        <v>30</v>
      </c>
      <c r="E3" s="68" t="str">
        <f t="shared" ref="E3:E51" si="0">IF(B3="","",IF(D3="Godfroy","Godfroy",(IF(LEFT(B3,1)="1","Hiwa","Direct"))))</f>
        <v>Hiwa</v>
      </c>
      <c r="F3" s="68" t="s">
        <v>31</v>
      </c>
      <c r="G3" s="68">
        <v>80</v>
      </c>
      <c r="H3" s="70">
        <f>G3*215</f>
        <v>17200</v>
      </c>
      <c r="I3" s="82" t="b">
        <v>1</v>
      </c>
      <c r="J3" s="116">
        <f t="shared" ref="J3:J10" si="1">+K3/H3</f>
        <v>1.0022066936373668</v>
      </c>
      <c r="K3" s="117">
        <f>18748/1.0876</f>
        <v>17237.95513056271</v>
      </c>
      <c r="L3" s="17"/>
      <c r="M3" s="17">
        <v>57.56</v>
      </c>
      <c r="N3" s="17"/>
      <c r="O3" s="16">
        <v>1113.75</v>
      </c>
      <c r="P3" s="16">
        <f>(27*42.45)+42.45+42.45+42.45+42.45+42.45+2.93+2.93+2.93+2.93+2.93+2.93+3.06+3.06+1.53+1.53</f>
        <v>1385.1600000000005</v>
      </c>
      <c r="Q3" s="16">
        <f>1.78+1.79+1.84+1.87+1.84+1.82+1.81+1.72+1.64+1.67+1.66+1.66+1.66+1.63+1.61+0.11+0.12+0.12+0.12+0.06</f>
        <v>26.53</v>
      </c>
      <c r="R3" s="16">
        <f>51.74+54.64+54.64+54.64+54.64+(57.04*(1/4))</f>
        <v>284.55999999999995</v>
      </c>
      <c r="S3" s="16">
        <f>14.75+18.66+14.75+15.4</f>
        <v>63.559999999999995</v>
      </c>
      <c r="T3" s="16">
        <f>395+180+280+1055+172+(215*(1/4))</f>
        <v>2135.75</v>
      </c>
      <c r="U3" s="19">
        <f>IF(B3="","",K3+SUM(L3:Q3))</f>
        <v>19820.95513056271</v>
      </c>
      <c r="V3" s="128">
        <f t="shared" ref="V3:V39" si="2">IF(J3="","",+U3/H3)</f>
        <v>1.152381112242018</v>
      </c>
      <c r="X3" s="40">
        <v>335274</v>
      </c>
      <c r="Y3" s="41">
        <v>45086</v>
      </c>
      <c r="AA3" s="60"/>
      <c r="AB3" s="60"/>
      <c r="AC3" s="132" t="str">
        <f>IF(AB3&gt;0,((AB3)*V3),"")</f>
        <v/>
      </c>
    </row>
    <row r="4" spans="1:29" ht="15.75">
      <c r="A4" s="26" t="s">
        <v>32</v>
      </c>
      <c r="B4" s="11" t="s">
        <v>33</v>
      </c>
      <c r="C4" s="3" t="s">
        <v>34</v>
      </c>
      <c r="D4" s="3" t="s">
        <v>35</v>
      </c>
      <c r="E4" s="3" t="str">
        <f t="shared" si="0"/>
        <v>Godfroy</v>
      </c>
      <c r="F4" s="3" t="s">
        <v>36</v>
      </c>
      <c r="G4" s="3">
        <v>256</v>
      </c>
      <c r="H4" s="28">
        <v>2560</v>
      </c>
      <c r="I4" s="82" t="b">
        <v>1</v>
      </c>
      <c r="J4" s="116">
        <f t="shared" si="1"/>
        <v>1.78</v>
      </c>
      <c r="K4" s="117">
        <v>4556.8</v>
      </c>
      <c r="L4" s="17"/>
      <c r="M4" s="17"/>
      <c r="N4" s="17"/>
      <c r="O4" s="17">
        <v>49.65</v>
      </c>
      <c r="P4" s="16">
        <f>82.87+82.87+80.2+82.87+80.2+82.87+62.15+56.14+62.15+60.15+62.15+60.15+62.15+62.15+60.15+62.15+60.15+62.15+62.15+56.14+62.15+60.15+62.15+60.15</f>
        <v>1586.5600000000006</v>
      </c>
      <c r="Q4" s="16">
        <f>8.54+8.54+8.54+8.54+8.54+8.54+6.4+6.4+6.4+6.4+6.4+6.4+6.4+6.4+6.4+6.4+6.4+6.4+6.4+6.4+6.4+6.4+6.4+6.4</f>
        <v>166.44000000000008</v>
      </c>
      <c r="R4" s="16" t="s">
        <v>37</v>
      </c>
      <c r="S4" s="16">
        <f>4.3+4.3+1.61</f>
        <v>10.209999999999999</v>
      </c>
      <c r="T4" s="16">
        <v>148</v>
      </c>
      <c r="U4" s="19">
        <f t="shared" ref="U4:U6" si="3">IF(B4="","",K4+SUM(L4:Q4))</f>
        <v>6359.4500000000007</v>
      </c>
      <c r="V4" s="128">
        <f t="shared" si="2"/>
        <v>2.4841601562500002</v>
      </c>
      <c r="X4" s="77">
        <v>93104899</v>
      </c>
      <c r="Y4" s="76">
        <v>45131</v>
      </c>
      <c r="AA4" s="78"/>
      <c r="AB4" s="144"/>
      <c r="AC4" s="132" t="str">
        <f t="shared" ref="AC4:AC6" si="4">IF(AB4&gt;0,((AB4)*V4),"")</f>
        <v/>
      </c>
    </row>
    <row r="5" spans="1:29" ht="15.75">
      <c r="A5" s="26" t="s">
        <v>38</v>
      </c>
      <c r="B5" s="3" t="s">
        <v>39</v>
      </c>
      <c r="C5" s="3" t="s">
        <v>34</v>
      </c>
      <c r="D5" s="3" t="s">
        <v>35</v>
      </c>
      <c r="E5" s="3" t="str">
        <f t="shared" si="0"/>
        <v>Godfroy</v>
      </c>
      <c r="F5" s="3" t="s">
        <v>36</v>
      </c>
      <c r="G5" s="3">
        <v>128</v>
      </c>
      <c r="H5" s="28">
        <v>1280</v>
      </c>
      <c r="I5" s="82" t="b">
        <v>1</v>
      </c>
      <c r="J5" s="116">
        <f t="shared" si="1"/>
        <v>2.88</v>
      </c>
      <c r="K5" s="117">
        <v>3686.4</v>
      </c>
      <c r="L5" s="17"/>
      <c r="M5" s="17"/>
      <c r="N5" s="17"/>
      <c r="O5" s="17">
        <v>27</v>
      </c>
      <c r="P5" s="16">
        <f>41.44+20.72+20.04+20.72+20.05+20.72+20.72+18.71+20.72+20.05+20.72+20.05+20.72+20.72+20.05+20.72+20.05+20.72+20.72+8.03</f>
        <v>416.39</v>
      </c>
      <c r="Q5" s="16">
        <f>5.74+2.87+2.87+2.87+2.87+2.87+2.87+2.87+2.87+2.87+2.87+2.87+2.87+2.87+2.87+2.87+2.87+2.87+2.87+2.87</f>
        <v>60.269999999999982</v>
      </c>
      <c r="R5" s="16" t="s">
        <v>37</v>
      </c>
      <c r="S5" s="16">
        <f>4.3+4.3+1.61+1.61</f>
        <v>11.819999999999999</v>
      </c>
      <c r="T5" s="16">
        <f>241+97.72</f>
        <v>338.72</v>
      </c>
      <c r="U5" s="19">
        <f t="shared" si="3"/>
        <v>4190.0600000000004</v>
      </c>
      <c r="V5" s="128">
        <f t="shared" si="2"/>
        <v>3.2734843750000002</v>
      </c>
      <c r="X5" s="77">
        <v>93104898</v>
      </c>
      <c r="Y5" s="76">
        <v>45131</v>
      </c>
      <c r="AA5" s="78"/>
      <c r="AB5" s="144"/>
      <c r="AC5" s="132" t="str">
        <f t="shared" si="4"/>
        <v/>
      </c>
    </row>
    <row r="6" spans="1:29" ht="15" customHeight="1">
      <c r="A6" s="26" t="s">
        <v>40</v>
      </c>
      <c r="B6" s="11" t="s">
        <v>41</v>
      </c>
      <c r="C6" s="3" t="s">
        <v>34</v>
      </c>
      <c r="D6" s="3" t="s">
        <v>35</v>
      </c>
      <c r="E6" s="3" t="str">
        <f t="shared" si="0"/>
        <v>Godfroy</v>
      </c>
      <c r="F6" s="3" t="s">
        <v>36</v>
      </c>
      <c r="G6" s="3">
        <v>1664</v>
      </c>
      <c r="H6" s="28">
        <v>16640</v>
      </c>
      <c r="I6" s="82" t="b">
        <v>1</v>
      </c>
      <c r="J6" s="116">
        <f t="shared" si="1"/>
        <v>2.52</v>
      </c>
      <c r="K6" s="117">
        <v>41932.800000000003</v>
      </c>
      <c r="L6" s="17"/>
      <c r="M6" s="17"/>
      <c r="N6" s="17"/>
      <c r="O6" s="17">
        <v>327</v>
      </c>
      <c r="P6" s="16">
        <f>497.23+414.36+400.99+414.36+400.99+414.36+393.64+355.55+393.64+380.94+352.21+280.7+145.03+145.03+140.35+145.03+140.35+145.03+145.03+117.63+100.25</f>
        <v>5922.7</v>
      </c>
      <c r="Q6" s="16">
        <f>61.82+49.91+49.91+49.91+49.91+49.91+47.33+47.33+47.33+47.33+42.18+34.45+16.42+16.42+16.42+16.42+16.42+16.42+16.42+16.42+11.27</f>
        <v>719.94999999999959</v>
      </c>
      <c r="R6" s="16" t="s">
        <v>37</v>
      </c>
      <c r="S6" s="16">
        <f>17*(4.3+1.61)+1.61+17.2+7.2+1.61</f>
        <v>128.09</v>
      </c>
      <c r="T6" s="16">
        <f>141.37+42.85+150.47+128.25+121.18+296+210+196+213.4+190+(162+(162*9%))+372.4</f>
        <v>2238.5</v>
      </c>
      <c r="U6" s="19">
        <f t="shared" si="3"/>
        <v>48902.450000000004</v>
      </c>
      <c r="V6" s="128">
        <f t="shared" si="2"/>
        <v>2.9388491586538463</v>
      </c>
      <c r="X6" s="77">
        <v>93104900</v>
      </c>
      <c r="Y6" s="76">
        <v>45131</v>
      </c>
      <c r="AA6" s="78"/>
      <c r="AB6" s="144"/>
      <c r="AC6" s="132" t="str">
        <f t="shared" si="4"/>
        <v/>
      </c>
    </row>
    <row r="7" spans="1:29" ht="15.75">
      <c r="A7" s="26" t="s">
        <v>42</v>
      </c>
      <c r="B7" s="3" t="s">
        <v>43</v>
      </c>
      <c r="C7" s="3" t="s">
        <v>374</v>
      </c>
      <c r="D7" s="13" t="s">
        <v>45</v>
      </c>
      <c r="E7" s="3" t="str">
        <f t="shared" si="0"/>
        <v>Hiwa</v>
      </c>
      <c r="F7" s="3" t="s">
        <v>46</v>
      </c>
      <c r="G7" s="3">
        <v>72</v>
      </c>
      <c r="H7" s="28">
        <v>1440</v>
      </c>
      <c r="I7" s="82" t="b">
        <v>1</v>
      </c>
      <c r="J7" s="116">
        <f t="shared" si="1"/>
        <v>2.2220138888888887</v>
      </c>
      <c r="K7" s="117">
        <v>3199.7</v>
      </c>
      <c r="L7" s="17"/>
      <c r="M7" s="17">
        <v>223.81</v>
      </c>
      <c r="N7" s="17"/>
      <c r="O7" s="18">
        <v>132.0289156626506</v>
      </c>
      <c r="P7" s="16">
        <f>(19*18.03)+18.03+18.03+18.03+18.03+18.03+18.03+18.03+18.03+18.03+18.03+18.03+18.82+18.82+9.41+9.41+9.41+9.41+9.41+9.41+9.41+9.41+9.41</f>
        <v>663.22999999999956</v>
      </c>
      <c r="Q7" s="16">
        <f>0.84+0.83+0.82+0.81+0.82+0.81+0.83+0.82+0.83+0.82+0.81+0.8+0.81+0.84+0.84+0.84+0.43+0.42+0.4+0.4+0.39</f>
        <v>15.210000000000003</v>
      </c>
      <c r="R7" s="16">
        <f>57.04+57.04</f>
        <v>114.08</v>
      </c>
      <c r="S7" s="16">
        <v>0</v>
      </c>
      <c r="T7" s="16">
        <v>0</v>
      </c>
      <c r="U7" s="19">
        <f t="shared" ref="U7:U48" si="5">IF(B7="","",K7+SUM(L7:Q7))</f>
        <v>4233.9789156626503</v>
      </c>
      <c r="V7" s="128">
        <f t="shared" si="2"/>
        <v>2.9402631358768403</v>
      </c>
      <c r="X7" s="29">
        <v>342136</v>
      </c>
      <c r="Y7" s="42">
        <v>45209</v>
      </c>
      <c r="AA7" s="61"/>
      <c r="AB7" s="61"/>
      <c r="AC7" s="132" t="str">
        <f>IF(AB7&gt;0,((AB7)*V7),"")</f>
        <v/>
      </c>
    </row>
    <row r="8" spans="1:29" ht="15.75">
      <c r="A8" s="26" t="s">
        <v>47</v>
      </c>
      <c r="B8" s="3" t="s">
        <v>48</v>
      </c>
      <c r="C8" s="3" t="s">
        <v>374</v>
      </c>
      <c r="D8" s="13" t="s">
        <v>45</v>
      </c>
      <c r="E8" s="3" t="str">
        <f t="shared" si="0"/>
        <v>Hiwa</v>
      </c>
      <c r="F8" s="3" t="s">
        <v>46</v>
      </c>
      <c r="G8" s="3">
        <v>714</v>
      </c>
      <c r="H8" s="28">
        <v>14280</v>
      </c>
      <c r="I8" s="82" t="b">
        <v>1</v>
      </c>
      <c r="J8" s="116">
        <f t="shared" si="1"/>
        <v>2.0831407563025208</v>
      </c>
      <c r="K8" s="117">
        <v>29747.25</v>
      </c>
      <c r="L8" s="17"/>
      <c r="M8" s="17">
        <v>1181</v>
      </c>
      <c r="N8" s="17"/>
      <c r="O8" s="18">
        <v>1309.2867469879518</v>
      </c>
      <c r="P8" s="16">
        <f>(19*115.67)+39.34+115.67+10.26+115.67+10.26+115.67+10.26+115.67+10.26+115.67+10.26+115.67+10.26+115.67+10.26+115.67+10.26+115.67+10.26+115.67+10.26+115.67+10.26+120.75+10.72+120.75+10.72+87.82+10.72+87.82+10.72+87.82+10.72+87.82+10.72+87.82+10.72+87.82+9.93+65.86+9.93+54.89+3.4+54.89+3.4+43.91+11.88+32.93+11.88</f>
        <v>4768.6600000000035</v>
      </c>
      <c r="Q8" s="16">
        <f>(7.84+7.7+7.63+7.59+6.76+6.68+6.8+5.4+5.42+4.95+4.87+4.82+4.87+5.04+5.06+5.17+3.74+3.69+3.53+2.61+2.12)+(0.43+0.43+0.43+0.45+0.45+0.46+0.46+0.45+0.43+0.39+0.13)</f>
        <v>116.80000000000003</v>
      </c>
      <c r="R8" s="16">
        <f>54.64+54.64</f>
        <v>109.28</v>
      </c>
      <c r="S8" s="16">
        <v>0</v>
      </c>
      <c r="T8" s="16">
        <f>235+280+(390/2)+(375-100)+(255*(1320/1680))</f>
        <v>1185.3571428571429</v>
      </c>
      <c r="U8" s="19">
        <f t="shared" si="5"/>
        <v>37122.996746987956</v>
      </c>
      <c r="V8" s="128">
        <f t="shared" si="2"/>
        <v>2.5996496321420137</v>
      </c>
      <c r="X8" s="79" t="s">
        <v>49</v>
      </c>
      <c r="Y8" s="43">
        <v>45209</v>
      </c>
      <c r="AA8" s="61">
        <f>131</f>
        <v>131</v>
      </c>
      <c r="AB8" s="61">
        <v>2620</v>
      </c>
      <c r="AC8" s="132">
        <f t="shared" ref="AC8:AC71" si="6">IF(AB8&gt;0,((AB8)*V8),"")</f>
        <v>6811.0820362120758</v>
      </c>
    </row>
    <row r="9" spans="1:29" ht="15.75">
      <c r="A9" s="29" t="s">
        <v>50</v>
      </c>
      <c r="B9" s="3" t="s">
        <v>51</v>
      </c>
      <c r="C9" s="9" t="s">
        <v>52</v>
      </c>
      <c r="D9" s="13" t="s">
        <v>30</v>
      </c>
      <c r="E9" s="3" t="str">
        <f t="shared" si="0"/>
        <v>Hiwa</v>
      </c>
      <c r="F9" s="3" t="s">
        <v>46</v>
      </c>
      <c r="G9" s="1">
        <v>80</v>
      </c>
      <c r="H9" s="27">
        <v>16800</v>
      </c>
      <c r="I9" s="82" t="b">
        <v>1</v>
      </c>
      <c r="J9" s="116">
        <f t="shared" si="1"/>
        <v>3.5660660660660657</v>
      </c>
      <c r="K9" s="117">
        <f>63840/1.0656</f>
        <v>59909.909909909904</v>
      </c>
      <c r="L9" s="17">
        <f>1200/1.0656</f>
        <v>1126.1261261261261</v>
      </c>
      <c r="M9" s="17">
        <v>94.01</v>
      </c>
      <c r="N9" s="17">
        <v>275</v>
      </c>
      <c r="O9" s="17">
        <v>1224</v>
      </c>
      <c r="P9" s="16">
        <f>(4*89.88)+89.88+89.88+67.41+67.41+67.41+67.41+50.56+22.47+22.47+22.47+23.47+23.47</f>
        <v>973.82999999999993</v>
      </c>
      <c r="Q9" s="16">
        <f>16.47+16.47+13.18+13.18+9.88+9.88+3.29+3.29</f>
        <v>85.64</v>
      </c>
      <c r="R9" s="16">
        <f>54.64+54.64+54.64+54.64</f>
        <v>218.56</v>
      </c>
      <c r="S9" s="16">
        <v>0</v>
      </c>
      <c r="T9" s="16">
        <v>0</v>
      </c>
      <c r="U9" s="19">
        <f t="shared" si="5"/>
        <v>63688.516036036031</v>
      </c>
      <c r="V9" s="128">
        <f t="shared" si="2"/>
        <v>3.7909830973830969</v>
      </c>
      <c r="X9" s="29">
        <v>354004</v>
      </c>
      <c r="Y9" s="42">
        <v>45429</v>
      </c>
      <c r="AA9" s="61"/>
      <c r="AB9" s="61"/>
      <c r="AC9" s="132" t="str">
        <f t="shared" si="6"/>
        <v/>
      </c>
    </row>
    <row r="10" spans="1:29" ht="15.75">
      <c r="A10" s="29" t="s">
        <v>53</v>
      </c>
      <c r="B10" s="3" t="s">
        <v>54</v>
      </c>
      <c r="C10" s="9" t="s">
        <v>55</v>
      </c>
      <c r="D10" s="13" t="s">
        <v>30</v>
      </c>
      <c r="E10" s="3" t="str">
        <f t="shared" si="0"/>
        <v>Hiwa</v>
      </c>
      <c r="F10" s="10" t="s">
        <v>46</v>
      </c>
      <c r="G10" s="1">
        <v>46</v>
      </c>
      <c r="H10" s="27">
        <f>G10*220</f>
        <v>10120</v>
      </c>
      <c r="I10" s="82" t="b">
        <v>1</v>
      </c>
      <c r="J10" s="116">
        <f t="shared" si="1"/>
        <v>1.35</v>
      </c>
      <c r="K10" s="117">
        <v>13662</v>
      </c>
      <c r="L10" s="17"/>
      <c r="M10" s="17">
        <v>61</v>
      </c>
      <c r="N10" s="17"/>
      <c r="O10" s="17">
        <f>582+33</f>
        <v>615</v>
      </c>
      <c r="P10" s="16">
        <f>(3*75.7)+75.7+75.7+75.7+75.7+59.76+59.76+59.76+59.76+43.82+43.82+45.75+45.75+45.75+45.75+45.75+45.75+45.75+29.11+29.11+29.11+4.16+4.16</f>
        <v>1272.4799999999998</v>
      </c>
      <c r="Q10" s="16">
        <f>3.54+2.93+2.93+2.93+2.31+2.31+1.69+1.69+1.69+1.69+1.08+1.08+0.15</f>
        <v>26.020000000000003</v>
      </c>
      <c r="R10" s="16">
        <f>54.64+54.64+54.64</f>
        <v>163.92000000000002</v>
      </c>
      <c r="S10" s="16">
        <v>0</v>
      </c>
      <c r="T10" s="16">
        <f>230+230+230+230+175</f>
        <v>1095</v>
      </c>
      <c r="U10" s="19">
        <f t="shared" si="5"/>
        <v>15636.5</v>
      </c>
      <c r="V10" s="128">
        <f t="shared" si="2"/>
        <v>1.545108695652174</v>
      </c>
      <c r="X10" s="29">
        <v>354761</v>
      </c>
      <c r="Y10" s="42">
        <v>45447</v>
      </c>
      <c r="AA10" s="61"/>
      <c r="AB10" s="61"/>
      <c r="AC10" s="132" t="str">
        <f t="shared" si="6"/>
        <v/>
      </c>
    </row>
    <row r="11" spans="1:29" ht="16.5" customHeight="1">
      <c r="A11" s="29" t="s">
        <v>56</v>
      </c>
      <c r="B11" s="3" t="s">
        <v>57</v>
      </c>
      <c r="C11" s="9" t="s">
        <v>58</v>
      </c>
      <c r="D11" s="13" t="s">
        <v>30</v>
      </c>
      <c r="E11" s="3" t="str">
        <f t="shared" si="0"/>
        <v>Hiwa</v>
      </c>
      <c r="F11" s="10" t="s">
        <v>59</v>
      </c>
      <c r="G11" s="1">
        <v>124</v>
      </c>
      <c r="H11" s="27">
        <f>G11*190</f>
        <v>23560</v>
      </c>
      <c r="I11" s="82" t="b">
        <v>1</v>
      </c>
      <c r="J11" s="116">
        <f t="shared" ref="J11:J39" si="7">IF(H11="","",+K11/H11)</f>
        <v>0.63635525223646594</v>
      </c>
      <c r="K11" s="117">
        <f>16256.4/1.0843</f>
        <v>14992.529742691137</v>
      </c>
      <c r="L11" s="17">
        <f>((2250/1.0749)/140)*124</f>
        <v>1853.9930624775725</v>
      </c>
      <c r="M11" s="17">
        <v>2573.5</v>
      </c>
      <c r="N11" s="17">
        <f>275+165+78</f>
        <v>518</v>
      </c>
      <c r="O11" s="17">
        <f>1505-172</f>
        <v>1333</v>
      </c>
      <c r="P11" s="16">
        <f>108.29+68.99+68.99+68.99+68.99+68.99+68.99+68.99+68.99+68.99+68.99+68.99+72.07+72.07</f>
        <v>1011.3199999999999</v>
      </c>
      <c r="Q11" s="16">
        <f>7.55+4.73+4.68+4.73+4.9+4.92+5.02</f>
        <v>36.53</v>
      </c>
      <c r="R11" s="16">
        <f>2*54.64</f>
        <v>109.28</v>
      </c>
      <c r="S11" s="16">
        <v>1092.7</v>
      </c>
      <c r="T11" s="16">
        <f>((1760/108)*45)+((1600/108)*79)</f>
        <v>1903.7037037037039</v>
      </c>
      <c r="U11" s="19">
        <f t="shared" si="5"/>
        <v>22318.872805168707</v>
      </c>
      <c r="V11" s="128">
        <f t="shared" si="2"/>
        <v>0.94732057746896037</v>
      </c>
      <c r="X11" s="29">
        <v>356799</v>
      </c>
      <c r="Y11" s="42">
        <v>45482</v>
      </c>
      <c r="AA11" s="61"/>
      <c r="AB11" s="61"/>
      <c r="AC11" s="132" t="str">
        <f t="shared" si="6"/>
        <v/>
      </c>
    </row>
    <row r="12" spans="1:29" ht="15.75">
      <c r="A12" s="29" t="s">
        <v>60</v>
      </c>
      <c r="B12" s="3" t="s">
        <v>61</v>
      </c>
      <c r="C12" s="9" t="s">
        <v>62</v>
      </c>
      <c r="D12" s="13" t="s">
        <v>63</v>
      </c>
      <c r="E12" s="3" t="str">
        <f t="shared" si="0"/>
        <v>Hiwa</v>
      </c>
      <c r="F12" s="10" t="s">
        <v>46</v>
      </c>
      <c r="G12" s="1">
        <v>120</v>
      </c>
      <c r="H12" s="27">
        <v>22800</v>
      </c>
      <c r="I12" s="82" t="b">
        <v>1</v>
      </c>
      <c r="J12" s="116">
        <f t="shared" si="7"/>
        <v>1.3771578947368421</v>
      </c>
      <c r="K12" s="118">
        <v>31399.200000000001</v>
      </c>
      <c r="L12" s="17"/>
      <c r="M12" s="17">
        <f>60.78+33.23</f>
        <v>94.009999999999991</v>
      </c>
      <c r="N12" s="17"/>
      <c r="O12" s="17">
        <v>1311.7</v>
      </c>
      <c r="P12" s="16">
        <f>140.08+39.22+39.22+39.22+39.22+39.22+35.11+35.11+35.11</f>
        <v>441.5100000000001</v>
      </c>
      <c r="Q12" s="16">
        <f>8.14+2.04+2.04+1.75</f>
        <v>13.969999999999999</v>
      </c>
      <c r="R12" s="16">
        <f>54.64+54.64+54.64+(57.04*(24/76))</f>
        <v>181.93263157894739</v>
      </c>
      <c r="S12" s="16">
        <f>(77.52*(6/19))</f>
        <v>24.479999999999997</v>
      </c>
      <c r="T12" s="16">
        <f>460+2350+225+(1650*(24/76))</f>
        <v>3556.0526315789475</v>
      </c>
      <c r="U12" s="19">
        <f t="shared" si="5"/>
        <v>33260.39</v>
      </c>
      <c r="V12" s="128">
        <f t="shared" si="2"/>
        <v>1.4587890350877193</v>
      </c>
      <c r="X12" s="29">
        <v>361283</v>
      </c>
      <c r="Y12" s="42">
        <v>45558</v>
      </c>
      <c r="AA12" s="61"/>
      <c r="AB12" s="61"/>
      <c r="AC12" s="132" t="str">
        <f t="shared" si="6"/>
        <v/>
      </c>
    </row>
    <row r="13" spans="1:29" ht="18" customHeight="1">
      <c r="A13" s="29" t="s">
        <v>64</v>
      </c>
      <c r="B13" s="3" t="s">
        <v>65</v>
      </c>
      <c r="C13" s="3" t="s">
        <v>375</v>
      </c>
      <c r="D13" s="13" t="s">
        <v>30</v>
      </c>
      <c r="E13" s="3" t="str">
        <f t="shared" si="0"/>
        <v>Hiwa</v>
      </c>
      <c r="F13" s="10" t="s">
        <v>46</v>
      </c>
      <c r="G13" s="1">
        <v>96</v>
      </c>
      <c r="H13" s="27">
        <v>19200</v>
      </c>
      <c r="I13" s="82" t="b">
        <v>1</v>
      </c>
      <c r="J13" s="116">
        <f t="shared" si="7"/>
        <v>1.8336847895846704</v>
      </c>
      <c r="K13" s="118">
        <f>38400/1.0907</f>
        <v>35206.74796002567</v>
      </c>
      <c r="L13" s="17"/>
      <c r="M13" s="17">
        <v>61</v>
      </c>
      <c r="N13" s="17">
        <v>38</v>
      </c>
      <c r="O13" s="17">
        <v>1008.94</v>
      </c>
      <c r="P13" s="16">
        <f>96.09+96.09+96.09+96.09+96.09+96.09+96.06+96.06+27.88+27.88+27.88+27.88+27.88+27.88+27.88+27.88</f>
        <v>991.7</v>
      </c>
      <c r="Q13" s="16">
        <f>8.88+6.66+6.85+7.09+1.97+1.97+1.9</f>
        <v>35.32</v>
      </c>
      <c r="R13" s="16">
        <f>54.64+54.64+57.04</f>
        <v>166.32</v>
      </c>
      <c r="S13" s="16">
        <v>110.87</v>
      </c>
      <c r="T13" s="16">
        <f>715+800+(950*(5/7))</f>
        <v>2193.5714285714284</v>
      </c>
      <c r="U13" s="19">
        <f t="shared" si="5"/>
        <v>37341.707960025669</v>
      </c>
      <c r="V13" s="128">
        <f t="shared" si="2"/>
        <v>1.9448806229180036</v>
      </c>
      <c r="X13" s="29">
        <v>359055</v>
      </c>
      <c r="Y13" s="42">
        <v>45525</v>
      </c>
      <c r="AA13" s="61"/>
      <c r="AB13" s="61"/>
      <c r="AC13" s="132" t="str">
        <f t="shared" si="6"/>
        <v/>
      </c>
    </row>
    <row r="14" spans="1:29" ht="15.75">
      <c r="A14" s="29" t="s">
        <v>67</v>
      </c>
      <c r="B14" s="3" t="s">
        <v>68</v>
      </c>
      <c r="C14" s="3" t="s">
        <v>375</v>
      </c>
      <c r="D14" s="13" t="s">
        <v>30</v>
      </c>
      <c r="E14" s="3" t="str">
        <f t="shared" si="0"/>
        <v>Hiwa</v>
      </c>
      <c r="F14" s="10" t="s">
        <v>46</v>
      </c>
      <c r="G14" s="1">
        <v>240</v>
      </c>
      <c r="H14" s="27">
        <v>4800</v>
      </c>
      <c r="I14" s="82" t="b">
        <v>1</v>
      </c>
      <c r="J14" s="116">
        <f t="shared" si="7"/>
        <v>1.8336847895846704</v>
      </c>
      <c r="K14" s="118">
        <f>9600/1.0907</f>
        <v>8801.6869900064175</v>
      </c>
      <c r="L14" s="20"/>
      <c r="M14" s="17">
        <v>60.78</v>
      </c>
      <c r="N14" s="17"/>
      <c r="O14" s="17">
        <v>351.35</v>
      </c>
      <c r="P14" s="16">
        <f>57.36+57.36+57.36+57.36+57.36+57.36+57.36+47.84+49.9+49.9</f>
        <v>549.16</v>
      </c>
      <c r="Q14" s="16">
        <f>2.22+2.22+2.28+2.36+2</f>
        <v>11.08</v>
      </c>
      <c r="R14" s="16">
        <v>54.64</v>
      </c>
      <c r="S14" s="16">
        <v>0</v>
      </c>
      <c r="T14" s="16">
        <f>350+730</f>
        <v>1080</v>
      </c>
      <c r="U14" s="19">
        <f t="shared" si="5"/>
        <v>9774.0569900064183</v>
      </c>
      <c r="V14" s="128">
        <f t="shared" si="2"/>
        <v>2.0362618729180038</v>
      </c>
      <c r="X14" s="29">
        <v>359056</v>
      </c>
      <c r="Y14" s="42">
        <v>45525</v>
      </c>
      <c r="AA14" s="61"/>
      <c r="AB14" s="61"/>
      <c r="AC14" s="132" t="str">
        <f t="shared" si="6"/>
        <v/>
      </c>
    </row>
    <row r="15" spans="1:29" ht="15.75">
      <c r="A15" s="29" t="s">
        <v>69</v>
      </c>
      <c r="B15" s="3" t="s">
        <v>28</v>
      </c>
      <c r="C15" s="9" t="s">
        <v>29</v>
      </c>
      <c r="D15" s="9" t="s">
        <v>70</v>
      </c>
      <c r="E15" s="3" t="str">
        <f t="shared" si="0"/>
        <v>Hiwa</v>
      </c>
      <c r="F15" s="10" t="s">
        <v>46</v>
      </c>
      <c r="G15" s="1">
        <v>80</v>
      </c>
      <c r="H15" s="27">
        <f>G15*215</f>
        <v>17200</v>
      </c>
      <c r="I15" s="82" t="b">
        <v>1</v>
      </c>
      <c r="J15" s="116">
        <f t="shared" si="7"/>
        <v>0.90497737556561086</v>
      </c>
      <c r="K15" s="118">
        <f>17200/1.105</f>
        <v>15565.610859728507</v>
      </c>
      <c r="L15" s="20"/>
      <c r="M15" s="21">
        <v>60.78</v>
      </c>
      <c r="N15" s="17"/>
      <c r="O15" s="17">
        <v>1077.8</v>
      </c>
      <c r="P15" s="16">
        <f>123.05+123.05+123.05+64.25+64.25+64.25+64.25+56.22+56.22+56.22+56.22+56.22+56.22+56.22+56.22+56.22</f>
        <v>1132.1300000000001</v>
      </c>
      <c r="Q15" s="16">
        <f>4.29+4.3+2.2+2.19+1.89+1.8+1.78+1.74</f>
        <v>20.189999999999998</v>
      </c>
      <c r="R15" s="16">
        <f>54.64+(57.04*(3/4))+57.04</f>
        <v>154.46</v>
      </c>
      <c r="S15" s="16">
        <f>15.4+(26.21/2)</f>
        <v>28.505000000000003</v>
      </c>
      <c r="T15" s="16">
        <f>1580+(250/2)+(215*(3/4))</f>
        <v>1866.25</v>
      </c>
      <c r="U15" s="19">
        <f t="shared" si="5"/>
        <v>17856.510859728507</v>
      </c>
      <c r="V15" s="128">
        <f t="shared" si="2"/>
        <v>1.0381692360307271</v>
      </c>
      <c r="X15" s="29">
        <v>362336</v>
      </c>
      <c r="Y15" s="42">
        <v>45610</v>
      </c>
      <c r="AA15" s="61">
        <v>35</v>
      </c>
      <c r="AB15" s="61">
        <v>7525</v>
      </c>
      <c r="AC15" s="132">
        <f t="shared" si="6"/>
        <v>7812.2235011312214</v>
      </c>
    </row>
    <row r="16" spans="1:29" ht="15.75">
      <c r="A16" s="29" t="s">
        <v>71</v>
      </c>
      <c r="B16" s="3" t="s">
        <v>72</v>
      </c>
      <c r="C16" s="9" t="s">
        <v>55</v>
      </c>
      <c r="D16" s="3" t="s">
        <v>73</v>
      </c>
      <c r="E16" s="3" t="str">
        <f t="shared" si="0"/>
        <v>Hiwa</v>
      </c>
      <c r="F16" s="10" t="s">
        <v>46</v>
      </c>
      <c r="G16" s="1">
        <v>136</v>
      </c>
      <c r="H16" s="27">
        <f>G16*190</f>
        <v>25840</v>
      </c>
      <c r="I16" s="82" t="b">
        <v>1</v>
      </c>
      <c r="J16" s="116">
        <f t="shared" si="7"/>
        <v>1.5</v>
      </c>
      <c r="K16" s="118">
        <v>38760</v>
      </c>
      <c r="L16" s="17"/>
      <c r="M16" s="17">
        <v>61</v>
      </c>
      <c r="N16" s="17"/>
      <c r="O16" s="17">
        <v>1396.79</v>
      </c>
      <c r="P16" s="16">
        <f>176.68+72.75+72.75+72.75+72.75+72.75+75.98+75.98</f>
        <v>692.3900000000001</v>
      </c>
      <c r="Q16" s="16">
        <f>11.18+4.6+4.6</f>
        <v>20.38</v>
      </c>
      <c r="R16" s="16">
        <f>54.64</f>
        <v>54.64</v>
      </c>
      <c r="S16" s="16">
        <v>1068.53</v>
      </c>
      <c r="T16" s="16">
        <f>((1950/108)*80)+((1600/108)*56)</f>
        <v>2274.0740740740744</v>
      </c>
      <c r="U16" s="19">
        <f t="shared" si="5"/>
        <v>40930.559999999998</v>
      </c>
      <c r="V16" s="128">
        <f t="shared" si="2"/>
        <v>1.5839999999999999</v>
      </c>
      <c r="X16" s="29">
        <v>361363</v>
      </c>
      <c r="Y16" s="42">
        <v>45560</v>
      </c>
      <c r="AA16" s="61"/>
      <c r="AB16" s="61"/>
      <c r="AC16" s="132" t="str">
        <f t="shared" si="6"/>
        <v/>
      </c>
    </row>
    <row r="17" spans="1:29" ht="15.75">
      <c r="A17" s="29" t="s">
        <v>74</v>
      </c>
      <c r="B17" s="3" t="s">
        <v>72</v>
      </c>
      <c r="C17" s="9" t="s">
        <v>55</v>
      </c>
      <c r="D17" s="3" t="s">
        <v>73</v>
      </c>
      <c r="E17" s="3" t="str">
        <f t="shared" si="0"/>
        <v>Hiwa</v>
      </c>
      <c r="F17" s="10" t="s">
        <v>46</v>
      </c>
      <c r="G17" s="1">
        <v>136</v>
      </c>
      <c r="H17" s="27">
        <f>G17*190</f>
        <v>25840</v>
      </c>
      <c r="I17" s="82" t="b">
        <v>1</v>
      </c>
      <c r="J17" s="116">
        <f t="shared" si="7"/>
        <v>1.5</v>
      </c>
      <c r="K17" s="118">
        <v>38760</v>
      </c>
      <c r="L17" s="17"/>
      <c r="M17" s="17">
        <v>63.45</v>
      </c>
      <c r="N17" s="17">
        <v>115</v>
      </c>
      <c r="O17" s="17">
        <v>1465.13</v>
      </c>
      <c r="P17" s="16">
        <f>184.52+113.97+113.97+113.97+113.97+113.97+113.97+113.97+113.97+113.97+113.97+113.97</f>
        <v>1438.1900000000003</v>
      </c>
      <c r="Q17" s="16">
        <f>11.18+6.9+6.9+6.9+6.9+6.9</f>
        <v>45.679999999999993</v>
      </c>
      <c r="R17" s="16"/>
      <c r="S17" s="16">
        <v>1023.16</v>
      </c>
      <c r="T17" s="16">
        <f>((1600/108)*52)</f>
        <v>770.37037037037032</v>
      </c>
      <c r="U17" s="19">
        <f t="shared" si="5"/>
        <v>41887.449999999997</v>
      </c>
      <c r="V17" s="128">
        <f t="shared" si="2"/>
        <v>1.6210313467492259</v>
      </c>
      <c r="X17" s="29">
        <v>366387</v>
      </c>
      <c r="Y17" s="42">
        <v>45672</v>
      </c>
      <c r="AA17" s="61">
        <v>84</v>
      </c>
      <c r="AB17" s="61">
        <v>15960</v>
      </c>
      <c r="AC17" s="132">
        <f t="shared" si="6"/>
        <v>25871.660294117646</v>
      </c>
    </row>
    <row r="18" spans="1:29" ht="15.75">
      <c r="A18" s="29" t="s">
        <v>75</v>
      </c>
      <c r="B18" s="3" t="s">
        <v>68</v>
      </c>
      <c r="C18" s="9" t="s">
        <v>375</v>
      </c>
      <c r="D18" s="3" t="s">
        <v>30</v>
      </c>
      <c r="E18" s="3" t="str">
        <f t="shared" si="0"/>
        <v>Hiwa</v>
      </c>
      <c r="F18" s="10" t="s">
        <v>46</v>
      </c>
      <c r="G18" s="1">
        <v>972</v>
      </c>
      <c r="H18" s="27">
        <v>19440</v>
      </c>
      <c r="I18" s="82" t="b">
        <v>1</v>
      </c>
      <c r="J18" s="116">
        <f t="shared" si="7"/>
        <v>1.9102673553501577</v>
      </c>
      <c r="K18" s="118">
        <f>(42184.8/1.1041)-(1200/1.1196)</f>
        <v>37135.597388007067</v>
      </c>
      <c r="L18" s="22"/>
      <c r="M18" s="22">
        <v>63.45</v>
      </c>
      <c r="N18" s="22"/>
      <c r="O18" s="22">
        <v>1636.58</v>
      </c>
      <c r="P18" s="23">
        <f>232.29+232.29+232.29+232.29+242.49+242.49+242.29+161.66+161.66+80.83+80.83+80.83+53.89+35.93+35.93+35.93+35.68</f>
        <v>2419.5999999999995</v>
      </c>
      <c r="Q18" s="23">
        <f>10.01+10.36+10.5+6.91+3.33+2.11+1.42+1.39</f>
        <v>46.03</v>
      </c>
      <c r="R18" s="16">
        <f>57.04+57.04+57.04</f>
        <v>171.12</v>
      </c>
      <c r="S18" s="16"/>
      <c r="T18" s="16">
        <f>715+715+(950*(2/7))+350+(255*(360/1680))</f>
        <v>2106.0714285714289</v>
      </c>
      <c r="U18" s="19">
        <f t="shared" si="5"/>
        <v>41301.257388007063</v>
      </c>
      <c r="V18" s="128">
        <f t="shared" si="2"/>
        <v>2.1245502771608571</v>
      </c>
      <c r="X18" s="29">
        <v>362550</v>
      </c>
      <c r="Y18" s="42">
        <v>45587</v>
      </c>
      <c r="AA18" s="61">
        <v>143</v>
      </c>
      <c r="AB18" s="61">
        <v>2860</v>
      </c>
      <c r="AC18" s="132">
        <f t="shared" si="6"/>
        <v>6076.2137926800515</v>
      </c>
    </row>
    <row r="19" spans="1:29" ht="15.75">
      <c r="A19" s="29" t="s">
        <v>76</v>
      </c>
      <c r="B19" s="3" t="s">
        <v>77</v>
      </c>
      <c r="C19" s="9" t="s">
        <v>375</v>
      </c>
      <c r="D19" s="3" t="s">
        <v>30</v>
      </c>
      <c r="E19" s="3" t="str">
        <f t="shared" si="0"/>
        <v>Hiwa</v>
      </c>
      <c r="F19" s="10" t="s">
        <v>46</v>
      </c>
      <c r="G19" s="1">
        <v>108</v>
      </c>
      <c r="H19" s="27">
        <v>2160</v>
      </c>
      <c r="I19" s="82" t="b">
        <v>1</v>
      </c>
      <c r="J19" s="116">
        <f t="shared" si="7"/>
        <v>1.7842586722217189</v>
      </c>
      <c r="K19" s="118">
        <f>4255.2/1.1041</f>
        <v>3853.9987319989127</v>
      </c>
      <c r="L19" s="22"/>
      <c r="M19" s="22">
        <v>63.45</v>
      </c>
      <c r="N19" s="22"/>
      <c r="O19" s="22">
        <v>198.27</v>
      </c>
      <c r="P19" s="23">
        <f>25.81+25.81+25.81+25.81+26.94+26.94+13.47+13.47+13.47+13.47+13.47+13.47+13.47+13.47+13.47+13.47+13.22</f>
        <v>305.04000000000008</v>
      </c>
      <c r="Q19" s="23">
        <f>1.01+1.05+1.06+0.52+0.51+0.48+0.48+0.48</f>
        <v>5.5900000000000016</v>
      </c>
      <c r="R19" s="16"/>
      <c r="S19" s="16"/>
      <c r="T19" s="16">
        <f>(390/2)</f>
        <v>195</v>
      </c>
      <c r="U19" s="19">
        <f t="shared" si="5"/>
        <v>4426.3487319989126</v>
      </c>
      <c r="V19" s="128">
        <f t="shared" si="2"/>
        <v>2.0492355240735707</v>
      </c>
      <c r="X19" s="29">
        <v>362551</v>
      </c>
      <c r="Y19" s="42">
        <v>45587</v>
      </c>
      <c r="AA19" s="61">
        <v>53</v>
      </c>
      <c r="AB19" s="61">
        <v>1060</v>
      </c>
      <c r="AC19" s="132">
        <f t="shared" si="6"/>
        <v>2172.1896555179851</v>
      </c>
    </row>
    <row r="20" spans="1:29" ht="15.75">
      <c r="A20" s="29" t="s">
        <v>78</v>
      </c>
      <c r="B20" s="3" t="s">
        <v>79</v>
      </c>
      <c r="C20" s="3" t="s">
        <v>80</v>
      </c>
      <c r="D20" s="3" t="s">
        <v>73</v>
      </c>
      <c r="E20" s="3" t="str">
        <f t="shared" si="0"/>
        <v>Hiwa</v>
      </c>
      <c r="F20" s="3" t="s">
        <v>31</v>
      </c>
      <c r="G20" s="3">
        <v>112</v>
      </c>
      <c r="H20" s="28">
        <v>24080</v>
      </c>
      <c r="I20" s="82" t="b">
        <v>1</v>
      </c>
      <c r="J20" s="116">
        <f t="shared" si="7"/>
        <v>1.9651047756093174</v>
      </c>
      <c r="K20" s="117">
        <f>52614.8/1.1119</f>
        <v>47319.722996672361</v>
      </c>
      <c r="L20" s="22"/>
      <c r="M20" s="22">
        <v>1917.72</v>
      </c>
      <c r="N20" s="22"/>
      <c r="O20" s="22">
        <v>1309.5999999999999</v>
      </c>
      <c r="P20" s="23">
        <f>15.81+15.81+15.81+16.52+16.52+16.52+16.52+16.52+16.52</f>
        <v>146.55000000000001</v>
      </c>
      <c r="Q20" s="23">
        <f>14.26+2.05+2.09+2.08+2.05+1.96</f>
        <v>24.49</v>
      </c>
      <c r="R20" s="23">
        <v>54.64</v>
      </c>
      <c r="S20" s="23">
        <f>559.77+(1013.44*16/(84+16))</f>
        <v>721.92039999999997</v>
      </c>
      <c r="T20" s="23">
        <f>1725+(1600*(16/(84+16)))</f>
        <v>1981</v>
      </c>
      <c r="U20" s="19">
        <f t="shared" si="5"/>
        <v>50718.082996672361</v>
      </c>
      <c r="V20" s="128">
        <f t="shared" si="2"/>
        <v>2.1062326825860613</v>
      </c>
      <c r="X20" s="29">
        <v>362958</v>
      </c>
      <c r="Y20" s="42">
        <v>45601</v>
      </c>
      <c r="AA20" s="61"/>
      <c r="AB20" s="61"/>
      <c r="AC20" s="132" t="str">
        <f t="shared" si="6"/>
        <v/>
      </c>
    </row>
    <row r="21" spans="1:29" ht="15.75">
      <c r="A21" s="29" t="s">
        <v>81</v>
      </c>
      <c r="B21" s="3" t="s">
        <v>82</v>
      </c>
      <c r="C21" s="3" t="s">
        <v>376</v>
      </c>
      <c r="D21" s="3" t="s">
        <v>73</v>
      </c>
      <c r="E21" s="3" t="str">
        <f t="shared" si="0"/>
        <v>Hiwa</v>
      </c>
      <c r="F21" s="3" t="s">
        <v>59</v>
      </c>
      <c r="G21" s="3">
        <v>128</v>
      </c>
      <c r="H21" s="28">
        <f>G21*204</f>
        <v>26112</v>
      </c>
      <c r="I21" s="82" t="b">
        <v>1</v>
      </c>
      <c r="J21" s="116">
        <f t="shared" si="7"/>
        <v>0.61734082742098972</v>
      </c>
      <c r="K21" s="117">
        <f>17495.04/1.0853</f>
        <v>16120.003685616883</v>
      </c>
      <c r="L21" s="22">
        <f>1546/1.0853</f>
        <v>1424.4909241684327</v>
      </c>
      <c r="M21" s="22">
        <v>3329.07</v>
      </c>
      <c r="N21" s="22"/>
      <c r="O21" s="22">
        <v>1264.83</v>
      </c>
      <c r="P21" s="23">
        <f>119.96+52.48+52.48+54.82+54.82+54.82+54.82</f>
        <v>444.2</v>
      </c>
      <c r="Q21" s="23">
        <f>4.83+2.12+2.17+2.16</f>
        <v>11.280000000000001</v>
      </c>
      <c r="R21" s="23">
        <f>54.64+57.04</f>
        <v>111.68</v>
      </c>
      <c r="S21" s="23">
        <f>557.99+((102+480.48)*(56/100))</f>
        <v>884.17880000000002</v>
      </c>
      <c r="T21" s="23">
        <f>1745+(1600*(56/(56+44)))</f>
        <v>2641</v>
      </c>
      <c r="U21" s="19">
        <f t="shared" si="5"/>
        <v>22593.874609785315</v>
      </c>
      <c r="V21" s="128">
        <f t="shared" si="2"/>
        <v>0.86526786955366553</v>
      </c>
      <c r="X21" s="29">
        <v>363493</v>
      </c>
      <c r="Y21" s="42">
        <v>45608</v>
      </c>
      <c r="AA21" s="61"/>
      <c r="AB21" s="61"/>
      <c r="AC21" s="132" t="str">
        <f t="shared" si="6"/>
        <v/>
      </c>
    </row>
    <row r="22" spans="1:29" ht="15.75">
      <c r="A22" s="29" t="s">
        <v>84</v>
      </c>
      <c r="B22" s="3" t="s">
        <v>57</v>
      </c>
      <c r="C22" s="3" t="s">
        <v>58</v>
      </c>
      <c r="D22" s="3" t="s">
        <v>73</v>
      </c>
      <c r="E22" s="3" t="str">
        <f t="shared" si="0"/>
        <v>Hiwa</v>
      </c>
      <c r="F22" s="3" t="s">
        <v>59</v>
      </c>
      <c r="G22" s="3">
        <v>140</v>
      </c>
      <c r="H22" s="28">
        <f>G22*190</f>
        <v>26600</v>
      </c>
      <c r="I22" s="82" t="b">
        <v>1</v>
      </c>
      <c r="J22" s="116">
        <f t="shared" si="7"/>
        <v>0.76094276094276092</v>
      </c>
      <c r="K22" s="117">
        <f>21040.6/1.0395</f>
        <v>20241.077441077439</v>
      </c>
      <c r="L22" s="22">
        <f>2350/1.0395</f>
        <v>2260.7022607022604</v>
      </c>
      <c r="M22" s="22">
        <v>3471.76</v>
      </c>
      <c r="N22" s="22">
        <f>104+275+55</f>
        <v>434</v>
      </c>
      <c r="O22" s="22">
        <v>1383.05</v>
      </c>
      <c r="P22" s="23">
        <f>101.26+101.26+101.26+101.26+101.26+101.26+101.26+101.26+101.26+101.26+101.26</f>
        <v>1113.8600000000001</v>
      </c>
      <c r="Q22" s="23">
        <f>8.9+6.96+6.72+6.38+6.43+6.32</f>
        <v>41.71</v>
      </c>
      <c r="R22" s="23">
        <f>2*57.04</f>
        <v>114.08</v>
      </c>
      <c r="S22" s="23">
        <f>1019.93+73.92</f>
        <v>1093.8499999999999</v>
      </c>
      <c r="T22" s="23">
        <f>(1600/108)*29</f>
        <v>429.62962962962962</v>
      </c>
      <c r="U22" s="19">
        <f t="shared" si="5"/>
        <v>28946.159701779699</v>
      </c>
      <c r="V22" s="128">
        <f t="shared" si="2"/>
        <v>1.0882014925481089</v>
      </c>
      <c r="X22" s="29">
        <v>366474</v>
      </c>
      <c r="Y22" s="42">
        <v>45981</v>
      </c>
      <c r="AA22" s="61">
        <v>111</v>
      </c>
      <c r="AB22" s="61">
        <v>21090</v>
      </c>
      <c r="AC22" s="132">
        <f t="shared" si="6"/>
        <v>22950.169477839616</v>
      </c>
    </row>
    <row r="23" spans="1:29" ht="15.75">
      <c r="A23" s="29" t="s">
        <v>85</v>
      </c>
      <c r="B23" s="3" t="s">
        <v>86</v>
      </c>
      <c r="C23" s="3" t="s">
        <v>80</v>
      </c>
      <c r="D23" s="13" t="s">
        <v>87</v>
      </c>
      <c r="E23" s="3" t="str">
        <f t="shared" si="0"/>
        <v>Direct</v>
      </c>
      <c r="F23" s="3" t="s">
        <v>46</v>
      </c>
      <c r="G23" s="3">
        <v>112</v>
      </c>
      <c r="H23" s="28">
        <v>24080</v>
      </c>
      <c r="I23" s="82" t="b">
        <v>1</v>
      </c>
      <c r="J23" s="116">
        <f t="shared" si="7"/>
        <v>1.6750737603502428</v>
      </c>
      <c r="K23" s="117">
        <f>42380.8/1.0507</f>
        <v>40335.776149233847</v>
      </c>
      <c r="L23" s="22">
        <v>1099.6500000000001</v>
      </c>
      <c r="M23" s="22"/>
      <c r="N23" s="22"/>
      <c r="O23" s="22"/>
      <c r="P23" s="23"/>
      <c r="Q23" s="23"/>
      <c r="R23" s="23"/>
      <c r="S23" s="23"/>
      <c r="T23" s="23"/>
      <c r="U23" s="19">
        <f t="shared" si="5"/>
        <v>41435.426149233848</v>
      </c>
      <c r="V23" s="128">
        <f t="shared" si="2"/>
        <v>1.7207402885894456</v>
      </c>
      <c r="X23" s="29"/>
      <c r="Y23" s="28"/>
      <c r="AA23" s="61"/>
      <c r="AB23" s="61"/>
      <c r="AC23" s="132" t="str">
        <f t="shared" si="6"/>
        <v/>
      </c>
    </row>
    <row r="24" spans="1:29" ht="15.75">
      <c r="A24" s="73" t="s">
        <v>88</v>
      </c>
      <c r="B24" s="55" t="s">
        <v>89</v>
      </c>
      <c r="C24" s="55" t="s">
        <v>90</v>
      </c>
      <c r="D24" s="55" t="s">
        <v>30</v>
      </c>
      <c r="E24" s="55" t="str">
        <f t="shared" si="0"/>
        <v>Hiwa</v>
      </c>
      <c r="F24" s="55" t="s">
        <v>59</v>
      </c>
      <c r="G24" s="1">
        <v>256</v>
      </c>
      <c r="H24" s="27">
        <f>G24*205</f>
        <v>52480</v>
      </c>
      <c r="I24" s="82" t="b">
        <v>1</v>
      </c>
      <c r="J24" s="116">
        <f t="shared" si="7"/>
        <v>0.61004670670098182</v>
      </c>
      <c r="K24" s="117">
        <f>33587.2/1.0491</f>
        <v>32015.251167667524</v>
      </c>
      <c r="L24" s="22">
        <f>3092/1.0491</f>
        <v>2947.2881517491187</v>
      </c>
      <c r="M24" s="22">
        <f>1991.26+1991.26</f>
        <v>3982.52</v>
      </c>
      <c r="N24" s="22"/>
      <c r="O24" s="22">
        <v>2480.44</v>
      </c>
      <c r="P24" s="23">
        <f>125.31+125.31+24.48+17.62+24.48+17.62+24.48+17.62+5.87+5.87+1.96+1.96+1.96+1.96</f>
        <v>396.5</v>
      </c>
      <c r="Q24" s="23">
        <f>0.93+0.67+0.22+0.07+0.07</f>
        <v>1.9600000000000002</v>
      </c>
      <c r="R24" s="23">
        <f>57.04+57.04+57.04+(57.04*(33/110))</f>
        <v>188.232</v>
      </c>
      <c r="S24" s="23">
        <f>(26.21/2)+15.4</f>
        <v>28.505000000000003</v>
      </c>
      <c r="T24" s="23">
        <f>(250/2)+235</f>
        <v>360</v>
      </c>
      <c r="U24" s="19">
        <f t="shared" si="5"/>
        <v>41823.959319416645</v>
      </c>
      <c r="V24" s="128">
        <f t="shared" si="2"/>
        <v>0.79695044434864037</v>
      </c>
      <c r="X24" s="80" t="s">
        <v>91</v>
      </c>
      <c r="Y24" s="72">
        <v>45657</v>
      </c>
      <c r="AA24" s="61"/>
      <c r="AB24" s="61"/>
      <c r="AC24" s="132" t="str">
        <f t="shared" si="6"/>
        <v/>
      </c>
    </row>
    <row r="25" spans="1:29" ht="15.75">
      <c r="A25" s="29" t="s">
        <v>92</v>
      </c>
      <c r="B25" s="3" t="s">
        <v>93</v>
      </c>
      <c r="C25" s="9" t="s">
        <v>90</v>
      </c>
      <c r="D25" s="3" t="s">
        <v>94</v>
      </c>
      <c r="E25" s="3" t="str">
        <f t="shared" si="0"/>
        <v>Direct</v>
      </c>
      <c r="F25" s="10" t="s">
        <v>59</v>
      </c>
      <c r="G25" s="1">
        <v>128</v>
      </c>
      <c r="H25" s="27">
        <v>26240</v>
      </c>
      <c r="I25" s="82" t="b">
        <v>1</v>
      </c>
      <c r="J25" s="116">
        <f t="shared" si="7"/>
        <v>0.61579909554507839</v>
      </c>
      <c r="K25" s="117">
        <f>16793.6/1.0393</f>
        <v>16158.568267102857</v>
      </c>
      <c r="L25" s="22">
        <f>1841/1.0393</f>
        <v>1771.3845857788899</v>
      </c>
      <c r="M25" s="22"/>
      <c r="N25" s="22"/>
      <c r="O25" s="22"/>
      <c r="P25" s="23"/>
      <c r="Q25" s="23"/>
      <c r="R25" s="23"/>
      <c r="S25" s="23"/>
      <c r="T25" s="23"/>
      <c r="U25" s="19">
        <f t="shared" si="5"/>
        <v>17929.952852881746</v>
      </c>
      <c r="V25" s="128">
        <f t="shared" si="2"/>
        <v>0.68330613006409091</v>
      </c>
      <c r="X25" s="29"/>
      <c r="Y25" s="28"/>
      <c r="AA25" s="2"/>
      <c r="AB25" s="2"/>
      <c r="AC25" s="132" t="str">
        <f t="shared" si="6"/>
        <v/>
      </c>
    </row>
    <row r="26" spans="1:29" ht="15.75">
      <c r="A26" s="29" t="s">
        <v>95</v>
      </c>
      <c r="B26" s="3" t="s">
        <v>82</v>
      </c>
      <c r="C26" s="3" t="s">
        <v>83</v>
      </c>
      <c r="D26" s="3" t="s">
        <v>73</v>
      </c>
      <c r="E26" s="3" t="str">
        <f t="shared" si="0"/>
        <v>Hiwa</v>
      </c>
      <c r="F26" s="3" t="s">
        <v>59</v>
      </c>
      <c r="G26" s="3">
        <v>128</v>
      </c>
      <c r="H26" s="28">
        <f>G26*204</f>
        <v>26112</v>
      </c>
      <c r="I26" s="82" t="b">
        <v>1</v>
      </c>
      <c r="J26" s="116">
        <f t="shared" si="7"/>
        <v>0.65397755002440217</v>
      </c>
      <c r="K26" s="117">
        <f>17495.04/1.0245</f>
        <v>17076.66178623719</v>
      </c>
      <c r="L26" s="22">
        <f>1546/1.0396</f>
        <v>1487.1104270873411</v>
      </c>
      <c r="M26" s="22">
        <v>2077.94</v>
      </c>
      <c r="N26" s="22">
        <v>170</v>
      </c>
      <c r="O26" s="22">
        <v>1298.76</v>
      </c>
      <c r="P26" s="23">
        <f>82.24+82.24+82.24</f>
        <v>246.71999999999997</v>
      </c>
      <c r="Q26" s="23">
        <f>8.78+5.56</f>
        <v>14.34</v>
      </c>
      <c r="R26" s="23">
        <f>57.04</f>
        <v>57.04</v>
      </c>
      <c r="S26" s="23">
        <f>((102+480.48)*(44/100))+(1013.44*84/(84+16))</f>
        <v>1107.5808000000002</v>
      </c>
      <c r="T26" s="23">
        <f>(1600*(44/(44+56)))+(1600*(84/(84+16)))</f>
        <v>2048</v>
      </c>
      <c r="U26" s="19">
        <f>IF(B26="","",K26+SUM(L26:Q26))</f>
        <v>22371.532213324532</v>
      </c>
      <c r="V26" s="128">
        <f t="shared" si="2"/>
        <v>0.8567529187088132</v>
      </c>
      <c r="X26" s="29">
        <v>368131</v>
      </c>
      <c r="Y26" s="42">
        <v>45706</v>
      </c>
      <c r="AA26" s="2"/>
      <c r="AB26" s="2"/>
      <c r="AC26" s="132" t="str">
        <f t="shared" si="6"/>
        <v/>
      </c>
    </row>
    <row r="27" spans="1:29" ht="15.75">
      <c r="A27" s="29" t="s">
        <v>96</v>
      </c>
      <c r="B27" s="3" t="s">
        <v>93</v>
      </c>
      <c r="C27" s="3" t="s">
        <v>90</v>
      </c>
      <c r="D27" s="3" t="s">
        <v>97</v>
      </c>
      <c r="E27" s="3" t="str">
        <f t="shared" si="0"/>
        <v>Direct</v>
      </c>
      <c r="F27" s="10" t="s">
        <v>59</v>
      </c>
      <c r="G27" s="3">
        <v>256</v>
      </c>
      <c r="H27" s="28">
        <f>G27*205</f>
        <v>52480</v>
      </c>
      <c r="I27" s="82" t="b">
        <v>1</v>
      </c>
      <c r="J27" s="116">
        <f t="shared" si="7"/>
        <v>0.59369912860289187</v>
      </c>
      <c r="K27" s="117">
        <f>32537.6/1.0443</f>
        <v>31157.330269079765</v>
      </c>
      <c r="L27" s="22">
        <f>(6653*2)/1.0465</f>
        <v>12714.763497372192</v>
      </c>
      <c r="M27" s="22"/>
      <c r="N27" s="22"/>
      <c r="O27" s="22"/>
      <c r="P27" s="23"/>
      <c r="Q27" s="23"/>
      <c r="R27" s="23"/>
      <c r="S27" s="23"/>
      <c r="T27" s="23"/>
      <c r="U27" s="19">
        <f t="shared" si="5"/>
        <v>43872.093766451959</v>
      </c>
      <c r="V27" s="128">
        <f t="shared" si="2"/>
        <v>0.83597739646440472</v>
      </c>
      <c r="X27" s="29"/>
      <c r="Y27" s="28"/>
      <c r="AA27" s="2"/>
      <c r="AB27" s="2"/>
      <c r="AC27" s="132" t="str">
        <f t="shared" si="6"/>
        <v/>
      </c>
    </row>
    <row r="28" spans="1:29" ht="15.75">
      <c r="A28" s="29" t="s">
        <v>98</v>
      </c>
      <c r="B28" s="3" t="s">
        <v>93</v>
      </c>
      <c r="C28" s="9" t="s">
        <v>90</v>
      </c>
      <c r="D28" s="3" t="s">
        <v>94</v>
      </c>
      <c r="E28" s="3" t="str">
        <f t="shared" si="0"/>
        <v>Direct</v>
      </c>
      <c r="F28" s="10" t="s">
        <v>59</v>
      </c>
      <c r="G28" s="1">
        <v>128</v>
      </c>
      <c r="H28" s="27">
        <v>26240</v>
      </c>
      <c r="I28" s="82" t="b">
        <v>1</v>
      </c>
      <c r="J28" s="116">
        <f t="shared" si="7"/>
        <v>0.6201550387596898</v>
      </c>
      <c r="K28" s="117">
        <f>16793.6/1.032</f>
        <v>16272.868217054262</v>
      </c>
      <c r="L28" s="22">
        <f>1920/1.0845</f>
        <v>1770.4011065006916</v>
      </c>
      <c r="M28" s="22"/>
      <c r="N28" s="22"/>
      <c r="O28" s="22"/>
      <c r="P28" s="23"/>
      <c r="Q28" s="23"/>
      <c r="R28" s="23"/>
      <c r="S28" s="23"/>
      <c r="T28" s="23"/>
      <c r="U28" s="19">
        <f t="shared" si="5"/>
        <v>18043.269323554952</v>
      </c>
      <c r="V28" s="128">
        <f t="shared" si="2"/>
        <v>0.68762459312328328</v>
      </c>
      <c r="X28" s="29"/>
      <c r="Y28" s="28"/>
      <c r="AA28" s="2"/>
      <c r="AB28" s="2"/>
      <c r="AC28" s="132" t="str">
        <f t="shared" si="6"/>
        <v/>
      </c>
    </row>
    <row r="29" spans="1:29" ht="15.75">
      <c r="A29" s="29" t="s">
        <v>99</v>
      </c>
      <c r="B29" s="3" t="s">
        <v>93</v>
      </c>
      <c r="C29" s="3" t="s">
        <v>90</v>
      </c>
      <c r="D29" s="3" t="s">
        <v>97</v>
      </c>
      <c r="E29" s="3" t="str">
        <f t="shared" si="0"/>
        <v>Direct</v>
      </c>
      <c r="F29" s="10" t="s">
        <v>59</v>
      </c>
      <c r="G29" s="3">
        <v>105</v>
      </c>
      <c r="H29" s="28">
        <f>G29*205</f>
        <v>21525</v>
      </c>
      <c r="I29" s="82" t="b">
        <v>1</v>
      </c>
      <c r="J29" s="116">
        <f t="shared" si="7"/>
        <v>0.59672762271414825</v>
      </c>
      <c r="K29" s="117">
        <f>13345.5/1.039</f>
        <v>12844.562078922041</v>
      </c>
      <c r="L29" s="22">
        <f>6522/1.0897</f>
        <v>5985.1335229879787</v>
      </c>
      <c r="M29" s="22"/>
      <c r="N29" s="22"/>
      <c r="O29" s="22"/>
      <c r="P29" s="23"/>
      <c r="Q29" s="23"/>
      <c r="R29" s="23"/>
      <c r="S29" s="23"/>
      <c r="T29" s="23"/>
      <c r="U29" s="19">
        <f t="shared" si="5"/>
        <v>18829.695601910018</v>
      </c>
      <c r="V29" s="128">
        <f t="shared" si="2"/>
        <v>0.87478260636051186</v>
      </c>
      <c r="X29" s="29"/>
      <c r="Y29" s="28"/>
      <c r="AA29" s="2"/>
      <c r="AB29" s="2"/>
      <c r="AC29" s="132" t="str">
        <f t="shared" si="6"/>
        <v/>
      </c>
    </row>
    <row r="30" spans="1:29" ht="15.75">
      <c r="A30" s="29" t="s">
        <v>100</v>
      </c>
      <c r="B30" s="3" t="s">
        <v>93</v>
      </c>
      <c r="C30" s="3" t="s">
        <v>90</v>
      </c>
      <c r="D30" s="3" t="s">
        <v>101</v>
      </c>
      <c r="E30" s="3" t="str">
        <f t="shared" si="0"/>
        <v>Direct</v>
      </c>
      <c r="F30" s="10" t="s">
        <v>59</v>
      </c>
      <c r="G30" s="3">
        <f>2*105</f>
        <v>210</v>
      </c>
      <c r="H30" s="28">
        <f>G30*205</f>
        <v>43050</v>
      </c>
      <c r="I30" s="82" t="b">
        <v>1</v>
      </c>
      <c r="J30" s="116">
        <f t="shared" si="7"/>
        <v>0.57976435384327663</v>
      </c>
      <c r="K30" s="117">
        <f>26691/1.0694</f>
        <v>24958.85543295306</v>
      </c>
      <c r="L30" s="22">
        <f>14284/1.0824</f>
        <v>13196.600147819659</v>
      </c>
      <c r="M30" s="22"/>
      <c r="N30" s="22"/>
      <c r="O30" s="22"/>
      <c r="P30" s="23"/>
      <c r="Q30" s="23"/>
      <c r="R30" s="23"/>
      <c r="S30" s="23"/>
      <c r="T30" s="23"/>
      <c r="U30" s="19">
        <f t="shared" si="5"/>
        <v>38155.455580772716</v>
      </c>
      <c r="V30" s="128">
        <f t="shared" si="2"/>
        <v>0.88630558840354745</v>
      </c>
      <c r="X30" s="79"/>
      <c r="Y30" s="42"/>
      <c r="AA30" s="2"/>
      <c r="AB30" s="2"/>
      <c r="AC30" s="132" t="str">
        <f t="shared" si="6"/>
        <v/>
      </c>
    </row>
    <row r="31" spans="1:29" ht="15.75">
      <c r="A31" s="29" t="s">
        <v>102</v>
      </c>
      <c r="B31" s="3" t="s">
        <v>103</v>
      </c>
      <c r="C31" s="9" t="s">
        <v>62</v>
      </c>
      <c r="D31" s="3" t="s">
        <v>104</v>
      </c>
      <c r="E31" s="3" t="str">
        <f t="shared" si="0"/>
        <v>Direct</v>
      </c>
      <c r="F31" s="10" t="s">
        <v>31</v>
      </c>
      <c r="G31" s="1">
        <v>112</v>
      </c>
      <c r="H31" s="27">
        <f>G31*210</f>
        <v>23520</v>
      </c>
      <c r="I31" s="82" t="b">
        <v>1</v>
      </c>
      <c r="J31" s="116">
        <f t="shared" si="7"/>
        <v>1.2156788487028971</v>
      </c>
      <c r="K31" s="117">
        <f>30199.68/1.0562</f>
        <v>28592.76652149214</v>
      </c>
      <c r="L31" s="22">
        <v>0</v>
      </c>
      <c r="M31" s="22">
        <v>98.14</v>
      </c>
      <c r="N31" s="22"/>
      <c r="O31" s="22"/>
      <c r="P31" s="23"/>
      <c r="Q31" s="23"/>
      <c r="R31" s="23"/>
      <c r="S31" s="23"/>
      <c r="T31" s="23"/>
      <c r="U31" s="19">
        <f t="shared" si="5"/>
        <v>28690.906521492139</v>
      </c>
      <c r="V31" s="128">
        <f t="shared" si="2"/>
        <v>1.2198514677505161</v>
      </c>
      <c r="X31" s="29">
        <v>366458</v>
      </c>
      <c r="Y31" s="42">
        <v>45671</v>
      </c>
      <c r="AA31" s="2"/>
      <c r="AB31" s="2"/>
      <c r="AC31" s="132" t="str">
        <f t="shared" si="6"/>
        <v/>
      </c>
    </row>
    <row r="32" spans="1:29" ht="15.75">
      <c r="A32" s="29" t="s">
        <v>105</v>
      </c>
      <c r="B32" s="3" t="s">
        <v>106</v>
      </c>
      <c r="C32" s="3" t="s">
        <v>62</v>
      </c>
      <c r="D32" s="3" t="s">
        <v>104</v>
      </c>
      <c r="E32" s="3" t="str">
        <f t="shared" si="0"/>
        <v>Direct</v>
      </c>
      <c r="F32" s="3" t="s">
        <v>31</v>
      </c>
      <c r="G32" s="3">
        <f>9*112</f>
        <v>1008</v>
      </c>
      <c r="H32" s="28">
        <f>G32*210</f>
        <v>211680</v>
      </c>
      <c r="I32" s="82" t="b">
        <v>1</v>
      </c>
      <c r="J32" s="116">
        <f t="shared" si="7"/>
        <v>1.2497650915023166</v>
      </c>
      <c r="K32" s="117">
        <f>279418/1.0562</f>
        <v>264550.27456921036</v>
      </c>
      <c r="L32" s="22">
        <v>0</v>
      </c>
      <c r="M32" s="22">
        <f>392.56</f>
        <v>392.56</v>
      </c>
      <c r="N32" s="22"/>
      <c r="O32" s="22"/>
      <c r="P32" s="23"/>
      <c r="Q32" s="23"/>
      <c r="R32" s="23">
        <v>57.04</v>
      </c>
      <c r="S32" s="23"/>
      <c r="T32" s="23"/>
      <c r="U32" s="19">
        <f t="shared" si="5"/>
        <v>264942.83456921036</v>
      </c>
      <c r="V32" s="128">
        <f t="shared" si="2"/>
        <v>1.2516195888568138</v>
      </c>
      <c r="X32" s="79" t="s">
        <v>107</v>
      </c>
      <c r="Y32" s="42">
        <v>45671</v>
      </c>
      <c r="AA32" s="2"/>
      <c r="AB32" s="2"/>
      <c r="AC32" s="132" t="str">
        <f t="shared" si="6"/>
        <v/>
      </c>
    </row>
    <row r="33" spans="1:29" ht="15.75">
      <c r="A33" s="29" t="s">
        <v>108</v>
      </c>
      <c r="B33" s="3" t="s">
        <v>61</v>
      </c>
      <c r="C33" s="3" t="s">
        <v>62</v>
      </c>
      <c r="D33" s="3" t="s">
        <v>30</v>
      </c>
      <c r="E33" s="3" t="str">
        <f t="shared" si="0"/>
        <v>Hiwa</v>
      </c>
      <c r="F33" s="3" t="s">
        <v>31</v>
      </c>
      <c r="G33" s="3">
        <v>112</v>
      </c>
      <c r="H33" s="28">
        <v>23520</v>
      </c>
      <c r="I33" s="82" t="b">
        <v>1</v>
      </c>
      <c r="J33" s="116">
        <f>IF(H33="","",+K33/H33)</f>
        <v>1.395</v>
      </c>
      <c r="K33" s="117">
        <v>32810.400000000001</v>
      </c>
      <c r="L33" s="22"/>
      <c r="M33" s="22">
        <v>98.14</v>
      </c>
      <c r="N33" s="22">
        <v>170</v>
      </c>
      <c r="O33" s="22">
        <v>1431.4</v>
      </c>
      <c r="P33" s="23">
        <f>163.85+128.74+128.74+52.67+52.67+52.67+52.67+52.67</f>
        <v>684.68</v>
      </c>
      <c r="Q33" s="23">
        <f>85+6.68+2.73+2.73</f>
        <v>97.140000000000015</v>
      </c>
      <c r="R33" s="23">
        <f>(57.04*(52/76))+57.04</f>
        <v>96.067368421052635</v>
      </c>
      <c r="S33" s="23">
        <f>(77.52*(13/19))</f>
        <v>53.04</v>
      </c>
      <c r="T33" s="23">
        <f>689+(1650*(52/76))+1000</f>
        <v>2817.9473684210525</v>
      </c>
      <c r="U33" s="19">
        <f t="shared" si="5"/>
        <v>35291.760000000002</v>
      </c>
      <c r="V33" s="128">
        <f t="shared" si="2"/>
        <v>1.5005000000000002</v>
      </c>
      <c r="X33" s="29">
        <v>366388</v>
      </c>
      <c r="Y33" s="42">
        <v>45671</v>
      </c>
      <c r="AA33" s="2"/>
      <c r="AB33" s="2"/>
      <c r="AC33" s="132" t="str">
        <f t="shared" si="6"/>
        <v/>
      </c>
    </row>
    <row r="34" spans="1:29" ht="15.75">
      <c r="A34" s="29" t="s">
        <v>109</v>
      </c>
      <c r="B34" s="3" t="s">
        <v>103</v>
      </c>
      <c r="C34" s="3" t="s">
        <v>62</v>
      </c>
      <c r="D34" s="3" t="s">
        <v>104</v>
      </c>
      <c r="E34" s="3" t="str">
        <f t="shared" si="0"/>
        <v>Direct</v>
      </c>
      <c r="F34" s="3" t="s">
        <v>31</v>
      </c>
      <c r="G34" s="3">
        <v>336</v>
      </c>
      <c r="H34" s="28">
        <f>G34*210</f>
        <v>70560</v>
      </c>
      <c r="I34" s="82" t="b">
        <v>1</v>
      </c>
      <c r="J34" s="116">
        <f t="shared" si="7"/>
        <v>1.2839999999999998</v>
      </c>
      <c r="K34" s="117">
        <v>90599.039999999994</v>
      </c>
      <c r="L34" s="22">
        <v>0</v>
      </c>
      <c r="M34" s="22">
        <f>(34.69+63.45)*2</f>
        <v>196.28</v>
      </c>
      <c r="N34" s="22"/>
      <c r="O34" s="22"/>
      <c r="P34" s="23"/>
      <c r="Q34" s="23"/>
      <c r="R34" s="23">
        <f>2*57.04</f>
        <v>114.08</v>
      </c>
      <c r="S34" s="23"/>
      <c r="T34" s="23"/>
      <c r="U34" s="19">
        <f t="shared" si="5"/>
        <v>90795.319999999992</v>
      </c>
      <c r="V34" s="128">
        <f t="shared" si="2"/>
        <v>1.2867817460317459</v>
      </c>
      <c r="X34" s="79" t="s">
        <v>110</v>
      </c>
      <c r="Y34" s="42">
        <v>45672</v>
      </c>
      <c r="AA34" s="2"/>
      <c r="AB34" s="2"/>
      <c r="AC34" s="132" t="str">
        <f t="shared" si="6"/>
        <v/>
      </c>
    </row>
    <row r="35" spans="1:29" ht="15.75">
      <c r="A35" s="29" t="s">
        <v>111</v>
      </c>
      <c r="B35" s="3" t="s">
        <v>93</v>
      </c>
      <c r="C35" s="3" t="s">
        <v>90</v>
      </c>
      <c r="D35" s="3" t="s">
        <v>112</v>
      </c>
      <c r="E35" s="3" t="str">
        <f t="shared" si="0"/>
        <v>Direct</v>
      </c>
      <c r="F35" s="3" t="s">
        <v>59</v>
      </c>
      <c r="G35" s="3">
        <v>112</v>
      </c>
      <c r="H35" s="28">
        <f>G35*205</f>
        <v>22960</v>
      </c>
      <c r="I35" s="82" t="b">
        <v>1</v>
      </c>
      <c r="J35" s="116">
        <f t="shared" si="7"/>
        <v>0.69424215943295464</v>
      </c>
      <c r="K35" s="117">
        <f>16416.4/1.0299</f>
        <v>15939.799980580639</v>
      </c>
      <c r="L35" s="22">
        <f>(1656/1.0198)+328+69.25+834+80+35+55</f>
        <v>3025.0978132967248</v>
      </c>
      <c r="M35" s="22">
        <f>1903.63+38.07+96</f>
        <v>2037.7</v>
      </c>
      <c r="N35" s="22">
        <f>300+227.5</f>
        <v>527.5</v>
      </c>
      <c r="O35" s="22"/>
      <c r="P35" s="23"/>
      <c r="Q35" s="23"/>
      <c r="R35" s="23"/>
      <c r="S35" s="23"/>
      <c r="T35" s="23"/>
      <c r="U35" s="19">
        <f t="shared" si="5"/>
        <v>21530.097793877365</v>
      </c>
      <c r="V35" s="128">
        <f t="shared" si="2"/>
        <v>0.93772202935005944</v>
      </c>
      <c r="X35" s="79"/>
      <c r="Y35" s="42"/>
      <c r="AA35" s="2"/>
      <c r="AB35" s="2"/>
      <c r="AC35" s="132" t="str">
        <f t="shared" si="6"/>
        <v/>
      </c>
    </row>
    <row r="36" spans="1:29" ht="15.75">
      <c r="A36" s="54" t="s">
        <v>113</v>
      </c>
      <c r="B36" s="3" t="s">
        <v>89</v>
      </c>
      <c r="C36" s="9" t="s">
        <v>90</v>
      </c>
      <c r="D36" s="3" t="s">
        <v>30</v>
      </c>
      <c r="E36" s="3" t="str">
        <f t="shared" si="0"/>
        <v>Hiwa</v>
      </c>
      <c r="F36" s="10" t="s">
        <v>59</v>
      </c>
      <c r="G36" s="1">
        <v>256</v>
      </c>
      <c r="H36" s="27">
        <f>G36*205</f>
        <v>52480</v>
      </c>
      <c r="I36" s="82" t="b">
        <v>1</v>
      </c>
      <c r="J36" s="116">
        <f t="shared" si="7"/>
        <v>0.62141955529663062</v>
      </c>
      <c r="K36" s="117">
        <f>33587.2/1.0299</f>
        <v>32612.098261967178</v>
      </c>
      <c r="L36" s="58">
        <f>3092/1.0198</f>
        <v>3031.9670523632085</v>
      </c>
      <c r="M36" s="58">
        <f>2003.73+1988.57</f>
        <v>3992.3</v>
      </c>
      <c r="N36" s="58">
        <v>120</v>
      </c>
      <c r="O36" s="58">
        <f>61.61+2584.52+712.22</f>
        <v>3358.3500000000004</v>
      </c>
      <c r="P36" s="59">
        <f>0.98+72.45</f>
        <v>73.430000000000007</v>
      </c>
      <c r="Q36" s="59">
        <f>4.68+4.72</f>
        <v>9.3999999999999986</v>
      </c>
      <c r="R36" s="59">
        <f>57.04+(57.04*(77/110))+57.04</f>
        <v>154.00799999999998</v>
      </c>
      <c r="S36" s="59"/>
      <c r="T36" s="59"/>
      <c r="U36" s="19">
        <f t="shared" si="5"/>
        <v>43197.545314330389</v>
      </c>
      <c r="V36" s="128">
        <f t="shared" si="2"/>
        <v>0.8231239579712345</v>
      </c>
      <c r="X36" s="80" t="s">
        <v>114</v>
      </c>
      <c r="Y36" s="72">
        <v>45705</v>
      </c>
      <c r="AA36" s="2"/>
      <c r="AB36" s="2"/>
      <c r="AC36" s="132" t="str">
        <f t="shared" si="6"/>
        <v/>
      </c>
    </row>
    <row r="37" spans="1:29" ht="15.75">
      <c r="A37" s="29" t="s">
        <v>115</v>
      </c>
      <c r="B37" s="3" t="s">
        <v>106</v>
      </c>
      <c r="C37" s="55" t="s">
        <v>62</v>
      </c>
      <c r="D37" s="55" t="s">
        <v>116</v>
      </c>
      <c r="E37" s="55" t="str">
        <f t="shared" si="0"/>
        <v>Direct</v>
      </c>
      <c r="F37" s="55" t="s">
        <v>31</v>
      </c>
      <c r="G37" s="55">
        <f>9*112</f>
        <v>1008</v>
      </c>
      <c r="H37" s="56">
        <f>G37*210</f>
        <v>211680</v>
      </c>
      <c r="I37" s="82" t="b">
        <v>1</v>
      </c>
      <c r="J37" s="116">
        <f t="shared" si="7"/>
        <v>1.41</v>
      </c>
      <c r="K37" s="119">
        <v>298468.8</v>
      </c>
      <c r="L37" s="58">
        <v>19739</v>
      </c>
      <c r="M37" s="58">
        <v>320</v>
      </c>
      <c r="N37" s="58">
        <v>500</v>
      </c>
      <c r="O37" s="58"/>
      <c r="P37" s="59"/>
      <c r="Q37" s="59"/>
      <c r="R37" s="59"/>
      <c r="S37" s="59"/>
      <c r="T37" s="59"/>
      <c r="U37" s="19">
        <f t="shared" si="5"/>
        <v>319027.8</v>
      </c>
      <c r="V37" s="128">
        <f t="shared" si="2"/>
        <v>1.5071230158730158</v>
      </c>
      <c r="X37" s="54"/>
      <c r="Y37" s="56"/>
      <c r="AA37" s="2"/>
      <c r="AB37" s="2"/>
      <c r="AC37" s="132" t="str">
        <f t="shared" si="6"/>
        <v/>
      </c>
    </row>
    <row r="38" spans="1:29" ht="15.75">
      <c r="A38" s="54" t="s">
        <v>117</v>
      </c>
      <c r="B38" s="3" t="s">
        <v>118</v>
      </c>
      <c r="C38" s="9" t="s">
        <v>119</v>
      </c>
      <c r="D38" s="13" t="s">
        <v>120</v>
      </c>
      <c r="E38" s="3" t="str">
        <f>IF(B38="","",IF(D38="Godfroy","Godfroy",(IF(LEFT(B38,1)="1","Hiwa","Direct"))))</f>
        <v>Direct</v>
      </c>
      <c r="F38" s="10" t="s">
        <v>121</v>
      </c>
      <c r="G38" s="1">
        <v>52</v>
      </c>
      <c r="H38" s="27">
        <v>10400</v>
      </c>
      <c r="I38" s="82" t="b">
        <v>1</v>
      </c>
      <c r="J38" s="116">
        <f t="shared" si="7"/>
        <v>1.54</v>
      </c>
      <c r="K38" s="119">
        <v>16016</v>
      </c>
      <c r="L38" s="58">
        <v>1750</v>
      </c>
      <c r="M38" s="58"/>
      <c r="N38" s="58"/>
      <c r="O38" s="58"/>
      <c r="P38" s="59"/>
      <c r="Q38" s="59"/>
      <c r="R38" s="59"/>
      <c r="S38" s="59"/>
      <c r="T38" s="59"/>
      <c r="U38" s="19">
        <f t="shared" si="5"/>
        <v>17766</v>
      </c>
      <c r="V38" s="128">
        <f t="shared" si="2"/>
        <v>1.7082692307692309</v>
      </c>
      <c r="X38" s="54"/>
      <c r="Y38" s="56"/>
      <c r="AA38" s="2"/>
      <c r="AB38" s="2"/>
      <c r="AC38" s="132" t="str">
        <f t="shared" si="6"/>
        <v/>
      </c>
    </row>
    <row r="39" spans="1:29" ht="15.75">
      <c r="A39" s="29" t="s">
        <v>122</v>
      </c>
      <c r="B39" s="3" t="s">
        <v>123</v>
      </c>
      <c r="C39" s="9" t="s">
        <v>52</v>
      </c>
      <c r="D39" s="13" t="s">
        <v>30</v>
      </c>
      <c r="E39" s="3" t="str">
        <f t="shared" ref="E39" si="8">IF(B39="","",IF(D39="Godfroy","Godfroy",(IF(LEFT(B39,1)="1","Hiwa","Direct"))))</f>
        <v>Hiwa</v>
      </c>
      <c r="F39" s="3" t="s">
        <v>46</v>
      </c>
      <c r="G39" s="1">
        <v>80</v>
      </c>
      <c r="H39" s="27">
        <v>16800</v>
      </c>
      <c r="I39" s="82" t="b">
        <v>1</v>
      </c>
      <c r="J39" s="116">
        <f t="shared" si="7"/>
        <v>3.705842718259698</v>
      </c>
      <c r="K39" s="119">
        <f>64680/1.0389</f>
        <v>62258.157666762927</v>
      </c>
      <c r="L39" s="58">
        <f>2425/1.0389</f>
        <v>2334.1996342285111</v>
      </c>
      <c r="M39" s="58">
        <v>98.14</v>
      </c>
      <c r="N39" s="58"/>
      <c r="O39" s="58">
        <v>1155.18</v>
      </c>
      <c r="P39" s="59">
        <f>78.68+55.07+55.07+55.07+31.47+31.47+15.74+15.74</f>
        <v>338.31000000000006</v>
      </c>
      <c r="Q39" s="59">
        <f>16.46+16.23+10.86+6.12+2.98</f>
        <v>52.649999999999991</v>
      </c>
      <c r="R39" s="59">
        <f>57.04+57.04+57.04</f>
        <v>171.12</v>
      </c>
      <c r="S39" s="59"/>
      <c r="T39" s="59"/>
      <c r="U39" s="19">
        <f t="shared" si="5"/>
        <v>66236.637300991439</v>
      </c>
      <c r="V39" s="128">
        <f t="shared" si="2"/>
        <v>3.9426569822018713</v>
      </c>
      <c r="X39" s="54">
        <v>367271</v>
      </c>
      <c r="Y39" s="72">
        <v>45691</v>
      </c>
      <c r="AA39" s="2"/>
      <c r="AB39" s="2"/>
      <c r="AC39" s="132" t="str">
        <f t="shared" si="6"/>
        <v/>
      </c>
    </row>
    <row r="40" spans="1:29" ht="15.75">
      <c r="A40" s="54" t="s">
        <v>124</v>
      </c>
      <c r="B40" s="3" t="s">
        <v>125</v>
      </c>
      <c r="C40" s="3" t="s">
        <v>126</v>
      </c>
      <c r="D40" s="3" t="s">
        <v>127</v>
      </c>
      <c r="E40" s="3" t="str">
        <f>IF(B40="","",IF(D40="Godfroy","Godfroy",(IF(LEFT(B40,1)="1","Hiwa","Direct"))))</f>
        <v>Direct</v>
      </c>
      <c r="F40" s="3" t="s">
        <v>128</v>
      </c>
      <c r="G40" s="3">
        <v>4</v>
      </c>
      <c r="H40" s="28">
        <v>880</v>
      </c>
      <c r="I40" s="82" t="b">
        <v>1</v>
      </c>
      <c r="J40" s="116">
        <f>IF(H40="","",+K40/H40)</f>
        <v>0.92045454545454541</v>
      </c>
      <c r="K40" s="119">
        <v>810</v>
      </c>
      <c r="L40" s="58">
        <v>294</v>
      </c>
      <c r="M40" s="58"/>
      <c r="N40" s="58"/>
      <c r="O40" s="58"/>
      <c r="P40" s="59"/>
      <c r="Q40" s="59"/>
      <c r="R40" s="59"/>
      <c r="S40" s="59"/>
      <c r="T40" s="59"/>
      <c r="U40" s="19">
        <f t="shared" si="5"/>
        <v>1104</v>
      </c>
      <c r="V40" s="128">
        <f>IF(J40="","",+U40/H40)</f>
        <v>1.2545454545454546</v>
      </c>
      <c r="X40" s="54"/>
      <c r="Y40" s="56"/>
      <c r="AA40" s="2"/>
      <c r="AB40" s="2"/>
      <c r="AC40" s="132" t="str">
        <f t="shared" si="6"/>
        <v/>
      </c>
    </row>
    <row r="41" spans="1:29" ht="15.75">
      <c r="A41" s="29" t="s">
        <v>129</v>
      </c>
      <c r="B41" s="3" t="s">
        <v>106</v>
      </c>
      <c r="C41" s="9" t="s">
        <v>62</v>
      </c>
      <c r="D41" s="3" t="s">
        <v>104</v>
      </c>
      <c r="E41" s="3" t="str">
        <f t="shared" ref="E41:E45" si="9">IF(B41="","",IF(D41="Godfroy","Godfroy",(IF(LEFT(B41,1)="1","Hiwa","Direct"))))</f>
        <v>Direct</v>
      </c>
      <c r="F41" s="10" t="s">
        <v>31</v>
      </c>
      <c r="G41" s="1">
        <f>6*112</f>
        <v>672</v>
      </c>
      <c r="H41" s="27">
        <f>G41*210</f>
        <v>141120</v>
      </c>
      <c r="I41" s="82" t="b">
        <v>1</v>
      </c>
      <c r="J41" s="116">
        <f>IF(H41="","",+K41/H41)</f>
        <v>1.32</v>
      </c>
      <c r="K41" s="119">
        <v>186278.39999999999</v>
      </c>
      <c r="L41" s="58">
        <v>0</v>
      </c>
      <c r="M41" s="22">
        <f>(34.69+63.45)*4</f>
        <v>392.56</v>
      </c>
      <c r="N41" s="58"/>
      <c r="O41" s="58"/>
      <c r="P41" s="59"/>
      <c r="Q41" s="59"/>
      <c r="R41" s="59">
        <f>3*57.04+57.04+57.04</f>
        <v>285.2</v>
      </c>
      <c r="S41" s="59"/>
      <c r="T41" s="59"/>
      <c r="U41" s="19">
        <f t="shared" si="5"/>
        <v>186670.96</v>
      </c>
      <c r="V41" s="128">
        <f>IF(J41="","",+U41/H41)</f>
        <v>1.3227817460317459</v>
      </c>
      <c r="X41" s="79" t="s">
        <v>130</v>
      </c>
      <c r="Y41" s="42">
        <v>45672</v>
      </c>
      <c r="AA41" s="2"/>
      <c r="AB41" s="2"/>
      <c r="AC41" s="132" t="str">
        <f t="shared" si="6"/>
        <v/>
      </c>
    </row>
    <row r="42" spans="1:29" ht="15.75">
      <c r="A42" s="54" t="s">
        <v>131</v>
      </c>
      <c r="B42" s="3" t="s">
        <v>132</v>
      </c>
      <c r="C42" s="3" t="s">
        <v>133</v>
      </c>
      <c r="D42" s="13" t="s">
        <v>134</v>
      </c>
      <c r="E42" s="3" t="str">
        <f t="shared" si="9"/>
        <v>Direct</v>
      </c>
      <c r="F42" s="3" t="s">
        <v>121</v>
      </c>
      <c r="G42" s="65">
        <v>32</v>
      </c>
      <c r="H42" s="53">
        <f>G42*220</f>
        <v>7040</v>
      </c>
      <c r="I42" s="82" t="b">
        <v>1</v>
      </c>
      <c r="J42" s="116">
        <f t="shared" ref="J42:J105" si="10">IF(H42="","",+K42/H42)</f>
        <v>1.45</v>
      </c>
      <c r="K42" s="119">
        <v>10208</v>
      </c>
      <c r="L42" s="58">
        <v>704</v>
      </c>
      <c r="M42" s="58"/>
      <c r="N42" s="58"/>
      <c r="O42" s="58"/>
      <c r="P42" s="59"/>
      <c r="Q42" s="59"/>
      <c r="R42" s="59"/>
      <c r="S42" s="59"/>
      <c r="T42" s="59"/>
      <c r="U42" s="19">
        <f t="shared" si="5"/>
        <v>10912</v>
      </c>
      <c r="V42" s="128">
        <f t="shared" ref="V42:V105" si="11">IF(J42="","",+U42/H42)</f>
        <v>1.55</v>
      </c>
      <c r="X42" s="54"/>
      <c r="Y42" s="56"/>
      <c r="AA42" s="2"/>
      <c r="AB42" s="2"/>
      <c r="AC42" s="132" t="str">
        <f t="shared" si="6"/>
        <v/>
      </c>
    </row>
    <row r="43" spans="1:29" ht="15.75">
      <c r="A43" s="29" t="s">
        <v>135</v>
      </c>
      <c r="B43" s="3" t="s">
        <v>136</v>
      </c>
      <c r="C43" s="3" t="s">
        <v>133</v>
      </c>
      <c r="D43" s="13" t="s">
        <v>134</v>
      </c>
      <c r="E43" s="3" t="str">
        <f t="shared" si="9"/>
        <v>Direct</v>
      </c>
      <c r="F43" s="3" t="s">
        <v>121</v>
      </c>
      <c r="G43" s="65">
        <v>8</v>
      </c>
      <c r="H43" s="53">
        <f>G43*220</f>
        <v>1760</v>
      </c>
      <c r="I43" s="82" t="b">
        <v>1</v>
      </c>
      <c r="J43" s="116">
        <f t="shared" si="10"/>
        <v>1.24</v>
      </c>
      <c r="K43" s="119">
        <v>2182.4</v>
      </c>
      <c r="L43" s="58">
        <v>176</v>
      </c>
      <c r="M43" s="58"/>
      <c r="N43" s="58"/>
      <c r="O43" s="58"/>
      <c r="P43" s="59"/>
      <c r="Q43" s="59"/>
      <c r="R43" s="59"/>
      <c r="S43" s="59"/>
      <c r="T43" s="59"/>
      <c r="U43" s="19">
        <f t="shared" si="5"/>
        <v>2358.4</v>
      </c>
      <c r="V43" s="128">
        <f t="shared" si="11"/>
        <v>1.34</v>
      </c>
      <c r="X43" s="54"/>
      <c r="Y43" s="56"/>
      <c r="AA43" s="2"/>
      <c r="AB43" s="2"/>
      <c r="AC43" s="132" t="str">
        <f t="shared" si="6"/>
        <v/>
      </c>
    </row>
    <row r="44" spans="1:29" ht="15.75">
      <c r="A44" s="54" t="s">
        <v>137</v>
      </c>
      <c r="B44" s="3" t="s">
        <v>103</v>
      </c>
      <c r="C44" s="9" t="s">
        <v>62</v>
      </c>
      <c r="D44" s="3" t="s">
        <v>104</v>
      </c>
      <c r="E44" s="3" t="str">
        <f t="shared" si="9"/>
        <v>Direct</v>
      </c>
      <c r="F44" s="10" t="s">
        <v>31</v>
      </c>
      <c r="G44" s="1">
        <f>6*112</f>
        <v>672</v>
      </c>
      <c r="H44" s="27">
        <f>G44*210</f>
        <v>141120</v>
      </c>
      <c r="I44" s="82" t="b">
        <v>1</v>
      </c>
      <c r="J44" s="116">
        <f t="shared" si="10"/>
        <v>1.2899999999999998</v>
      </c>
      <c r="K44" s="117">
        <v>182044.79999999999</v>
      </c>
      <c r="L44" s="22">
        <v>0</v>
      </c>
      <c r="M44" s="22">
        <f>(98.14*(6/18))+(98.14*(6/18))-(98.14*(6/18))</f>
        <v>32.713333333333331</v>
      </c>
      <c r="N44" s="22"/>
      <c r="O44" s="22"/>
      <c r="P44" s="23"/>
      <c r="Q44" s="23"/>
      <c r="R44" s="23"/>
      <c r="S44" s="23"/>
      <c r="T44" s="23"/>
      <c r="U44" s="19">
        <f t="shared" si="5"/>
        <v>182077.51333333334</v>
      </c>
      <c r="V44" s="128">
        <f t="shared" si="11"/>
        <v>1.2902318121693122</v>
      </c>
      <c r="X44" s="54"/>
      <c r="Y44" s="56"/>
      <c r="AA44" s="2"/>
      <c r="AB44" s="2"/>
      <c r="AC44" s="132" t="str">
        <f t="shared" si="6"/>
        <v/>
      </c>
    </row>
    <row r="45" spans="1:29" ht="15.75">
      <c r="A45" s="29" t="s">
        <v>138</v>
      </c>
      <c r="B45" s="3" t="s">
        <v>106</v>
      </c>
      <c r="C45" s="3" t="s">
        <v>62</v>
      </c>
      <c r="D45" s="3" t="s">
        <v>104</v>
      </c>
      <c r="E45" s="3" t="str">
        <f t="shared" si="9"/>
        <v>Direct</v>
      </c>
      <c r="F45" s="3" t="s">
        <v>31</v>
      </c>
      <c r="G45" s="3">
        <f>12*112</f>
        <v>1344</v>
      </c>
      <c r="H45" s="28">
        <f>G45*210</f>
        <v>282240</v>
      </c>
      <c r="I45" s="82" t="b">
        <v>1</v>
      </c>
      <c r="J45" s="116">
        <f t="shared" si="10"/>
        <v>1.33</v>
      </c>
      <c r="K45" s="117">
        <v>375379.20000000001</v>
      </c>
      <c r="L45" s="22">
        <v>0</v>
      </c>
      <c r="M45" s="22">
        <f>(98.14*(12/18))+(98.14*(12/18))-(98.14*(12/18))</f>
        <v>65.426666666666662</v>
      </c>
      <c r="N45" s="22"/>
      <c r="O45" s="22"/>
      <c r="P45" s="23"/>
      <c r="Q45" s="23"/>
      <c r="R45" s="23">
        <v>57.04</v>
      </c>
      <c r="S45" s="23"/>
      <c r="T45" s="23"/>
      <c r="U45" s="19">
        <f>IF(B45="","",K45+SUM(L45:Q45))</f>
        <v>375444.62666666671</v>
      </c>
      <c r="V45" s="128">
        <f t="shared" si="11"/>
        <v>1.3302318121693124</v>
      </c>
      <c r="X45" s="54"/>
      <c r="Y45" s="56"/>
      <c r="AA45" s="2"/>
      <c r="AB45" s="2"/>
      <c r="AC45" s="132" t="str">
        <f t="shared" si="6"/>
        <v/>
      </c>
    </row>
    <row r="46" spans="1:29" ht="15.75">
      <c r="A46" s="29" t="s">
        <v>139</v>
      </c>
      <c r="B46" s="3" t="s">
        <v>140</v>
      </c>
      <c r="C46" s="3" t="s">
        <v>62</v>
      </c>
      <c r="D46" s="3" t="s">
        <v>104</v>
      </c>
      <c r="E46" s="3" t="str">
        <f t="shared" si="0"/>
        <v>Direct</v>
      </c>
      <c r="F46" s="3" t="s">
        <v>31</v>
      </c>
      <c r="G46" s="3">
        <v>896</v>
      </c>
      <c r="H46" s="28">
        <f>+G46*210</f>
        <v>188160</v>
      </c>
      <c r="I46" s="82" t="b">
        <v>1</v>
      </c>
      <c r="J46" s="116">
        <f t="shared" si="10"/>
        <v>1.07</v>
      </c>
      <c r="K46" s="117">
        <v>201331.20000000001</v>
      </c>
      <c r="L46" s="22">
        <v>0</v>
      </c>
      <c r="M46" s="22">
        <v>686.98</v>
      </c>
      <c r="N46" s="22"/>
      <c r="O46" s="22"/>
      <c r="P46" s="23"/>
      <c r="Q46" s="23"/>
      <c r="R46" s="23">
        <f>57.04+57.04+57.04+57.04</f>
        <v>228.16</v>
      </c>
      <c r="S46" s="23"/>
      <c r="T46" s="23"/>
      <c r="U46" s="19">
        <f t="shared" si="5"/>
        <v>202018.18000000002</v>
      </c>
      <c r="V46" s="128">
        <f t="shared" si="11"/>
        <v>1.0736510416666667</v>
      </c>
      <c r="X46" s="80" t="s">
        <v>141</v>
      </c>
      <c r="Y46" s="72">
        <v>45726</v>
      </c>
      <c r="AA46" s="2"/>
      <c r="AB46" s="2"/>
      <c r="AC46" s="132" t="str">
        <f t="shared" si="6"/>
        <v/>
      </c>
    </row>
    <row r="47" spans="1:29" ht="15.75">
      <c r="A47" s="29" t="s">
        <v>142</v>
      </c>
      <c r="B47" s="3" t="s">
        <v>143</v>
      </c>
      <c r="C47" s="9" t="s">
        <v>119</v>
      </c>
      <c r="D47" s="3" t="s">
        <v>144</v>
      </c>
      <c r="E47" s="3" t="str">
        <f t="shared" si="0"/>
        <v>Direct</v>
      </c>
      <c r="F47" s="10" t="s">
        <v>121</v>
      </c>
      <c r="G47" s="1">
        <v>110</v>
      </c>
      <c r="H47" s="27">
        <v>1100</v>
      </c>
      <c r="I47" s="82" t="b">
        <v>1</v>
      </c>
      <c r="J47" s="116">
        <f t="shared" si="10"/>
        <v>1.085</v>
      </c>
      <c r="K47" s="117">
        <v>1193.5</v>
      </c>
      <c r="L47" s="22">
        <v>485</v>
      </c>
      <c r="M47" s="22"/>
      <c r="N47" s="22"/>
      <c r="O47" s="22"/>
      <c r="P47" s="23"/>
      <c r="Q47" s="23"/>
      <c r="R47" s="23"/>
      <c r="S47" s="23"/>
      <c r="T47" s="23"/>
      <c r="U47" s="19">
        <f t="shared" si="5"/>
        <v>1678.5</v>
      </c>
      <c r="V47" s="128">
        <f t="shared" si="11"/>
        <v>1.5259090909090909</v>
      </c>
      <c r="X47" s="54"/>
      <c r="Y47" s="56"/>
      <c r="AA47" s="2"/>
      <c r="AB47" s="2"/>
      <c r="AC47" s="132" t="str">
        <f t="shared" si="6"/>
        <v/>
      </c>
    </row>
    <row r="48" spans="1:29" ht="15.75">
      <c r="A48" s="29" t="s">
        <v>145</v>
      </c>
      <c r="B48" s="3" t="s">
        <v>93</v>
      </c>
      <c r="C48" s="3" t="s">
        <v>90</v>
      </c>
      <c r="D48" s="3" t="s">
        <v>112</v>
      </c>
      <c r="E48" s="3" t="str">
        <f t="shared" si="0"/>
        <v>Direct</v>
      </c>
      <c r="F48" s="3" t="s">
        <v>59</v>
      </c>
      <c r="G48" s="3">
        <v>112</v>
      </c>
      <c r="H48" s="28">
        <f>G48*205</f>
        <v>22960</v>
      </c>
      <c r="I48" s="82" t="b">
        <v>1</v>
      </c>
      <c r="J48" s="116">
        <f t="shared" si="10"/>
        <v>0.62488129154795824</v>
      </c>
      <c r="K48" s="117">
        <f>15107.68/1.053</f>
        <v>14347.274453941121</v>
      </c>
      <c r="L48" s="22">
        <f>(1798/1.037)+(528+69.25+450+80+35+1190+842.65)</f>
        <v>4928.7476374156222</v>
      </c>
      <c r="M48" s="22">
        <f>1782.27+35.65+96</f>
        <v>1913.92</v>
      </c>
      <c r="N48" s="22">
        <f>195+300+110</f>
        <v>605</v>
      </c>
      <c r="O48" s="22"/>
      <c r="P48" s="23"/>
      <c r="Q48" s="23"/>
      <c r="R48" s="23">
        <v>6.5</v>
      </c>
      <c r="S48" s="23"/>
      <c r="T48" s="23"/>
      <c r="U48" s="19">
        <f t="shared" si="5"/>
        <v>21794.942091356745</v>
      </c>
      <c r="V48" s="128">
        <f t="shared" si="11"/>
        <v>0.94925705972808117</v>
      </c>
      <c r="X48" s="54"/>
      <c r="Y48" s="56"/>
      <c r="AA48" s="2"/>
      <c r="AB48" s="2"/>
      <c r="AC48" s="132" t="str">
        <f t="shared" si="6"/>
        <v/>
      </c>
    </row>
    <row r="49" spans="1:29" ht="15.75">
      <c r="A49" s="29" t="s">
        <v>146</v>
      </c>
      <c r="B49" s="3" t="s">
        <v>147</v>
      </c>
      <c r="C49" s="3" t="s">
        <v>133</v>
      </c>
      <c r="D49" s="3" t="s">
        <v>148</v>
      </c>
      <c r="E49" s="3" t="str">
        <f t="shared" si="0"/>
        <v>Direct</v>
      </c>
      <c r="F49" s="3" t="s">
        <v>121</v>
      </c>
      <c r="G49" s="3">
        <v>12</v>
      </c>
      <c r="H49" s="28">
        <f>G49*220</f>
        <v>2640</v>
      </c>
      <c r="I49" s="82" t="b">
        <v>1</v>
      </c>
      <c r="J49" s="116">
        <f t="shared" si="10"/>
        <v>1.8099999999999998</v>
      </c>
      <c r="K49" s="117">
        <v>4778.3999999999996</v>
      </c>
      <c r="L49" s="22">
        <v>380</v>
      </c>
      <c r="M49" s="22"/>
      <c r="N49" s="22"/>
      <c r="O49" s="22"/>
      <c r="P49" s="23"/>
      <c r="Q49" s="23"/>
      <c r="R49" s="23"/>
      <c r="S49" s="23"/>
      <c r="T49" s="23"/>
      <c r="U49" s="19">
        <f t="shared" ref="U49:U112" si="12">IF(B49="","",K49+SUM(L49:Q49))</f>
        <v>5158.3999999999996</v>
      </c>
      <c r="V49" s="128">
        <f t="shared" si="11"/>
        <v>1.9539393939393939</v>
      </c>
      <c r="X49" s="54"/>
      <c r="Y49" s="56"/>
      <c r="AA49" s="2"/>
      <c r="AB49" s="2"/>
      <c r="AC49" s="132" t="str">
        <f t="shared" si="6"/>
        <v/>
      </c>
    </row>
    <row r="50" spans="1:29" ht="15.75">
      <c r="A50" s="29" t="s">
        <v>149</v>
      </c>
      <c r="B50" s="3" t="s">
        <v>143</v>
      </c>
      <c r="C50" s="9" t="s">
        <v>119</v>
      </c>
      <c r="D50" s="3" t="s">
        <v>150</v>
      </c>
      <c r="E50" s="3" t="str">
        <f t="shared" si="0"/>
        <v>Direct</v>
      </c>
      <c r="F50" s="10" t="s">
        <v>121</v>
      </c>
      <c r="G50" s="1">
        <v>110</v>
      </c>
      <c r="H50" s="27">
        <v>1100</v>
      </c>
      <c r="I50" s="82" t="b">
        <v>1</v>
      </c>
      <c r="J50" s="116">
        <f t="shared" si="10"/>
        <v>1.085</v>
      </c>
      <c r="K50" s="117">
        <v>1193.5</v>
      </c>
      <c r="L50" s="22">
        <v>480</v>
      </c>
      <c r="M50" s="22"/>
      <c r="N50" s="22"/>
      <c r="O50" s="22"/>
      <c r="P50" s="23"/>
      <c r="Q50" s="23"/>
      <c r="R50" s="23"/>
      <c r="S50" s="23"/>
      <c r="T50" s="23"/>
      <c r="U50" s="19">
        <f t="shared" si="12"/>
        <v>1673.5</v>
      </c>
      <c r="V50" s="128">
        <f t="shared" si="11"/>
        <v>1.5213636363636365</v>
      </c>
      <c r="X50" s="54"/>
      <c r="Y50" s="56"/>
      <c r="AA50" s="2"/>
      <c r="AB50" s="2"/>
      <c r="AC50" s="132" t="str">
        <f t="shared" si="6"/>
        <v/>
      </c>
    </row>
    <row r="51" spans="1:29" ht="15.75">
      <c r="A51" s="29" t="s">
        <v>151</v>
      </c>
      <c r="B51" s="3" t="s">
        <v>143</v>
      </c>
      <c r="C51" s="9" t="s">
        <v>119</v>
      </c>
      <c r="D51" s="3" t="s">
        <v>144</v>
      </c>
      <c r="E51" s="3" t="str">
        <f t="shared" si="0"/>
        <v>Direct</v>
      </c>
      <c r="F51" s="10" t="s">
        <v>121</v>
      </c>
      <c r="G51" s="1">
        <v>110</v>
      </c>
      <c r="H51" s="27">
        <v>1100</v>
      </c>
      <c r="I51" s="82" t="b">
        <v>1</v>
      </c>
      <c r="J51" s="116">
        <f t="shared" si="10"/>
        <v>1.085</v>
      </c>
      <c r="K51" s="117">
        <v>1193.5</v>
      </c>
      <c r="L51" s="22">
        <v>485</v>
      </c>
      <c r="M51" s="22"/>
      <c r="N51" s="22"/>
      <c r="O51" s="22"/>
      <c r="P51" s="23"/>
      <c r="Q51" s="23"/>
      <c r="R51" s="23"/>
      <c r="S51" s="23"/>
      <c r="T51" s="23"/>
      <c r="U51" s="19">
        <f t="shared" si="12"/>
        <v>1678.5</v>
      </c>
      <c r="V51" s="128">
        <f t="shared" si="11"/>
        <v>1.5259090909090909</v>
      </c>
      <c r="X51" s="54"/>
      <c r="Y51" s="56"/>
      <c r="AA51" s="2"/>
      <c r="AB51" s="2"/>
      <c r="AC51" s="132" t="str">
        <f t="shared" si="6"/>
        <v/>
      </c>
    </row>
    <row r="52" spans="1:29" ht="15.75">
      <c r="A52" s="29" t="s">
        <v>152</v>
      </c>
      <c r="B52" s="3" t="s">
        <v>153</v>
      </c>
      <c r="C52" s="3" t="s">
        <v>126</v>
      </c>
      <c r="D52" s="3" t="s">
        <v>127</v>
      </c>
      <c r="E52" s="3" t="str">
        <f>IF(B52="","",IF(D52="Godfroy","Godfroy",(IF(LEFT(B52,1)="1","Hiwa","Direct"))))</f>
        <v>Direct</v>
      </c>
      <c r="F52" s="3" t="s">
        <v>128</v>
      </c>
      <c r="G52" s="3">
        <v>4</v>
      </c>
      <c r="H52" s="28">
        <v>880</v>
      </c>
      <c r="I52" s="82" t="b">
        <v>1</v>
      </c>
      <c r="J52" s="116">
        <f t="shared" si="10"/>
        <v>0.92999999999999994</v>
      </c>
      <c r="K52" s="117">
        <v>818.4</v>
      </c>
      <c r="L52" s="22">
        <v>197.29</v>
      </c>
      <c r="M52" s="22"/>
      <c r="N52" s="22"/>
      <c r="O52" s="22"/>
      <c r="P52" s="23"/>
      <c r="Q52" s="23"/>
      <c r="R52" s="23"/>
      <c r="S52" s="23"/>
      <c r="T52" s="23"/>
      <c r="U52" s="19">
        <f t="shared" si="12"/>
        <v>1015.6899999999999</v>
      </c>
      <c r="V52" s="128">
        <f t="shared" si="11"/>
        <v>1.1541931818181816</v>
      </c>
      <c r="X52" s="54"/>
      <c r="Y52" s="56"/>
      <c r="AA52" s="2"/>
      <c r="AB52" s="2"/>
      <c r="AC52" s="132" t="str">
        <f t="shared" si="6"/>
        <v/>
      </c>
    </row>
    <row r="53" spans="1:29" ht="15.75">
      <c r="A53" s="29" t="s">
        <v>154</v>
      </c>
      <c r="B53" s="3" t="s">
        <v>89</v>
      </c>
      <c r="C53" s="9" t="s">
        <v>90</v>
      </c>
      <c r="D53" s="3" t="s">
        <v>30</v>
      </c>
      <c r="E53" s="3" t="str">
        <f t="shared" ref="E53" si="13">IF(B53="","",IF(D53="Godfroy","Godfroy",(IF(LEFT(B53,1)="1","Hiwa","Direct"))))</f>
        <v>Hiwa</v>
      </c>
      <c r="F53" s="10" t="s">
        <v>59</v>
      </c>
      <c r="G53" s="1">
        <v>512</v>
      </c>
      <c r="H53" s="27">
        <f>G53*205</f>
        <v>104960</v>
      </c>
      <c r="I53" s="82" t="b">
        <v>1</v>
      </c>
      <c r="J53" s="116">
        <f t="shared" si="10"/>
        <v>0.6457739791073126</v>
      </c>
      <c r="K53" s="117">
        <f>71372.8/1.053</f>
        <v>67780.436847103527</v>
      </c>
      <c r="L53" s="22">
        <f>6184/1.037</f>
        <v>5963.3558341369335</v>
      </c>
      <c r="M53" s="22">
        <f>2116.54+2116.54+4233.08</f>
        <v>8466.16</v>
      </c>
      <c r="N53" s="22"/>
      <c r="O53" s="22">
        <v>5051.28</v>
      </c>
      <c r="P53" s="23">
        <f>125.31+48.95+125.31+48.95+47.97+47.97+47.97</f>
        <v>492.43000000000006</v>
      </c>
      <c r="Q53" s="23">
        <f>(4.95*4)+1.85+1.78</f>
        <v>23.430000000000003</v>
      </c>
      <c r="R53" s="23">
        <f>57.04+(2*57.04)+114.08+57.04+57.04+57.04</f>
        <v>456.32000000000005</v>
      </c>
      <c r="S53" s="23"/>
      <c r="T53" s="23"/>
      <c r="U53" s="19">
        <f>IF(B53="","",K53+SUM(L53:Q53))</f>
        <v>87777.092681240465</v>
      </c>
      <c r="V53" s="128">
        <f>IF(J53="","",+U53/H53)</f>
        <v>0.83629089825876968</v>
      </c>
      <c r="X53" s="80" t="s">
        <v>155</v>
      </c>
      <c r="Y53" s="72">
        <v>45719</v>
      </c>
      <c r="AA53" s="2"/>
      <c r="AB53" s="2"/>
      <c r="AC53" s="132" t="str">
        <f t="shared" si="6"/>
        <v/>
      </c>
    </row>
    <row r="54" spans="1:29" ht="15.75">
      <c r="A54" s="29" t="s">
        <v>156</v>
      </c>
      <c r="B54" s="3" t="s">
        <v>157</v>
      </c>
      <c r="C54" s="3" t="s">
        <v>126</v>
      </c>
      <c r="D54" s="3" t="s">
        <v>158</v>
      </c>
      <c r="E54" s="3" t="str">
        <f>IF(B54="","",IF(D54="Godfroy","Godfroy",(IF(LEFT(B54,1)="1","Hiwa","Direct"))))</f>
        <v>Direct</v>
      </c>
      <c r="F54" s="3" t="s">
        <v>128</v>
      </c>
      <c r="G54" s="3">
        <v>24</v>
      </c>
      <c r="H54" s="28">
        <f>G54*21</f>
        <v>504</v>
      </c>
      <c r="I54" s="82" t="b">
        <v>1</v>
      </c>
      <c r="J54" s="116">
        <f t="shared" si="10"/>
        <v>1</v>
      </c>
      <c r="K54" s="117">
        <v>504</v>
      </c>
      <c r="L54" s="22">
        <v>270</v>
      </c>
      <c r="M54" s="22"/>
      <c r="N54" s="22"/>
      <c r="O54" s="22"/>
      <c r="P54" s="23"/>
      <c r="Q54" s="23"/>
      <c r="R54" s="23"/>
      <c r="S54" s="23"/>
      <c r="T54" s="23"/>
      <c r="U54" s="19">
        <f t="shared" si="12"/>
        <v>774</v>
      </c>
      <c r="V54" s="128">
        <f t="shared" si="11"/>
        <v>1.5357142857142858</v>
      </c>
      <c r="X54" s="54"/>
      <c r="Y54" s="56"/>
      <c r="AA54" s="2"/>
      <c r="AB54" s="2"/>
      <c r="AC54" s="132" t="str">
        <f t="shared" si="6"/>
        <v/>
      </c>
    </row>
    <row r="55" spans="1:29" ht="15.75">
      <c r="A55" s="29" t="s">
        <v>159</v>
      </c>
      <c r="B55" s="3" t="s">
        <v>157</v>
      </c>
      <c r="C55" s="3" t="s">
        <v>126</v>
      </c>
      <c r="D55" s="3" t="s">
        <v>158</v>
      </c>
      <c r="E55" s="3" t="str">
        <f>IF(B55="","",IF(D55="Godfroy","Godfroy",(IF(LEFT(B55,1)="1","Hiwa","Direct"))))</f>
        <v>Direct</v>
      </c>
      <c r="F55" s="3" t="s">
        <v>128</v>
      </c>
      <c r="G55" s="3">
        <v>24</v>
      </c>
      <c r="H55" s="28">
        <f>G55*21</f>
        <v>504</v>
      </c>
      <c r="I55" s="82" t="b">
        <v>1</v>
      </c>
      <c r="J55" s="116">
        <f t="shared" si="10"/>
        <v>1</v>
      </c>
      <c r="K55" s="117">
        <v>504</v>
      </c>
      <c r="L55" s="22">
        <v>265</v>
      </c>
      <c r="M55" s="22"/>
      <c r="N55" s="22"/>
      <c r="O55" s="22"/>
      <c r="P55" s="23"/>
      <c r="Q55" s="23"/>
      <c r="R55" s="23"/>
      <c r="S55" s="23"/>
      <c r="T55" s="23"/>
      <c r="U55" s="19">
        <f t="shared" si="12"/>
        <v>769</v>
      </c>
      <c r="V55" s="128">
        <f t="shared" si="11"/>
        <v>1.5257936507936507</v>
      </c>
      <c r="X55" s="54"/>
      <c r="Y55" s="56"/>
      <c r="AA55" s="2"/>
      <c r="AB55" s="2"/>
      <c r="AC55" s="132" t="str">
        <f t="shared" si="6"/>
        <v/>
      </c>
    </row>
    <row r="56" spans="1:29" ht="15.75">
      <c r="A56" s="29" t="s">
        <v>160</v>
      </c>
      <c r="B56" s="3" t="s">
        <v>103</v>
      </c>
      <c r="C56" s="9" t="s">
        <v>62</v>
      </c>
      <c r="D56" s="3" t="s">
        <v>104</v>
      </c>
      <c r="E56" s="3" t="str">
        <f t="shared" ref="E56:E60" si="14">IF(B56="","",IF(D56="Godfroy","Godfroy",(IF(LEFT(B56,1)="1","Hiwa","Direct"))))</f>
        <v>Direct</v>
      </c>
      <c r="F56" s="10" t="s">
        <v>31</v>
      </c>
      <c r="G56" s="1">
        <f>3*112</f>
        <v>336</v>
      </c>
      <c r="H56" s="27">
        <f>G56*210</f>
        <v>70560</v>
      </c>
      <c r="I56" s="82" t="b">
        <v>1</v>
      </c>
      <c r="J56" s="116">
        <f t="shared" si="10"/>
        <v>1.3009999999999999</v>
      </c>
      <c r="K56" s="117">
        <v>91798.56</v>
      </c>
      <c r="L56" s="22">
        <v>0</v>
      </c>
      <c r="M56" s="22">
        <f>(2*34.69)+(2*63.45)</f>
        <v>196.28</v>
      </c>
      <c r="N56" s="22"/>
      <c r="O56" s="22"/>
      <c r="P56" s="23"/>
      <c r="Q56" s="23"/>
      <c r="R56" s="23">
        <f>57.04+(57.04/2)</f>
        <v>85.56</v>
      </c>
      <c r="S56" s="23"/>
      <c r="T56" s="23"/>
      <c r="U56" s="19">
        <f t="shared" si="12"/>
        <v>91994.84</v>
      </c>
      <c r="V56" s="128">
        <f t="shared" si="11"/>
        <v>1.303781746031746</v>
      </c>
      <c r="X56" s="80" t="s">
        <v>162</v>
      </c>
      <c r="Y56" s="72">
        <v>45762</v>
      </c>
      <c r="AA56" s="2"/>
      <c r="AB56" s="2"/>
      <c r="AC56" s="132" t="str">
        <f t="shared" si="6"/>
        <v/>
      </c>
    </row>
    <row r="57" spans="1:29" ht="15.75">
      <c r="A57" s="29" t="s">
        <v>163</v>
      </c>
      <c r="B57" s="3" t="s">
        <v>106</v>
      </c>
      <c r="C57" s="3" t="s">
        <v>62</v>
      </c>
      <c r="D57" s="3" t="s">
        <v>104</v>
      </c>
      <c r="E57" s="3" t="str">
        <f t="shared" si="14"/>
        <v>Direct</v>
      </c>
      <c r="F57" s="3" t="s">
        <v>31</v>
      </c>
      <c r="G57" s="3">
        <f>5*112</f>
        <v>560</v>
      </c>
      <c r="H57" s="28">
        <f>G57*210</f>
        <v>117600</v>
      </c>
      <c r="I57" s="82" t="b">
        <v>1</v>
      </c>
      <c r="J57" s="116">
        <f t="shared" si="10"/>
        <v>1.34</v>
      </c>
      <c r="K57" s="117">
        <v>157584</v>
      </c>
      <c r="L57" s="22">
        <v>0</v>
      </c>
      <c r="M57" s="22">
        <f>(3*34.69)+(3*63.45)</f>
        <v>294.42</v>
      </c>
      <c r="N57" s="22"/>
      <c r="O57" s="22"/>
      <c r="P57" s="23"/>
      <c r="Q57" s="23"/>
      <c r="R57" s="23">
        <f>57.14+57.14+(5*57.04)+(57.04/2)</f>
        <v>428</v>
      </c>
      <c r="S57" s="23"/>
      <c r="T57" s="23"/>
      <c r="U57" s="19">
        <f t="shared" si="12"/>
        <v>157878.42000000001</v>
      </c>
      <c r="V57" s="128">
        <f t="shared" si="11"/>
        <v>1.3425035714285716</v>
      </c>
      <c r="X57" s="80" t="s">
        <v>164</v>
      </c>
      <c r="Y57" s="72">
        <v>45762</v>
      </c>
      <c r="AA57" s="2"/>
      <c r="AB57" s="2"/>
      <c r="AC57" s="132" t="str">
        <f t="shared" si="6"/>
        <v/>
      </c>
    </row>
    <row r="58" spans="1:29" ht="15.75">
      <c r="A58" s="29" t="s">
        <v>165</v>
      </c>
      <c r="B58" s="3" t="s">
        <v>86</v>
      </c>
      <c r="C58" s="3" t="s">
        <v>80</v>
      </c>
      <c r="D58" s="13" t="s">
        <v>87</v>
      </c>
      <c r="E58" s="3" t="str">
        <f t="shared" si="14"/>
        <v>Direct</v>
      </c>
      <c r="F58" s="3" t="s">
        <v>46</v>
      </c>
      <c r="G58" s="3">
        <v>112</v>
      </c>
      <c r="H58" s="28">
        <v>24080</v>
      </c>
      <c r="I58" s="82" t="b">
        <v>1</v>
      </c>
      <c r="J58" s="116">
        <f t="shared" si="10"/>
        <v>1.5890613451589062</v>
      </c>
      <c r="K58" s="117">
        <f>41417.6/1.0824</f>
        <v>38264.597191426459</v>
      </c>
      <c r="L58" s="22">
        <v>1513</v>
      </c>
      <c r="M58" s="22">
        <f>2744+29+90</f>
        <v>2863</v>
      </c>
      <c r="N58" s="22"/>
      <c r="O58" s="22"/>
      <c r="P58" s="23"/>
      <c r="Q58" s="23"/>
      <c r="R58" s="23"/>
      <c r="S58" s="23"/>
      <c r="T58" s="23"/>
      <c r="U58" s="19">
        <f t="shared" si="12"/>
        <v>42640.597191426459</v>
      </c>
      <c r="V58" s="128">
        <f t="shared" si="11"/>
        <v>1.7707889199097366</v>
      </c>
      <c r="X58" s="54"/>
      <c r="Y58" s="56"/>
      <c r="AA58" s="2"/>
      <c r="AB58" s="2"/>
      <c r="AC58" s="132" t="str">
        <f t="shared" si="6"/>
        <v/>
      </c>
    </row>
    <row r="59" spans="1:29" ht="15.75">
      <c r="A59" s="29" t="s">
        <v>166</v>
      </c>
      <c r="B59" s="3" t="s">
        <v>89</v>
      </c>
      <c r="C59" s="9" t="s">
        <v>90</v>
      </c>
      <c r="D59" s="3" t="s">
        <v>30</v>
      </c>
      <c r="E59" s="3" t="str">
        <f t="shared" si="14"/>
        <v>Hiwa</v>
      </c>
      <c r="F59" s="10" t="s">
        <v>59</v>
      </c>
      <c r="G59" s="1">
        <v>512</v>
      </c>
      <c r="H59" s="27">
        <f>G59*205</f>
        <v>104960</v>
      </c>
      <c r="I59" s="82" t="b">
        <v>1</v>
      </c>
      <c r="J59" s="116">
        <f t="shared" si="10"/>
        <v>0.6509045659040873</v>
      </c>
      <c r="K59" s="117">
        <f>71372.8/1.0447</f>
        <v>68318.943237293002</v>
      </c>
      <c r="L59" s="22">
        <f>6184/1.0845</f>
        <v>5702.1668971876443</v>
      </c>
      <c r="M59" s="22">
        <f>6087.93+(1876.65+63.45)</f>
        <v>8028.0300000000007</v>
      </c>
      <c r="N59" s="22"/>
      <c r="O59" s="22">
        <v>4996.12</v>
      </c>
      <c r="P59" s="23">
        <f>125.31+125.31</f>
        <v>250.62</v>
      </c>
      <c r="Q59" s="23">
        <f>4.73+4.73+4.73+4.73+4.66</f>
        <v>23.580000000000002</v>
      </c>
      <c r="R59" s="23">
        <f>(57.04*3)+57.04</f>
        <v>228.16</v>
      </c>
      <c r="S59" s="23"/>
      <c r="T59" s="23"/>
      <c r="U59" s="19">
        <f t="shared" si="12"/>
        <v>87319.460134480643</v>
      </c>
      <c r="V59" s="128">
        <f t="shared" si="11"/>
        <v>0.83193083207393903</v>
      </c>
      <c r="X59" s="80" t="s">
        <v>167</v>
      </c>
      <c r="Y59" s="72">
        <v>45750</v>
      </c>
      <c r="AA59" s="2"/>
      <c r="AB59" s="2"/>
      <c r="AC59" s="132" t="str">
        <f t="shared" si="6"/>
        <v/>
      </c>
    </row>
    <row r="60" spans="1:29" ht="15.75">
      <c r="A60" s="29" t="s">
        <v>168</v>
      </c>
      <c r="B60" s="3" t="s">
        <v>89</v>
      </c>
      <c r="C60" s="9" t="s">
        <v>90</v>
      </c>
      <c r="D60" s="3" t="s">
        <v>30</v>
      </c>
      <c r="E60" s="3" t="str">
        <f t="shared" si="14"/>
        <v>Hiwa</v>
      </c>
      <c r="F60" s="10" t="s">
        <v>59</v>
      </c>
      <c r="G60" s="1">
        <v>256</v>
      </c>
      <c r="H60" s="27">
        <f>G60*205</f>
        <v>52480</v>
      </c>
      <c r="I60" s="82" t="b">
        <v>1</v>
      </c>
      <c r="J60" s="116">
        <f t="shared" si="10"/>
        <v>0.64972291228740686</v>
      </c>
      <c r="K60" s="117">
        <f>35686.4/1.0466</f>
        <v>34097.45843684311</v>
      </c>
      <c r="L60" s="22">
        <f>3092/1.0845</f>
        <v>2851.0834485938221</v>
      </c>
      <c r="M60" s="22">
        <f>2*(1876.65+63.45)</f>
        <v>3880.2000000000003</v>
      </c>
      <c r="N60" s="22"/>
      <c r="O60" s="22">
        <v>2573.06</v>
      </c>
      <c r="P60" s="23">
        <f>125.31+125.31+125.31+125.31</f>
        <v>501.24</v>
      </c>
      <c r="Q60" s="23">
        <f>4.73+4.73+4.66+4.66</f>
        <v>18.78</v>
      </c>
      <c r="R60" s="23">
        <f>57.04+57.04</f>
        <v>114.08</v>
      </c>
      <c r="S60" s="23"/>
      <c r="T60" s="23"/>
      <c r="U60" s="19">
        <f t="shared" si="12"/>
        <v>43921.821885436933</v>
      </c>
      <c r="V60" s="128">
        <f t="shared" si="11"/>
        <v>0.83692495970725866</v>
      </c>
      <c r="X60" s="80" t="s">
        <v>169</v>
      </c>
      <c r="Y60" s="72">
        <v>45750</v>
      </c>
      <c r="AA60" s="2"/>
      <c r="AB60" s="2"/>
      <c r="AC60" s="132" t="str">
        <f t="shared" si="6"/>
        <v/>
      </c>
    </row>
    <row r="61" spans="1:29" ht="15.75">
      <c r="A61" s="29" t="s">
        <v>170</v>
      </c>
      <c r="B61" s="3" t="s">
        <v>171</v>
      </c>
      <c r="C61" s="3" t="s">
        <v>34</v>
      </c>
      <c r="D61" s="3" t="s">
        <v>172</v>
      </c>
      <c r="E61" s="3" t="s">
        <v>173</v>
      </c>
      <c r="F61" s="3" t="s">
        <v>36</v>
      </c>
      <c r="G61" s="3">
        <v>10</v>
      </c>
      <c r="H61" s="28">
        <v>250</v>
      </c>
      <c r="I61" s="82" t="b">
        <v>1</v>
      </c>
      <c r="J61" s="116">
        <f t="shared" si="10"/>
        <v>12.13</v>
      </c>
      <c r="K61" s="117">
        <v>3032.5</v>
      </c>
      <c r="L61" s="22">
        <f>180+(180*9%)</f>
        <v>196.2</v>
      </c>
      <c r="M61" s="22"/>
      <c r="N61" s="22"/>
      <c r="O61" s="22"/>
      <c r="P61" s="23"/>
      <c r="Q61" s="23"/>
      <c r="R61" s="23"/>
      <c r="S61" s="23"/>
      <c r="T61" s="23"/>
      <c r="U61" s="19">
        <f t="shared" si="12"/>
        <v>3228.7</v>
      </c>
      <c r="V61" s="128">
        <f t="shared" si="11"/>
        <v>12.9148</v>
      </c>
      <c r="X61" s="54"/>
      <c r="Y61" s="56"/>
      <c r="AA61" s="2"/>
      <c r="AB61" s="2"/>
      <c r="AC61" s="132" t="str">
        <f t="shared" si="6"/>
        <v/>
      </c>
    </row>
    <row r="62" spans="1:29" ht="15.75">
      <c r="A62" s="29" t="s">
        <v>174</v>
      </c>
      <c r="B62" s="3" t="s">
        <v>175</v>
      </c>
      <c r="C62" s="9" t="s">
        <v>176</v>
      </c>
      <c r="D62" s="3" t="s">
        <v>177</v>
      </c>
      <c r="E62" s="3" t="str">
        <f t="shared" ref="E62:E76" si="15">IF(B62="","",IF(D62="Godfroy","Godfroy",(IF(LEFT(B62,1)="1","Hiwa","Direct"))))</f>
        <v>Direct</v>
      </c>
      <c r="F62" s="10" t="s">
        <v>128</v>
      </c>
      <c r="G62" s="1">
        <v>14</v>
      </c>
      <c r="H62" s="27">
        <f>G62*24</f>
        <v>336</v>
      </c>
      <c r="I62" s="82" t="b">
        <v>1</v>
      </c>
      <c r="J62" s="116">
        <f>IF(H62="","",+K62/H62)</f>
        <v>2.2000000000000002</v>
      </c>
      <c r="K62" s="117">
        <v>739.2</v>
      </c>
      <c r="L62" s="22">
        <f>560*(14/(10+14))</f>
        <v>326.66666666666669</v>
      </c>
      <c r="M62" s="22"/>
      <c r="N62" s="22"/>
      <c r="O62" s="22"/>
      <c r="P62" s="23"/>
      <c r="Q62" s="23"/>
      <c r="R62" s="23"/>
      <c r="S62" s="23"/>
      <c r="T62" s="23"/>
      <c r="U62" s="19">
        <f>IF(B62="","",K62+SUM(L62:Q62))</f>
        <v>1065.8666666666668</v>
      </c>
      <c r="V62" s="128">
        <f>IF(J62="","",+U62/H62)</f>
        <v>3.1722222222222225</v>
      </c>
      <c r="X62" s="54"/>
      <c r="Y62" s="56"/>
      <c r="AA62" s="2"/>
      <c r="AB62" s="2"/>
      <c r="AC62" s="132" t="str">
        <f t="shared" si="6"/>
        <v/>
      </c>
    </row>
    <row r="63" spans="1:29" ht="15.75">
      <c r="A63" s="29" t="s">
        <v>178</v>
      </c>
      <c r="B63" s="3" t="s">
        <v>179</v>
      </c>
      <c r="C63" s="9" t="s">
        <v>176</v>
      </c>
      <c r="D63" s="3" t="s">
        <v>177</v>
      </c>
      <c r="E63" s="3" t="str">
        <f t="shared" si="15"/>
        <v>Direct</v>
      </c>
      <c r="F63" s="10" t="s">
        <v>128</v>
      </c>
      <c r="G63" s="1">
        <v>10</v>
      </c>
      <c r="H63" s="27">
        <f>G63*24</f>
        <v>240</v>
      </c>
      <c r="I63" s="82" t="b">
        <v>1</v>
      </c>
      <c r="J63" s="116">
        <f>IF(H63="","",+K63/H63)</f>
        <v>2.8</v>
      </c>
      <c r="K63" s="117">
        <v>672</v>
      </c>
      <c r="L63" s="22">
        <f>560*(10/(10+14))</f>
        <v>233.33333333333334</v>
      </c>
      <c r="M63" s="22"/>
      <c r="N63" s="22"/>
      <c r="O63" s="22"/>
      <c r="P63" s="23"/>
      <c r="Q63" s="23"/>
      <c r="R63" s="23"/>
      <c r="S63" s="23"/>
      <c r="T63" s="23"/>
      <c r="U63" s="19">
        <f>IF(B63="","",K63+SUM(L63:Q63))</f>
        <v>905.33333333333337</v>
      </c>
      <c r="V63" s="128">
        <f>IF(J63="","",+U63/H63)</f>
        <v>3.7722222222222226</v>
      </c>
      <c r="X63" s="54"/>
      <c r="Y63" s="56"/>
      <c r="AA63" s="2"/>
      <c r="AB63" s="2"/>
      <c r="AC63" s="132" t="str">
        <f t="shared" si="6"/>
        <v/>
      </c>
    </row>
    <row r="64" spans="1:29" ht="15.75">
      <c r="A64" s="29" t="s">
        <v>180</v>
      </c>
      <c r="B64" s="3" t="s">
        <v>103</v>
      </c>
      <c r="C64" s="9" t="s">
        <v>62</v>
      </c>
      <c r="D64" s="3" t="s">
        <v>177</v>
      </c>
      <c r="E64" s="3" t="str">
        <f t="shared" si="15"/>
        <v>Direct</v>
      </c>
      <c r="F64" s="10" t="s">
        <v>46</v>
      </c>
      <c r="G64" s="1">
        <v>112</v>
      </c>
      <c r="H64" s="27">
        <f>G64*210</f>
        <v>23520</v>
      </c>
      <c r="I64" s="82" t="b">
        <v>1</v>
      </c>
      <c r="J64" s="116">
        <f>IF(H64="","",+K64/H64)</f>
        <v>1.35</v>
      </c>
      <c r="K64" s="117">
        <v>31752</v>
      </c>
      <c r="L64" s="22">
        <v>2028.25</v>
      </c>
      <c r="M64" s="22">
        <v>90</v>
      </c>
      <c r="N64" s="22">
        <f>355+653</f>
        <v>1008</v>
      </c>
      <c r="O64" s="22"/>
      <c r="P64" s="23"/>
      <c r="Q64" s="23"/>
      <c r="R64" s="23"/>
      <c r="S64" s="23"/>
      <c r="T64" s="23"/>
      <c r="U64" s="19">
        <f>IF(B64="","",K64+SUM(L64:Q64))</f>
        <v>34878.25</v>
      </c>
      <c r="V64" s="128">
        <f>IF(J64="","",+U64/H64)</f>
        <v>1.4829187925170069</v>
      </c>
      <c r="X64" s="54"/>
      <c r="Y64" s="56"/>
      <c r="AA64" s="2"/>
      <c r="AB64" s="2"/>
      <c r="AC64" s="132" t="str">
        <f t="shared" si="6"/>
        <v/>
      </c>
    </row>
    <row r="65" spans="1:29" ht="15.75">
      <c r="A65" s="29" t="s">
        <v>181</v>
      </c>
      <c r="B65" s="3" t="s">
        <v>143</v>
      </c>
      <c r="C65" s="9" t="s">
        <v>119</v>
      </c>
      <c r="D65" s="3" t="s">
        <v>144</v>
      </c>
      <c r="E65" s="3" t="str">
        <f t="shared" si="15"/>
        <v>Direct</v>
      </c>
      <c r="F65" s="10" t="s">
        <v>121</v>
      </c>
      <c r="G65" s="1">
        <v>110</v>
      </c>
      <c r="H65" s="27">
        <v>1100</v>
      </c>
      <c r="I65" s="82" t="b">
        <v>1</v>
      </c>
      <c r="J65" s="116">
        <f t="shared" si="10"/>
        <v>1.085</v>
      </c>
      <c r="K65" s="117">
        <v>1193.5</v>
      </c>
      <c r="L65" s="22">
        <v>485</v>
      </c>
      <c r="M65" s="22"/>
      <c r="N65" s="22"/>
      <c r="O65" s="22"/>
      <c r="P65" s="23"/>
      <c r="Q65" s="23"/>
      <c r="R65" s="23"/>
      <c r="S65" s="23"/>
      <c r="T65" s="23"/>
      <c r="U65" s="19">
        <f t="shared" si="12"/>
        <v>1678.5</v>
      </c>
      <c r="V65" s="128">
        <f t="shared" si="11"/>
        <v>1.5259090909090909</v>
      </c>
      <c r="X65" s="54"/>
      <c r="Y65" s="56"/>
      <c r="AA65" s="2"/>
      <c r="AB65" s="2"/>
      <c r="AC65" s="132" t="str">
        <f t="shared" si="6"/>
        <v/>
      </c>
    </row>
    <row r="66" spans="1:29" ht="15.75">
      <c r="A66" s="29" t="s">
        <v>182</v>
      </c>
      <c r="B66" s="3" t="s">
        <v>183</v>
      </c>
      <c r="C66" s="3" t="s">
        <v>119</v>
      </c>
      <c r="D66" s="13" t="s">
        <v>184</v>
      </c>
      <c r="E66" s="3" t="str">
        <f t="shared" si="15"/>
        <v>Direct</v>
      </c>
      <c r="F66" s="3" t="s">
        <v>121</v>
      </c>
      <c r="G66" s="3">
        <v>4</v>
      </c>
      <c r="H66" s="28">
        <v>840</v>
      </c>
      <c r="I66" s="82" t="b">
        <v>1</v>
      </c>
      <c r="J66" s="116">
        <f t="shared" si="10"/>
        <v>2.1</v>
      </c>
      <c r="K66" s="117">
        <v>1764</v>
      </c>
      <c r="L66" s="22">
        <v>342.43</v>
      </c>
      <c r="M66" s="22"/>
      <c r="N66" s="22"/>
      <c r="O66" s="22"/>
      <c r="P66" s="23"/>
      <c r="Q66" s="23"/>
      <c r="R66" s="23"/>
      <c r="S66" s="23"/>
      <c r="T66" s="23"/>
      <c r="U66" s="19">
        <f t="shared" si="12"/>
        <v>2106.4299999999998</v>
      </c>
      <c r="V66" s="128">
        <f t="shared" si="11"/>
        <v>2.5076547619047616</v>
      </c>
      <c r="X66" s="54"/>
      <c r="Y66" s="56"/>
      <c r="AA66" s="2"/>
      <c r="AB66" s="2"/>
      <c r="AC66" s="132" t="str">
        <f t="shared" si="6"/>
        <v/>
      </c>
    </row>
    <row r="67" spans="1:29" s="98" customFormat="1" ht="15.75">
      <c r="A67" s="84" t="s">
        <v>185</v>
      </c>
      <c r="B67" s="85" t="s">
        <v>186</v>
      </c>
      <c r="C67" s="86" t="s">
        <v>29</v>
      </c>
      <c r="D67" s="87" t="s">
        <v>97</v>
      </c>
      <c r="E67" s="85" t="str">
        <f t="shared" si="15"/>
        <v>Direct</v>
      </c>
      <c r="F67" s="88" t="s">
        <v>46</v>
      </c>
      <c r="G67" s="89">
        <v>80</v>
      </c>
      <c r="H67" s="90">
        <f>G67*215</f>
        <v>17200</v>
      </c>
      <c r="I67" s="91" t="b">
        <v>0</v>
      </c>
      <c r="J67" s="120"/>
      <c r="K67" s="121"/>
      <c r="L67" s="94"/>
      <c r="M67" s="94"/>
      <c r="N67" s="94"/>
      <c r="O67" s="94"/>
      <c r="P67" s="95"/>
      <c r="Q67" s="95"/>
      <c r="R67" s="95"/>
      <c r="S67" s="95"/>
      <c r="T67" s="95"/>
      <c r="U67" s="96">
        <f t="shared" si="12"/>
        <v>0</v>
      </c>
      <c r="V67" s="129" t="str">
        <f t="shared" si="11"/>
        <v/>
      </c>
      <c r="X67" s="99"/>
      <c r="Y67" s="100"/>
      <c r="AA67" s="101"/>
      <c r="AB67" s="101"/>
      <c r="AC67" s="133" t="str">
        <f t="shared" si="6"/>
        <v/>
      </c>
    </row>
    <row r="68" spans="1:29" ht="15.75">
      <c r="A68" s="29" t="s">
        <v>187</v>
      </c>
      <c r="B68" s="3" t="s">
        <v>186</v>
      </c>
      <c r="C68" s="9" t="s">
        <v>29</v>
      </c>
      <c r="D68" s="3" t="s">
        <v>188</v>
      </c>
      <c r="E68" s="3" t="str">
        <f t="shared" si="15"/>
        <v>Direct</v>
      </c>
      <c r="F68" s="3" t="s">
        <v>46</v>
      </c>
      <c r="G68" s="3">
        <v>80</v>
      </c>
      <c r="H68" s="28">
        <v>17200</v>
      </c>
      <c r="I68" s="82" t="b">
        <v>1</v>
      </c>
      <c r="J68" s="116">
        <f t="shared" si="10"/>
        <v>0.94934398419549493</v>
      </c>
      <c r="K68" s="117">
        <f>17684/1.083</f>
        <v>16328.716528162513</v>
      </c>
      <c r="L68" s="22">
        <v>1533</v>
      </c>
      <c r="M68" s="22">
        <f>90+22</f>
        <v>112</v>
      </c>
      <c r="N68" s="22"/>
      <c r="O68" s="22"/>
      <c r="P68" s="23"/>
      <c r="Q68" s="23"/>
      <c r="R68" s="23"/>
      <c r="S68" s="23"/>
      <c r="T68" s="23"/>
      <c r="U68" s="19">
        <f t="shared" si="12"/>
        <v>17973.716528162513</v>
      </c>
      <c r="V68" s="128">
        <f t="shared" si="11"/>
        <v>1.0449835190792158</v>
      </c>
      <c r="X68" s="54"/>
      <c r="Y68" s="56"/>
      <c r="AA68" s="2"/>
      <c r="AB68" s="2"/>
      <c r="AC68" s="132" t="str">
        <f t="shared" si="6"/>
        <v/>
      </c>
    </row>
    <row r="69" spans="1:29" ht="15.75">
      <c r="A69" s="29" t="s">
        <v>189</v>
      </c>
      <c r="B69" s="3" t="s">
        <v>186</v>
      </c>
      <c r="C69" s="9" t="s">
        <v>29</v>
      </c>
      <c r="D69" s="3" t="s">
        <v>188</v>
      </c>
      <c r="E69" s="3" t="str">
        <f t="shared" si="15"/>
        <v>Direct</v>
      </c>
      <c r="F69" s="3" t="s">
        <v>46</v>
      </c>
      <c r="G69" s="3">
        <v>80</v>
      </c>
      <c r="H69" s="28">
        <v>17200</v>
      </c>
      <c r="I69" s="82" t="b">
        <v>1</v>
      </c>
      <c r="J69" s="116">
        <f t="shared" si="10"/>
        <v>0.91080641145154873</v>
      </c>
      <c r="K69" s="117">
        <f>17704/1.1301</f>
        <v>15665.870276966638</v>
      </c>
      <c r="L69" s="106"/>
      <c r="M69" s="22"/>
      <c r="N69" s="22"/>
      <c r="O69" s="22"/>
      <c r="P69" s="23"/>
      <c r="Q69" s="23"/>
      <c r="R69" s="23"/>
      <c r="S69" s="23"/>
      <c r="T69" s="23"/>
      <c r="U69" s="19">
        <f t="shared" si="12"/>
        <v>15665.870276966638</v>
      </c>
      <c r="V69" s="128">
        <f t="shared" si="11"/>
        <v>0.91080641145154873</v>
      </c>
      <c r="X69" s="54"/>
      <c r="Y69" s="56"/>
      <c r="AA69" s="2"/>
      <c r="AB69" s="2"/>
      <c r="AC69" s="132" t="str">
        <f t="shared" si="6"/>
        <v/>
      </c>
    </row>
    <row r="70" spans="1:29" ht="15.75">
      <c r="A70" s="29" t="s">
        <v>190</v>
      </c>
      <c r="B70" s="3" t="s">
        <v>93</v>
      </c>
      <c r="C70" s="3" t="s">
        <v>90</v>
      </c>
      <c r="D70" s="3" t="s">
        <v>104</v>
      </c>
      <c r="E70" s="3" t="str">
        <f t="shared" si="15"/>
        <v>Direct</v>
      </c>
      <c r="F70" s="3" t="s">
        <v>46</v>
      </c>
      <c r="G70" s="3">
        <f>7*128</f>
        <v>896</v>
      </c>
      <c r="H70" s="28">
        <f>G70*205</f>
        <v>183680</v>
      </c>
      <c r="I70" s="82" t="b">
        <v>1</v>
      </c>
      <c r="J70" s="116">
        <f t="shared" si="10"/>
        <v>0.61366550650302254</v>
      </c>
      <c r="K70" s="117">
        <f>123065.6/1.0918</f>
        <v>112718.08023447517</v>
      </c>
      <c r="L70" s="22">
        <v>0</v>
      </c>
      <c r="M70" s="22"/>
      <c r="N70" s="22"/>
      <c r="O70" s="22"/>
      <c r="P70" s="23"/>
      <c r="Q70" s="23"/>
      <c r="R70" s="23"/>
      <c r="S70" s="23"/>
      <c r="T70" s="23"/>
      <c r="U70" s="19">
        <f t="shared" si="12"/>
        <v>112718.08023447517</v>
      </c>
      <c r="V70" s="128">
        <f t="shared" si="11"/>
        <v>0.61366550650302254</v>
      </c>
      <c r="X70" s="54"/>
      <c r="Y70" s="56"/>
      <c r="AA70" s="2"/>
      <c r="AB70" s="2"/>
      <c r="AC70" s="132" t="str">
        <f t="shared" si="6"/>
        <v/>
      </c>
    </row>
    <row r="71" spans="1:29" ht="15.75">
      <c r="A71" s="29" t="s">
        <v>191</v>
      </c>
      <c r="B71" s="3" t="s">
        <v>93</v>
      </c>
      <c r="C71" s="3" t="s">
        <v>90</v>
      </c>
      <c r="D71" s="3" t="s">
        <v>104</v>
      </c>
      <c r="E71" s="3" t="str">
        <f t="shared" si="15"/>
        <v>Direct</v>
      </c>
      <c r="F71" s="3" t="s">
        <v>46</v>
      </c>
      <c r="G71" s="3">
        <f>14*128</f>
        <v>1792</v>
      </c>
      <c r="H71" s="28">
        <f>G71*205</f>
        <v>367360</v>
      </c>
      <c r="I71" s="82" t="b">
        <v>1</v>
      </c>
      <c r="J71" s="116">
        <f t="shared" si="10"/>
        <v>0.60327750765352062</v>
      </c>
      <c r="K71" s="117">
        <f>(123065.6/1.1106)+(123065.6/1.1106)</f>
        <v>221620.02521159733</v>
      </c>
      <c r="L71" s="22">
        <v>0</v>
      </c>
      <c r="M71" s="22"/>
      <c r="N71" s="22"/>
      <c r="O71" s="22"/>
      <c r="P71" s="23"/>
      <c r="Q71" s="23"/>
      <c r="R71" s="23"/>
      <c r="S71" s="23"/>
      <c r="T71" s="23"/>
      <c r="U71" s="19">
        <f t="shared" si="12"/>
        <v>221620.02521159733</v>
      </c>
      <c r="V71" s="128">
        <f t="shared" si="11"/>
        <v>0.60327750765352062</v>
      </c>
      <c r="X71" s="54"/>
      <c r="Y71" s="56"/>
      <c r="AA71" s="2"/>
      <c r="AB71" s="2"/>
      <c r="AC71" s="132" t="str">
        <f t="shared" si="6"/>
        <v/>
      </c>
    </row>
    <row r="72" spans="1:29" ht="15.75">
      <c r="A72" s="29" t="s">
        <v>192</v>
      </c>
      <c r="B72" s="3" t="s">
        <v>193</v>
      </c>
      <c r="C72" s="3" t="s">
        <v>34</v>
      </c>
      <c r="D72" s="3" t="s">
        <v>194</v>
      </c>
      <c r="E72" s="3" t="str">
        <f t="shared" si="15"/>
        <v>Direct</v>
      </c>
      <c r="F72" s="3" t="s">
        <v>36</v>
      </c>
      <c r="G72" s="3">
        <v>1</v>
      </c>
      <c r="H72" s="28">
        <v>20</v>
      </c>
      <c r="I72" s="82" t="b">
        <v>1</v>
      </c>
      <c r="J72" s="116">
        <f t="shared" si="10"/>
        <v>2.68</v>
      </c>
      <c r="K72" s="117">
        <v>53.6</v>
      </c>
      <c r="L72" s="22">
        <v>225</v>
      </c>
      <c r="M72" s="22"/>
      <c r="N72" s="22"/>
      <c r="O72" s="22"/>
      <c r="P72" s="23"/>
      <c r="Q72" s="23"/>
      <c r="R72" s="23"/>
      <c r="S72" s="23"/>
      <c r="T72" s="23"/>
      <c r="U72" s="19">
        <f t="shared" si="12"/>
        <v>278.60000000000002</v>
      </c>
      <c r="V72" s="128">
        <f t="shared" si="11"/>
        <v>13.930000000000001</v>
      </c>
      <c r="X72" s="54"/>
      <c r="Y72" s="56"/>
      <c r="AA72" s="2"/>
      <c r="AB72" s="2"/>
      <c r="AC72" s="132" t="str">
        <f t="shared" ref="AC72:AC135" si="16">IF(AB72&gt;0,((AB72)*V72),"")</f>
        <v/>
      </c>
    </row>
    <row r="73" spans="1:29" ht="15.75">
      <c r="A73" s="29" t="s">
        <v>195</v>
      </c>
      <c r="B73" s="3" t="s">
        <v>196</v>
      </c>
      <c r="C73" s="9" t="s">
        <v>176</v>
      </c>
      <c r="D73" s="3" t="s">
        <v>197</v>
      </c>
      <c r="E73" s="3" t="str">
        <f t="shared" si="15"/>
        <v>Direct</v>
      </c>
      <c r="F73" s="10" t="s">
        <v>128</v>
      </c>
      <c r="G73" s="14">
        <v>96</v>
      </c>
      <c r="H73" s="81">
        <f>G73*24</f>
        <v>2304</v>
      </c>
      <c r="I73" s="82" t="b">
        <v>1</v>
      </c>
      <c r="J73" s="116">
        <f t="shared" si="10"/>
        <v>2.0999999999999996</v>
      </c>
      <c r="K73" s="117">
        <v>4838.3999999999996</v>
      </c>
      <c r="L73" s="22">
        <f>2*520</f>
        <v>1040</v>
      </c>
      <c r="M73" s="22"/>
      <c r="N73" s="22"/>
      <c r="O73" s="22"/>
      <c r="P73" s="23"/>
      <c r="Q73" s="23"/>
      <c r="R73" s="23"/>
      <c r="S73" s="23"/>
      <c r="T73" s="23"/>
      <c r="U73" s="19">
        <f t="shared" si="12"/>
        <v>5878.4</v>
      </c>
      <c r="V73" s="128">
        <f t="shared" si="11"/>
        <v>2.5513888888888889</v>
      </c>
      <c r="X73" s="54"/>
      <c r="Y73" s="56"/>
      <c r="AA73" s="2"/>
      <c r="AB73" s="2"/>
      <c r="AC73" s="132" t="str">
        <f t="shared" si="16"/>
        <v/>
      </c>
    </row>
    <row r="74" spans="1:29" ht="15.75">
      <c r="A74" s="29" t="s">
        <v>198</v>
      </c>
      <c r="B74" s="3" t="s">
        <v>132</v>
      </c>
      <c r="C74" s="3" t="s">
        <v>133</v>
      </c>
      <c r="D74" s="13" t="s">
        <v>134</v>
      </c>
      <c r="E74" s="3" t="str">
        <f t="shared" si="15"/>
        <v>Direct</v>
      </c>
      <c r="F74" s="3" t="s">
        <v>121</v>
      </c>
      <c r="G74" s="65">
        <v>32</v>
      </c>
      <c r="H74" s="53">
        <f>G74*220</f>
        <v>7040</v>
      </c>
      <c r="I74" s="82" t="b">
        <v>1</v>
      </c>
      <c r="J74" s="116">
        <f t="shared" si="10"/>
        <v>1.45</v>
      </c>
      <c r="K74" s="117">
        <v>10208</v>
      </c>
      <c r="L74" s="22">
        <f>950*(32/52)</f>
        <v>584.61538461538464</v>
      </c>
      <c r="M74" s="22"/>
      <c r="N74" s="22"/>
      <c r="O74" s="22"/>
      <c r="P74" s="23"/>
      <c r="Q74" s="23"/>
      <c r="R74" s="23"/>
      <c r="S74" s="23"/>
      <c r="T74" s="23"/>
      <c r="U74" s="19">
        <f t="shared" si="12"/>
        <v>10792.615384615385</v>
      </c>
      <c r="V74" s="128">
        <f t="shared" si="11"/>
        <v>1.5330419580419581</v>
      </c>
      <c r="X74" s="54"/>
      <c r="Y74" s="56"/>
      <c r="AA74" s="2"/>
      <c r="AB74" s="2"/>
      <c r="AC74" s="132" t="str">
        <f t="shared" si="16"/>
        <v/>
      </c>
    </row>
    <row r="75" spans="1:29" ht="15.75">
      <c r="A75" s="29" t="s">
        <v>199</v>
      </c>
      <c r="B75" s="3" t="s">
        <v>136</v>
      </c>
      <c r="C75" s="3" t="s">
        <v>133</v>
      </c>
      <c r="D75" s="13" t="s">
        <v>134</v>
      </c>
      <c r="E75" s="3" t="str">
        <f t="shared" si="15"/>
        <v>Direct</v>
      </c>
      <c r="F75" s="3" t="s">
        <v>121</v>
      </c>
      <c r="G75" s="65">
        <v>20</v>
      </c>
      <c r="H75" s="53">
        <f>G75*220</f>
        <v>4400</v>
      </c>
      <c r="I75" s="82" t="b">
        <v>1</v>
      </c>
      <c r="J75" s="116">
        <f t="shared" si="10"/>
        <v>1.24</v>
      </c>
      <c r="K75" s="117">
        <v>5456</v>
      </c>
      <c r="L75" s="22">
        <f>950*(20/52)</f>
        <v>365.38461538461542</v>
      </c>
      <c r="M75" s="22"/>
      <c r="N75" s="22"/>
      <c r="O75" s="22"/>
      <c r="P75" s="23"/>
      <c r="Q75" s="23"/>
      <c r="R75" s="23"/>
      <c r="S75" s="23"/>
      <c r="T75" s="23"/>
      <c r="U75" s="19">
        <f t="shared" si="12"/>
        <v>5821.3846153846152</v>
      </c>
      <c r="V75" s="128">
        <f t="shared" si="11"/>
        <v>1.3230419580419579</v>
      </c>
      <c r="X75" s="54"/>
      <c r="Y75" s="56"/>
      <c r="AA75" s="2"/>
      <c r="AB75" s="2"/>
      <c r="AC75" s="132" t="str">
        <f t="shared" si="16"/>
        <v/>
      </c>
    </row>
    <row r="76" spans="1:29" ht="15.75">
      <c r="A76" s="29" t="s">
        <v>200</v>
      </c>
      <c r="B76" s="3" t="s">
        <v>143</v>
      </c>
      <c r="C76" s="9" t="s">
        <v>119</v>
      </c>
      <c r="D76" s="3" t="s">
        <v>144</v>
      </c>
      <c r="E76" s="3" t="str">
        <f t="shared" si="15"/>
        <v>Direct</v>
      </c>
      <c r="F76" s="10" t="s">
        <v>121</v>
      </c>
      <c r="G76" s="1">
        <v>110</v>
      </c>
      <c r="H76" s="27">
        <v>1100</v>
      </c>
      <c r="I76" s="82" t="b">
        <v>1</v>
      </c>
      <c r="J76" s="116">
        <f t="shared" si="10"/>
        <v>1.085</v>
      </c>
      <c r="K76" s="117">
        <v>1193.5</v>
      </c>
      <c r="L76" s="22">
        <v>485</v>
      </c>
      <c r="M76" s="22"/>
      <c r="N76" s="22"/>
      <c r="O76" s="22"/>
      <c r="P76" s="23"/>
      <c r="Q76" s="23"/>
      <c r="R76" s="23"/>
      <c r="S76" s="23"/>
      <c r="T76" s="23"/>
      <c r="U76" s="19">
        <f t="shared" si="12"/>
        <v>1678.5</v>
      </c>
      <c r="V76" s="128">
        <f t="shared" si="11"/>
        <v>1.5259090909090909</v>
      </c>
      <c r="X76" s="54"/>
      <c r="Y76" s="56"/>
      <c r="AA76" s="2"/>
      <c r="AB76" s="2"/>
      <c r="AC76" s="132" t="str">
        <f t="shared" si="16"/>
        <v/>
      </c>
    </row>
    <row r="77" spans="1:29" ht="15.75">
      <c r="A77" s="29" t="s">
        <v>201</v>
      </c>
      <c r="B77" s="3" t="s">
        <v>193</v>
      </c>
      <c r="C77" s="3" t="s">
        <v>34</v>
      </c>
      <c r="D77" s="3" t="s">
        <v>194</v>
      </c>
      <c r="E77" s="3" t="str">
        <f>IF(B77="","",IF(D77="Godfroy","Godfroy",(IF(LEFT(B77,1)="1","Hiwa","Direct"))))</f>
        <v>Direct</v>
      </c>
      <c r="F77" s="3" t="s">
        <v>36</v>
      </c>
      <c r="G77" s="3">
        <v>1</v>
      </c>
      <c r="H77" s="28">
        <v>20</v>
      </c>
      <c r="I77" s="82" t="b">
        <v>1</v>
      </c>
      <c r="J77" s="116">
        <f t="shared" si="10"/>
        <v>2.68</v>
      </c>
      <c r="K77" s="117">
        <v>53.6</v>
      </c>
      <c r="L77" s="22">
        <v>46</v>
      </c>
      <c r="M77" s="22"/>
      <c r="N77" s="22"/>
      <c r="O77" s="22"/>
      <c r="P77" s="23"/>
      <c r="Q77" s="23"/>
      <c r="R77" s="23"/>
      <c r="S77" s="23"/>
      <c r="T77" s="23"/>
      <c r="U77" s="19">
        <f t="shared" si="12"/>
        <v>99.6</v>
      </c>
      <c r="V77" s="128">
        <f t="shared" si="11"/>
        <v>4.9799999999999995</v>
      </c>
      <c r="X77" s="54"/>
      <c r="Y77" s="56"/>
      <c r="AA77" s="2"/>
      <c r="AB77" s="2"/>
      <c r="AC77" s="132" t="str">
        <f t="shared" si="16"/>
        <v/>
      </c>
    </row>
    <row r="78" spans="1:29" ht="15.75">
      <c r="A78" s="29" t="s">
        <v>202</v>
      </c>
      <c r="B78" s="3" t="s">
        <v>153</v>
      </c>
      <c r="C78" s="3" t="s">
        <v>126</v>
      </c>
      <c r="D78" s="3" t="s">
        <v>127</v>
      </c>
      <c r="E78" s="3" t="str">
        <f>IF(B78="","",IF(D78="Godfroy","Godfroy",(IF(LEFT(B78,1)="1","Hiwa","Direct"))))</f>
        <v>Direct</v>
      </c>
      <c r="F78" s="3" t="s">
        <v>128</v>
      </c>
      <c r="G78" s="3">
        <v>4</v>
      </c>
      <c r="H78" s="28">
        <v>880</v>
      </c>
      <c r="I78" s="82" t="b">
        <v>1</v>
      </c>
      <c r="J78" s="116">
        <f t="shared" si="10"/>
        <v>0.95</v>
      </c>
      <c r="K78" s="117">
        <v>836</v>
      </c>
      <c r="L78" s="22">
        <f>181*1.09</f>
        <v>197.29000000000002</v>
      </c>
      <c r="M78" s="22"/>
      <c r="N78" s="22"/>
      <c r="O78" s="22"/>
      <c r="P78" s="23"/>
      <c r="Q78" s="23"/>
      <c r="R78" s="23"/>
      <c r="S78" s="23"/>
      <c r="T78" s="23"/>
      <c r="U78" s="19">
        <f t="shared" si="12"/>
        <v>1033.29</v>
      </c>
      <c r="V78" s="128">
        <f t="shared" si="11"/>
        <v>1.1741931818181819</v>
      </c>
      <c r="X78" s="54"/>
      <c r="Y78" s="56"/>
      <c r="AA78" s="2"/>
      <c r="AB78" s="2"/>
      <c r="AC78" s="132" t="str">
        <f t="shared" si="16"/>
        <v/>
      </c>
    </row>
    <row r="79" spans="1:29" ht="15.75">
      <c r="A79" s="29" t="s">
        <v>203</v>
      </c>
      <c r="B79" s="3" t="s">
        <v>123</v>
      </c>
      <c r="C79" s="9" t="s">
        <v>52</v>
      </c>
      <c r="D79" s="13" t="s">
        <v>30</v>
      </c>
      <c r="E79" s="3" t="str">
        <f t="shared" ref="E79:E92" si="17">IF(B79="","",IF(D79="Godfroy","Godfroy",(IF(LEFT(B79,1)="1","Hiwa","Direct"))))</f>
        <v>Hiwa</v>
      </c>
      <c r="F79" s="3" t="s">
        <v>46</v>
      </c>
      <c r="G79" s="1">
        <v>80</v>
      </c>
      <c r="H79" s="27">
        <f>G79*220</f>
        <v>17600</v>
      </c>
      <c r="I79" s="82" t="b">
        <v>1</v>
      </c>
      <c r="J79" s="116">
        <f t="shared" si="10"/>
        <v>3.5159466266285659</v>
      </c>
      <c r="K79" s="122">
        <f>69690/1.1262</f>
        <v>61880.660628662758</v>
      </c>
      <c r="L79" s="22"/>
      <c r="M79" s="22"/>
      <c r="N79" s="22"/>
      <c r="O79" s="22"/>
      <c r="P79" s="23"/>
      <c r="Q79" s="23"/>
      <c r="R79" s="23"/>
      <c r="S79" s="23"/>
      <c r="T79" s="23"/>
      <c r="U79" s="19">
        <f t="shared" si="12"/>
        <v>61880.660628662758</v>
      </c>
      <c r="V79" s="128">
        <f t="shared" si="11"/>
        <v>3.5159466266285659</v>
      </c>
      <c r="X79" s="54"/>
      <c r="Y79" s="56"/>
      <c r="AA79" s="2"/>
      <c r="AB79" s="2"/>
      <c r="AC79" s="132" t="str">
        <f t="shared" si="16"/>
        <v/>
      </c>
    </row>
    <row r="80" spans="1:29" ht="15.75">
      <c r="A80" s="29" t="s">
        <v>204</v>
      </c>
      <c r="B80" s="3" t="s">
        <v>89</v>
      </c>
      <c r="C80" s="9" t="s">
        <v>90</v>
      </c>
      <c r="D80" s="3" t="s">
        <v>30</v>
      </c>
      <c r="E80" s="3" t="str">
        <f t="shared" si="17"/>
        <v>Hiwa</v>
      </c>
      <c r="F80" s="10" t="s">
        <v>59</v>
      </c>
      <c r="G80" s="1">
        <v>512</v>
      </c>
      <c r="H80" s="27">
        <f t="shared" ref="H80:H81" si="18">G80*205</f>
        <v>104960</v>
      </c>
      <c r="I80" s="82" t="b">
        <v>1</v>
      </c>
      <c r="J80" s="116">
        <f t="shared" si="10"/>
        <v>0.62945478107932984</v>
      </c>
      <c r="K80" s="123">
        <f>71372.8/1.0803</f>
        <v>66067.573822086459</v>
      </c>
      <c r="L80" s="22">
        <f>6184/1.1324</f>
        <v>5460.9678558813139</v>
      </c>
      <c r="M80" s="22">
        <f>3*(1876.65+63.45)+(1892.23+63.45)</f>
        <v>7775.9800000000005</v>
      </c>
      <c r="N80" s="22">
        <f>680+100+300</f>
        <v>1080</v>
      </c>
      <c r="O80" s="22">
        <v>5026.6400000000003</v>
      </c>
      <c r="P80" s="23">
        <f>125.31+125.31+125.31+27.41+125.31+125.31+51.89</f>
        <v>705.85</v>
      </c>
      <c r="Q80" s="23">
        <f>4.66+4.66+4.66+4.66+1.88+4.55</f>
        <v>25.07</v>
      </c>
      <c r="R80" s="23">
        <v>114</v>
      </c>
      <c r="S80" s="23"/>
      <c r="T80" s="23"/>
      <c r="U80" s="19">
        <f t="shared" si="12"/>
        <v>86142.08167796777</v>
      </c>
      <c r="V80" s="128">
        <f t="shared" si="11"/>
        <v>0.82071343062088198</v>
      </c>
      <c r="X80" s="80" t="s">
        <v>205</v>
      </c>
      <c r="Y80" s="72">
        <v>45786</v>
      </c>
      <c r="AA80" s="2"/>
      <c r="AB80" s="2"/>
      <c r="AC80" s="132" t="str">
        <f t="shared" si="16"/>
        <v/>
      </c>
    </row>
    <row r="81" spans="1:29" ht="15.75">
      <c r="A81" s="29" t="s">
        <v>206</v>
      </c>
      <c r="B81" s="3" t="s">
        <v>89</v>
      </c>
      <c r="C81" s="9" t="s">
        <v>90</v>
      </c>
      <c r="D81" s="3" t="s">
        <v>30</v>
      </c>
      <c r="E81" s="3" t="str">
        <f t="shared" si="17"/>
        <v>Hiwa</v>
      </c>
      <c r="F81" s="10" t="s">
        <v>59</v>
      </c>
      <c r="G81" s="1">
        <v>511</v>
      </c>
      <c r="H81" s="27">
        <f t="shared" si="18"/>
        <v>104755</v>
      </c>
      <c r="I81" s="82" t="b">
        <v>1</v>
      </c>
      <c r="J81" s="116">
        <f t="shared" si="10"/>
        <v>0.61347985239550706</v>
      </c>
      <c r="K81" s="122">
        <f>71372.8/1.1106</f>
        <v>64265.081937691342</v>
      </c>
      <c r="L81" s="17">
        <f>6184/1.1214</f>
        <v>5514.5354021758521</v>
      </c>
      <c r="M81" s="22">
        <f>(1892.23+1877.45+1892.23+(3*63.45))+93.02</f>
        <v>5945.2800000000007</v>
      </c>
      <c r="N81" s="22">
        <f>(4*250)-(4*55)</f>
        <v>780</v>
      </c>
      <c r="O81" s="22">
        <v>5051.3999999999996</v>
      </c>
      <c r="P81" s="22">
        <f>67.55+57.76+67.55</f>
        <v>192.86</v>
      </c>
      <c r="Q81" s="23">
        <f>4.55+4.55+4.55+4.55</f>
        <v>18.2</v>
      </c>
      <c r="R81" s="23">
        <v>114</v>
      </c>
      <c r="S81" s="23"/>
      <c r="T81" s="23"/>
      <c r="U81" s="19">
        <f t="shared" si="12"/>
        <v>81767.357339867202</v>
      </c>
      <c r="V81" s="128">
        <f t="shared" si="11"/>
        <v>0.78055803866037132</v>
      </c>
      <c r="X81" s="80" t="s">
        <v>207</v>
      </c>
      <c r="Y81" s="72">
        <v>45810</v>
      </c>
      <c r="AA81" s="2">
        <v>69</v>
      </c>
      <c r="AB81" s="2">
        <v>14145</v>
      </c>
      <c r="AC81" s="132">
        <f t="shared" si="16"/>
        <v>11040.993456850952</v>
      </c>
    </row>
    <row r="82" spans="1:29" ht="15.75">
      <c r="A82" s="29" t="s">
        <v>208</v>
      </c>
      <c r="B82" s="3" t="s">
        <v>106</v>
      </c>
      <c r="C82" s="3" t="s">
        <v>62</v>
      </c>
      <c r="D82" s="3" t="s">
        <v>104</v>
      </c>
      <c r="E82" s="3" t="str">
        <f t="shared" si="17"/>
        <v>Direct</v>
      </c>
      <c r="F82" s="3" t="s">
        <v>31</v>
      </c>
      <c r="G82" s="3">
        <f>(4*112)+(2*114)</f>
        <v>676</v>
      </c>
      <c r="H82" s="28">
        <f>G82*210</f>
        <v>141960</v>
      </c>
      <c r="I82" s="82" t="b">
        <v>1</v>
      </c>
      <c r="J82" s="116">
        <f t="shared" si="10"/>
        <v>1.3399999999999999</v>
      </c>
      <c r="K82" s="123">
        <v>190226.4</v>
      </c>
      <c r="L82" s="22">
        <v>0</v>
      </c>
      <c r="M82" s="22">
        <v>22</v>
      </c>
      <c r="N82" s="22"/>
      <c r="O82" s="22"/>
      <c r="P82" s="23"/>
      <c r="Q82" s="23"/>
      <c r="R82" s="23">
        <f>57.04+(57.04/2)+(57.04/2)</f>
        <v>114.08</v>
      </c>
      <c r="S82" s="23"/>
      <c r="T82" s="23"/>
      <c r="U82" s="19">
        <f t="shared" si="12"/>
        <v>190248.4</v>
      </c>
      <c r="V82" s="128">
        <f t="shared" si="11"/>
        <v>1.3401549732318963</v>
      </c>
      <c r="X82" s="80" t="s">
        <v>209</v>
      </c>
      <c r="Y82" s="56"/>
      <c r="AA82" s="2"/>
      <c r="AB82" s="2"/>
      <c r="AC82" s="132" t="str">
        <f t="shared" si="16"/>
        <v/>
      </c>
    </row>
    <row r="83" spans="1:29" ht="15.75">
      <c r="A83" s="29" t="s">
        <v>210</v>
      </c>
      <c r="B83" s="3" t="s">
        <v>93</v>
      </c>
      <c r="C83" s="3" t="s">
        <v>90</v>
      </c>
      <c r="D83" s="3" t="s">
        <v>112</v>
      </c>
      <c r="E83" s="3" t="str">
        <f t="shared" si="17"/>
        <v>Direct</v>
      </c>
      <c r="F83" s="3" t="s">
        <v>59</v>
      </c>
      <c r="G83" s="3">
        <v>112</v>
      </c>
      <c r="H83" s="28">
        <f>G83*205</f>
        <v>22960</v>
      </c>
      <c r="I83" s="82" t="b">
        <v>1</v>
      </c>
      <c r="J83" s="116">
        <f t="shared" si="10"/>
        <v>0.631402331331685</v>
      </c>
      <c r="K83" s="122">
        <f>16416.4/1.1324</f>
        <v>14496.997527375486</v>
      </c>
      <c r="L83" s="22">
        <f>1868/1.1376</f>
        <v>1642.0534458509144</v>
      </c>
      <c r="M83" s="22"/>
      <c r="N83" s="22"/>
      <c r="O83" s="22"/>
      <c r="P83" s="23"/>
      <c r="Q83" s="23"/>
      <c r="R83" s="23"/>
      <c r="S83" s="23"/>
      <c r="T83" s="23"/>
      <c r="U83" s="19">
        <f t="shared" si="12"/>
        <v>16139.0509732264</v>
      </c>
      <c r="V83" s="128">
        <f t="shared" si="11"/>
        <v>0.70292033855515679</v>
      </c>
      <c r="X83" s="54"/>
      <c r="Y83" s="56"/>
      <c r="AA83" s="2"/>
      <c r="AB83" s="2"/>
      <c r="AC83" s="132" t="str">
        <f t="shared" si="16"/>
        <v/>
      </c>
    </row>
    <row r="84" spans="1:29" ht="15.75">
      <c r="A84" s="29" t="s">
        <v>211</v>
      </c>
      <c r="B84" s="3" t="s">
        <v>93</v>
      </c>
      <c r="C84" s="3" t="s">
        <v>90</v>
      </c>
      <c r="D84" s="3" t="s">
        <v>112</v>
      </c>
      <c r="E84" s="3" t="str">
        <f t="shared" si="17"/>
        <v>Direct</v>
      </c>
      <c r="F84" s="3" t="s">
        <v>59</v>
      </c>
      <c r="G84" s="3">
        <v>112</v>
      </c>
      <c r="H84" s="28">
        <f>G84*205</f>
        <v>22960</v>
      </c>
      <c r="I84" s="82" t="b">
        <v>1</v>
      </c>
      <c r="J84" s="116">
        <f t="shared" si="10"/>
        <v>0.64379614622726455</v>
      </c>
      <c r="K84" s="122">
        <f>16416.4/1.1106</f>
        <v>14781.559517377995</v>
      </c>
      <c r="L84" s="22">
        <f>(1868+117)/1.1376</f>
        <v>1744.901547116737</v>
      </c>
      <c r="M84" s="22"/>
      <c r="N84" s="22"/>
      <c r="O84" s="22"/>
      <c r="P84" s="23"/>
      <c r="Q84" s="23"/>
      <c r="R84" s="23"/>
      <c r="S84" s="23"/>
      <c r="T84" s="23"/>
      <c r="U84" s="19">
        <f t="shared" si="12"/>
        <v>16526.461064494732</v>
      </c>
      <c r="V84" s="128">
        <f t="shared" si="11"/>
        <v>0.71979360036997964</v>
      </c>
      <c r="X84" s="54"/>
      <c r="Y84" s="56"/>
      <c r="AA84" s="2"/>
      <c r="AB84" s="2"/>
      <c r="AC84" s="132" t="str">
        <f t="shared" si="16"/>
        <v/>
      </c>
    </row>
    <row r="85" spans="1:29" ht="15.75">
      <c r="A85" s="29" t="s">
        <v>212</v>
      </c>
      <c r="B85" s="3" t="s">
        <v>143</v>
      </c>
      <c r="C85" s="9" t="s">
        <v>119</v>
      </c>
      <c r="D85" s="3" t="s">
        <v>144</v>
      </c>
      <c r="E85" s="3" t="str">
        <f t="shared" si="17"/>
        <v>Direct</v>
      </c>
      <c r="F85" s="10" t="s">
        <v>121</v>
      </c>
      <c r="G85" s="1">
        <v>110</v>
      </c>
      <c r="H85" s="27">
        <v>1100</v>
      </c>
      <c r="I85" s="82" t="b">
        <v>1</v>
      </c>
      <c r="J85" s="116">
        <f t="shared" si="10"/>
        <v>1.085</v>
      </c>
      <c r="K85" s="117">
        <v>1193.5</v>
      </c>
      <c r="L85" s="22">
        <v>485</v>
      </c>
      <c r="M85" s="22"/>
      <c r="N85" s="22"/>
      <c r="O85" s="22"/>
      <c r="P85" s="23"/>
      <c r="Q85" s="23"/>
      <c r="R85" s="23"/>
      <c r="S85" s="23"/>
      <c r="T85" s="23"/>
      <c r="U85" s="19">
        <f t="shared" si="12"/>
        <v>1678.5</v>
      </c>
      <c r="V85" s="128">
        <f t="shared" si="11"/>
        <v>1.5259090909090909</v>
      </c>
      <c r="X85" s="54"/>
      <c r="Y85" s="56"/>
      <c r="AA85" s="2"/>
      <c r="AB85" s="2"/>
      <c r="AC85" s="132" t="str">
        <f t="shared" si="16"/>
        <v/>
      </c>
    </row>
    <row r="86" spans="1:29" ht="15.75">
      <c r="A86" s="29" t="s">
        <v>213</v>
      </c>
      <c r="B86" s="3" t="s">
        <v>214</v>
      </c>
      <c r="C86" s="9" t="s">
        <v>119</v>
      </c>
      <c r="D86" s="3" t="s">
        <v>215</v>
      </c>
      <c r="E86" s="3" t="str">
        <f t="shared" si="17"/>
        <v>Direct</v>
      </c>
      <c r="F86" s="10" t="s">
        <v>121</v>
      </c>
      <c r="G86" s="1">
        <v>4</v>
      </c>
      <c r="H86" s="27">
        <f>+G86*200</f>
        <v>800</v>
      </c>
      <c r="I86" s="82" t="b">
        <v>1</v>
      </c>
      <c r="J86" s="116">
        <f t="shared" si="10"/>
        <v>1.73</v>
      </c>
      <c r="K86" s="117">
        <v>1384</v>
      </c>
      <c r="L86" s="22">
        <v>250</v>
      </c>
      <c r="M86" s="22"/>
      <c r="N86" s="22"/>
      <c r="O86" s="22"/>
      <c r="P86" s="23"/>
      <c r="Q86" s="23"/>
      <c r="R86" s="23"/>
      <c r="S86" s="23"/>
      <c r="T86" s="23"/>
      <c r="U86" s="19">
        <f t="shared" si="12"/>
        <v>1634</v>
      </c>
      <c r="V86" s="128">
        <f t="shared" si="11"/>
        <v>2.0425</v>
      </c>
      <c r="X86" s="54"/>
      <c r="Y86" s="56"/>
      <c r="AA86" s="2"/>
      <c r="AB86" s="2"/>
      <c r="AC86" s="132" t="str">
        <f t="shared" si="16"/>
        <v/>
      </c>
    </row>
    <row r="87" spans="1:29" ht="15.75">
      <c r="A87" s="29" t="s">
        <v>216</v>
      </c>
      <c r="B87" s="3" t="s">
        <v>217</v>
      </c>
      <c r="C87" s="9" t="s">
        <v>119</v>
      </c>
      <c r="D87" s="3" t="s">
        <v>215</v>
      </c>
      <c r="E87" s="3" t="str">
        <f t="shared" si="17"/>
        <v>Direct</v>
      </c>
      <c r="F87" s="10" t="s">
        <v>121</v>
      </c>
      <c r="G87" s="1">
        <v>7</v>
      </c>
      <c r="H87" s="27">
        <f>+G87*5</f>
        <v>35</v>
      </c>
      <c r="I87" s="82" t="b">
        <v>1</v>
      </c>
      <c r="J87" s="116">
        <f t="shared" si="10"/>
        <v>4.7</v>
      </c>
      <c r="K87" s="117">
        <v>164.5</v>
      </c>
      <c r="L87" s="22">
        <v>10</v>
      </c>
      <c r="M87" s="22"/>
      <c r="N87" s="22"/>
      <c r="O87" s="22"/>
      <c r="P87" s="23"/>
      <c r="Q87" s="23"/>
      <c r="R87" s="23"/>
      <c r="S87" s="23"/>
      <c r="T87" s="23"/>
      <c r="U87" s="19">
        <f>IF(B87="","",K87+SUM(L87:Q87))</f>
        <v>174.5</v>
      </c>
      <c r="V87" s="128">
        <f t="shared" si="11"/>
        <v>4.9857142857142858</v>
      </c>
      <c r="X87" s="54"/>
      <c r="Y87" s="56"/>
      <c r="AA87" s="2"/>
      <c r="AB87" s="2"/>
      <c r="AC87" s="132" t="str">
        <f t="shared" si="16"/>
        <v/>
      </c>
    </row>
    <row r="88" spans="1:29" ht="15.75">
      <c r="A88" s="29" t="s">
        <v>218</v>
      </c>
      <c r="B88" s="3" t="s">
        <v>93</v>
      </c>
      <c r="C88" s="3" t="s">
        <v>90</v>
      </c>
      <c r="D88" s="3" t="s">
        <v>104</v>
      </c>
      <c r="E88" s="3" t="str">
        <f t="shared" si="17"/>
        <v>Direct</v>
      </c>
      <c r="F88" s="3" t="s">
        <v>46</v>
      </c>
      <c r="G88" s="3">
        <f>7*128</f>
        <v>896</v>
      </c>
      <c r="H88" s="28">
        <f>G88*205</f>
        <v>183680</v>
      </c>
      <c r="I88" s="82" t="b">
        <v>1</v>
      </c>
      <c r="J88" s="116">
        <f t="shared" si="10"/>
        <v>0.60595098127882796</v>
      </c>
      <c r="K88" s="117">
        <f>123065.6/1.1057</f>
        <v>111301.07624129512</v>
      </c>
      <c r="L88" s="22">
        <v>0</v>
      </c>
      <c r="M88" s="22"/>
      <c r="N88" s="22"/>
      <c r="O88" s="22"/>
      <c r="P88" s="23"/>
      <c r="Q88" s="23"/>
      <c r="R88" s="23"/>
      <c r="S88" s="23"/>
      <c r="T88" s="23"/>
      <c r="U88" s="19">
        <f t="shared" si="12"/>
        <v>111301.07624129512</v>
      </c>
      <c r="V88" s="128">
        <f t="shared" si="11"/>
        <v>0.60595098127882796</v>
      </c>
      <c r="X88" s="54"/>
      <c r="Y88" s="56"/>
      <c r="AA88" s="2"/>
      <c r="AB88" s="2"/>
      <c r="AC88" s="132" t="str">
        <f t="shared" si="16"/>
        <v/>
      </c>
    </row>
    <row r="89" spans="1:29" ht="15.75">
      <c r="A89" s="29" t="s">
        <v>219</v>
      </c>
      <c r="B89" s="3" t="s">
        <v>93</v>
      </c>
      <c r="C89" s="3" t="s">
        <v>90</v>
      </c>
      <c r="D89" s="3" t="s">
        <v>104</v>
      </c>
      <c r="E89" s="3" t="str">
        <f t="shared" si="17"/>
        <v>Direct</v>
      </c>
      <c r="F89" s="3" t="s">
        <v>46</v>
      </c>
      <c r="G89" s="3">
        <f>1*128</f>
        <v>128</v>
      </c>
      <c r="H89" s="28">
        <f>G89*205</f>
        <v>26240</v>
      </c>
      <c r="I89" s="82" t="b">
        <v>1</v>
      </c>
      <c r="J89" s="116">
        <f t="shared" si="10"/>
        <v>0.61092368013130294</v>
      </c>
      <c r="K89" s="124">
        <f>17580.8/1.0967</f>
        <v>16030.637366645389</v>
      </c>
      <c r="L89" s="22">
        <v>0</v>
      </c>
      <c r="M89" s="22"/>
      <c r="N89" s="22"/>
      <c r="O89" s="22"/>
      <c r="P89" s="23"/>
      <c r="Q89" s="23"/>
      <c r="R89" s="23"/>
      <c r="S89" s="23"/>
      <c r="T89" s="23"/>
      <c r="U89" s="19">
        <f t="shared" si="12"/>
        <v>16030.637366645389</v>
      </c>
      <c r="V89" s="128">
        <f t="shared" si="11"/>
        <v>0.61092368013130294</v>
      </c>
      <c r="X89" s="54"/>
      <c r="Y89" s="56"/>
      <c r="AA89" s="2"/>
      <c r="AB89" s="2"/>
      <c r="AC89" s="132" t="str">
        <f t="shared" si="16"/>
        <v/>
      </c>
    </row>
    <row r="90" spans="1:29" ht="15.75">
      <c r="A90" s="29" t="s">
        <v>220</v>
      </c>
      <c r="B90" s="3" t="s">
        <v>186</v>
      </c>
      <c r="C90" s="9" t="s">
        <v>29</v>
      </c>
      <c r="D90" s="3" t="s">
        <v>112</v>
      </c>
      <c r="E90" s="3" t="str">
        <f t="shared" si="17"/>
        <v>Direct</v>
      </c>
      <c r="F90" s="3" t="s">
        <v>46</v>
      </c>
      <c r="G90" s="3">
        <f>2*80</f>
        <v>160</v>
      </c>
      <c r="H90" s="28">
        <f>G90*215</f>
        <v>34400</v>
      </c>
      <c r="I90" s="82" t="b">
        <v>1</v>
      </c>
      <c r="J90" s="116">
        <f t="shared" si="10"/>
        <v>0.89265784274010207</v>
      </c>
      <c r="K90" s="124">
        <f>(17276+17276)/1.1252</f>
        <v>30707.42979025951</v>
      </c>
      <c r="L90" s="106"/>
      <c r="M90" s="22"/>
      <c r="N90" s="22"/>
      <c r="O90" s="22"/>
      <c r="P90" s="23"/>
      <c r="Q90" s="23"/>
      <c r="R90" s="23"/>
      <c r="S90" s="23"/>
      <c r="T90" s="23"/>
      <c r="U90" s="19">
        <f t="shared" si="12"/>
        <v>30707.42979025951</v>
      </c>
      <c r="V90" s="128">
        <f t="shared" si="11"/>
        <v>0.89265784274010207</v>
      </c>
      <c r="X90" s="54"/>
      <c r="Y90" s="56"/>
      <c r="AA90" s="2"/>
      <c r="AB90" s="2"/>
      <c r="AC90" s="132" t="str">
        <f t="shared" si="16"/>
        <v/>
      </c>
    </row>
    <row r="91" spans="1:29" ht="15.75">
      <c r="A91" s="29" t="s">
        <v>221</v>
      </c>
      <c r="B91" s="3" t="s">
        <v>132</v>
      </c>
      <c r="C91" s="3" t="s">
        <v>133</v>
      </c>
      <c r="D91" s="3" t="s">
        <v>222</v>
      </c>
      <c r="E91" s="3" t="str">
        <f t="shared" si="17"/>
        <v>Direct</v>
      </c>
      <c r="F91" s="3" t="s">
        <v>121</v>
      </c>
      <c r="G91" s="3">
        <v>4</v>
      </c>
      <c r="H91" s="28">
        <f>G91*220</f>
        <v>880</v>
      </c>
      <c r="I91" s="82" t="b">
        <v>1</v>
      </c>
      <c r="J91" s="116">
        <f t="shared" si="10"/>
        <v>1.46</v>
      </c>
      <c r="K91" s="124">
        <v>1284.8</v>
      </c>
      <c r="L91" s="22">
        <f>595*(880/(4000+880))</f>
        <v>107.29508196721312</v>
      </c>
      <c r="M91" s="22"/>
      <c r="N91" s="22"/>
      <c r="O91" s="22"/>
      <c r="P91" s="23"/>
      <c r="Q91" s="23"/>
      <c r="R91" s="23"/>
      <c r="S91" s="23"/>
      <c r="T91" s="23"/>
      <c r="U91" s="19">
        <f t="shared" si="12"/>
        <v>1392.095081967213</v>
      </c>
      <c r="V91" s="128">
        <f t="shared" si="11"/>
        <v>1.5819262295081966</v>
      </c>
      <c r="X91" s="54"/>
      <c r="Y91" s="56"/>
      <c r="AA91" s="2"/>
      <c r="AB91" s="2"/>
      <c r="AC91" s="132" t="str">
        <f t="shared" si="16"/>
        <v/>
      </c>
    </row>
    <row r="92" spans="1:29" ht="15.75">
      <c r="A92" s="29" t="s">
        <v>223</v>
      </c>
      <c r="B92" s="3" t="s">
        <v>224</v>
      </c>
      <c r="C92" s="3" t="s">
        <v>133</v>
      </c>
      <c r="D92" s="3" t="s">
        <v>222</v>
      </c>
      <c r="E92" s="3" t="str">
        <f t="shared" si="17"/>
        <v>Direct</v>
      </c>
      <c r="F92" s="3" t="s">
        <v>121</v>
      </c>
      <c r="G92" s="3">
        <v>4</v>
      </c>
      <c r="H92" s="28">
        <v>4000</v>
      </c>
      <c r="I92" s="82" t="b">
        <v>1</v>
      </c>
      <c r="J92" s="116">
        <f t="shared" si="10"/>
        <v>1.43</v>
      </c>
      <c r="K92" s="124">
        <v>5720</v>
      </c>
      <c r="L92" s="22">
        <f>595*(4000/(4000+880))</f>
        <v>487.70491803278691</v>
      </c>
      <c r="M92" s="22"/>
      <c r="N92" s="22"/>
      <c r="O92" s="22"/>
      <c r="P92" s="23"/>
      <c r="Q92" s="23"/>
      <c r="R92" s="23"/>
      <c r="S92" s="23"/>
      <c r="T92" s="23"/>
      <c r="U92" s="19">
        <f t="shared" si="12"/>
        <v>6207.7049180327867</v>
      </c>
      <c r="V92" s="128">
        <f t="shared" si="11"/>
        <v>1.5519262295081966</v>
      </c>
      <c r="X92" s="54"/>
      <c r="Y92" s="56"/>
      <c r="AA92" s="2"/>
      <c r="AB92" s="2"/>
      <c r="AC92" s="132" t="str">
        <f t="shared" si="16"/>
        <v/>
      </c>
    </row>
    <row r="93" spans="1:29" ht="15.75">
      <c r="A93" s="29" t="s">
        <v>225</v>
      </c>
      <c r="B93" s="3" t="s">
        <v>157</v>
      </c>
      <c r="C93" s="3" t="s">
        <v>126</v>
      </c>
      <c r="D93" s="3" t="s">
        <v>226</v>
      </c>
      <c r="E93" s="3" t="str">
        <f>IF(B93="","",IF(D93="Godfroy","Godfroy",(IF(LEFT(B93,1)="1","Hiwa","Direct"))))</f>
        <v>Direct</v>
      </c>
      <c r="F93" s="3" t="s">
        <v>128</v>
      </c>
      <c r="G93" s="3">
        <v>10</v>
      </c>
      <c r="H93" s="28">
        <f>G93*21</f>
        <v>210</v>
      </c>
      <c r="I93" s="82" t="b">
        <v>1</v>
      </c>
      <c r="J93" s="116">
        <f t="shared" si="10"/>
        <v>1</v>
      </c>
      <c r="K93" s="124">
        <v>210</v>
      </c>
      <c r="L93" s="22">
        <v>145.44</v>
      </c>
      <c r="M93" s="22"/>
      <c r="N93" s="22"/>
      <c r="O93" s="22"/>
      <c r="P93" s="23"/>
      <c r="Q93" s="23"/>
      <c r="R93" s="23"/>
      <c r="S93" s="23"/>
      <c r="T93" s="23"/>
      <c r="U93" s="19">
        <f t="shared" si="12"/>
        <v>355.44</v>
      </c>
      <c r="V93" s="128">
        <f t="shared" si="11"/>
        <v>1.6925714285714286</v>
      </c>
      <c r="X93" s="54"/>
      <c r="Y93" s="56"/>
      <c r="AA93" s="2"/>
      <c r="AB93" s="2"/>
      <c r="AC93" s="132" t="str">
        <f t="shared" si="16"/>
        <v/>
      </c>
    </row>
    <row r="94" spans="1:29" ht="15.75">
      <c r="A94" s="29" t="s">
        <v>227</v>
      </c>
      <c r="B94" s="3" t="s">
        <v>57</v>
      </c>
      <c r="C94" s="3" t="s">
        <v>58</v>
      </c>
      <c r="D94" s="3" t="s">
        <v>73</v>
      </c>
      <c r="E94" s="3" t="str">
        <f t="shared" ref="E94:E99" si="19">IF(B94="","",IF(D94="Godfroy","Godfroy",(IF(LEFT(B94,1)="1","Hiwa","Direct"))))</f>
        <v>Hiwa</v>
      </c>
      <c r="F94" s="3" t="s">
        <v>59</v>
      </c>
      <c r="G94" s="3">
        <v>128</v>
      </c>
      <c r="H94" s="28">
        <f>G94*190</f>
        <v>24320</v>
      </c>
      <c r="I94" s="82" t="b">
        <v>0</v>
      </c>
      <c r="J94" s="116">
        <f t="shared" si="10"/>
        <v>0</v>
      </c>
      <c r="K94" s="124"/>
      <c r="L94" s="22"/>
      <c r="M94" s="22"/>
      <c r="N94" s="22"/>
      <c r="O94" s="22"/>
      <c r="P94" s="23"/>
      <c r="Q94" s="23"/>
      <c r="R94" s="23"/>
      <c r="S94" s="23"/>
      <c r="T94" s="23"/>
      <c r="U94" s="19">
        <f t="shared" si="12"/>
        <v>0</v>
      </c>
      <c r="V94" s="128">
        <f t="shared" si="11"/>
        <v>0</v>
      </c>
      <c r="X94" s="54"/>
      <c r="Y94" s="56"/>
      <c r="AA94" s="2"/>
      <c r="AB94" s="2"/>
      <c r="AC94" s="132" t="str">
        <f t="shared" si="16"/>
        <v/>
      </c>
    </row>
    <row r="95" spans="1:29" ht="15.75">
      <c r="A95" s="29" t="s">
        <v>228</v>
      </c>
      <c r="B95" s="3" t="s">
        <v>57</v>
      </c>
      <c r="C95" s="3" t="s">
        <v>229</v>
      </c>
      <c r="D95" s="3" t="s">
        <v>73</v>
      </c>
      <c r="E95" s="3" t="str">
        <f t="shared" si="19"/>
        <v>Hiwa</v>
      </c>
      <c r="F95" s="3" t="s">
        <v>59</v>
      </c>
      <c r="G95" s="3">
        <v>140</v>
      </c>
      <c r="H95" s="28">
        <f>G95*190</f>
        <v>26600</v>
      </c>
      <c r="I95" s="82" t="b">
        <v>0</v>
      </c>
      <c r="J95" s="116">
        <f t="shared" si="10"/>
        <v>0</v>
      </c>
      <c r="K95" s="124"/>
      <c r="L95" s="22"/>
      <c r="M95" s="22"/>
      <c r="N95" s="22"/>
      <c r="O95" s="22"/>
      <c r="P95" s="23"/>
      <c r="Q95" s="23"/>
      <c r="R95" s="23"/>
      <c r="S95" s="23"/>
      <c r="T95" s="23"/>
      <c r="U95" s="19">
        <f t="shared" si="12"/>
        <v>0</v>
      </c>
      <c r="V95" s="128">
        <f t="shared" si="11"/>
        <v>0</v>
      </c>
      <c r="X95" s="54"/>
      <c r="Y95" s="56"/>
      <c r="AA95" s="2"/>
      <c r="AB95" s="2"/>
      <c r="AC95" s="132" t="str">
        <f t="shared" si="16"/>
        <v/>
      </c>
    </row>
    <row r="96" spans="1:29" ht="15.75">
      <c r="A96" s="29" t="s">
        <v>230</v>
      </c>
      <c r="B96" s="3" t="s">
        <v>82</v>
      </c>
      <c r="C96" s="3" t="s">
        <v>83</v>
      </c>
      <c r="D96" s="3" t="s">
        <v>73</v>
      </c>
      <c r="E96" s="3" t="str">
        <f t="shared" si="19"/>
        <v>Hiwa</v>
      </c>
      <c r="F96" s="3" t="s">
        <v>59</v>
      </c>
      <c r="G96" s="3">
        <v>128</v>
      </c>
      <c r="H96" s="28">
        <f>G96*204</f>
        <v>26112</v>
      </c>
      <c r="I96" s="82" t="b">
        <v>1</v>
      </c>
      <c r="J96" s="116">
        <f t="shared" si="10"/>
        <v>0.58999647763296936</v>
      </c>
      <c r="K96" s="124">
        <f>17495.04/1.1356</f>
        <v>15405.988023952097</v>
      </c>
      <c r="L96" s="22">
        <f>1546/1.1429</f>
        <v>1352.6992737772334</v>
      </c>
      <c r="M96" s="22"/>
      <c r="N96" s="22"/>
      <c r="O96" s="22"/>
      <c r="P96" s="23">
        <v>125.31</v>
      </c>
      <c r="Q96" s="23"/>
      <c r="R96" s="23"/>
      <c r="S96" s="23"/>
      <c r="T96" s="23"/>
      <c r="U96" s="19">
        <f t="shared" si="12"/>
        <v>16883.997297729329</v>
      </c>
      <c r="V96" s="128">
        <f t="shared" si="11"/>
        <v>0.64659916121818817</v>
      </c>
      <c r="X96" s="54">
        <v>375413</v>
      </c>
      <c r="Y96" s="72">
        <v>45838</v>
      </c>
      <c r="AA96" s="2">
        <v>128</v>
      </c>
      <c r="AB96" s="2">
        <v>26112</v>
      </c>
      <c r="AC96" s="132">
        <f t="shared" si="16"/>
        <v>16883.997297729329</v>
      </c>
    </row>
    <row r="97" spans="1:29" ht="15.75">
      <c r="A97" s="29" t="s">
        <v>231</v>
      </c>
      <c r="B97" s="3" t="s">
        <v>82</v>
      </c>
      <c r="C97" s="3" t="s">
        <v>83</v>
      </c>
      <c r="D97" s="3" t="s">
        <v>73</v>
      </c>
      <c r="E97" s="3" t="str">
        <f t="shared" si="19"/>
        <v>Hiwa</v>
      </c>
      <c r="F97" s="3" t="s">
        <v>59</v>
      </c>
      <c r="G97" s="3">
        <v>128</v>
      </c>
      <c r="H97" s="28">
        <f>G97*204</f>
        <v>26112</v>
      </c>
      <c r="I97" s="82" t="b">
        <v>1</v>
      </c>
      <c r="J97" s="116">
        <f t="shared" si="10"/>
        <v>0.58715274734904921</v>
      </c>
      <c r="K97" s="124">
        <f>17495.04/1.1411</f>
        <v>15331.732538778373</v>
      </c>
      <c r="L97" s="22">
        <f>1546/1.1508</f>
        <v>1343.413277719847</v>
      </c>
      <c r="M97" s="22"/>
      <c r="N97" s="22"/>
      <c r="O97" s="22"/>
      <c r="P97" s="23"/>
      <c r="Q97" s="23"/>
      <c r="R97" s="23"/>
      <c r="S97" s="23"/>
      <c r="T97" s="23"/>
      <c r="U97" s="19">
        <f t="shared" si="12"/>
        <v>16675.145816498221</v>
      </c>
      <c r="V97" s="128">
        <f t="shared" si="11"/>
        <v>0.63860086613427625</v>
      </c>
      <c r="X97" s="54"/>
      <c r="Y97" s="56"/>
      <c r="AA97" s="2"/>
      <c r="AB97" s="2"/>
      <c r="AC97" s="132" t="str">
        <f t="shared" si="16"/>
        <v/>
      </c>
    </row>
    <row r="98" spans="1:29" ht="15.75">
      <c r="A98" s="29" t="s">
        <v>232</v>
      </c>
      <c r="B98" s="3" t="s">
        <v>143</v>
      </c>
      <c r="C98" s="9" t="s">
        <v>119</v>
      </c>
      <c r="D98" s="3" t="s">
        <v>144</v>
      </c>
      <c r="E98" s="3" t="str">
        <f t="shared" si="19"/>
        <v>Direct</v>
      </c>
      <c r="F98" s="10" t="s">
        <v>121</v>
      </c>
      <c r="G98" s="1">
        <v>110</v>
      </c>
      <c r="H98" s="27">
        <v>1100</v>
      </c>
      <c r="I98" s="82" t="b">
        <v>1</v>
      </c>
      <c r="J98" s="116">
        <f t="shared" si="10"/>
        <v>1.115</v>
      </c>
      <c r="K98" s="124">
        <v>1226.5</v>
      </c>
      <c r="L98" s="22">
        <v>485</v>
      </c>
      <c r="M98" s="22"/>
      <c r="N98" s="22"/>
      <c r="O98" s="22"/>
      <c r="P98" s="23"/>
      <c r="Q98" s="23"/>
      <c r="R98" s="23"/>
      <c r="S98" s="23"/>
      <c r="T98" s="23"/>
      <c r="U98" s="19">
        <f t="shared" si="12"/>
        <v>1711.5</v>
      </c>
      <c r="V98" s="128">
        <f t="shared" si="11"/>
        <v>1.5559090909090909</v>
      </c>
      <c r="X98" s="54"/>
      <c r="Y98" s="56"/>
      <c r="AA98" s="2"/>
      <c r="AB98" s="2"/>
      <c r="AC98" s="132" t="str">
        <f t="shared" si="16"/>
        <v/>
      </c>
    </row>
    <row r="99" spans="1:29" ht="15.75">
      <c r="A99" s="29" t="s">
        <v>233</v>
      </c>
      <c r="B99" s="3" t="s">
        <v>234</v>
      </c>
      <c r="C99" s="3" t="s">
        <v>119</v>
      </c>
      <c r="D99" s="3" t="s">
        <v>235</v>
      </c>
      <c r="E99" s="3" t="str">
        <f t="shared" si="19"/>
        <v>Direct</v>
      </c>
      <c r="F99" s="3" t="s">
        <v>121</v>
      </c>
      <c r="G99" s="3">
        <v>8</v>
      </c>
      <c r="H99" s="28">
        <v>240</v>
      </c>
      <c r="I99" s="82" t="b">
        <v>1</v>
      </c>
      <c r="J99" s="116">
        <f t="shared" si="10"/>
        <v>1.6</v>
      </c>
      <c r="K99" s="124">
        <v>384</v>
      </c>
      <c r="L99" s="22">
        <v>0</v>
      </c>
      <c r="M99" s="22"/>
      <c r="N99" s="22"/>
      <c r="O99" s="22"/>
      <c r="P99" s="23"/>
      <c r="Q99" s="23"/>
      <c r="R99" s="23"/>
      <c r="S99" s="23"/>
      <c r="T99" s="23"/>
      <c r="U99" s="19">
        <f t="shared" si="12"/>
        <v>384</v>
      </c>
      <c r="V99" s="128">
        <f t="shared" si="11"/>
        <v>1.6</v>
      </c>
      <c r="X99" s="54"/>
      <c r="Y99" s="56"/>
      <c r="AA99" s="2"/>
      <c r="AB99" s="2"/>
      <c r="AC99" s="132" t="str">
        <f t="shared" si="16"/>
        <v/>
      </c>
    </row>
    <row r="100" spans="1:29" ht="15.75">
      <c r="A100" s="29" t="s">
        <v>236</v>
      </c>
      <c r="B100" s="3" t="s">
        <v>153</v>
      </c>
      <c r="C100" s="3" t="s">
        <v>126</v>
      </c>
      <c r="D100" s="3" t="s">
        <v>127</v>
      </c>
      <c r="E100" s="3" t="str">
        <f>IF(B100="","",IF(D100="Godfroy","Godfroy",(IF(LEFT(B100,1)="1","Hiwa","Direct"))))</f>
        <v>Direct</v>
      </c>
      <c r="F100" s="3" t="s">
        <v>128</v>
      </c>
      <c r="G100" s="3">
        <v>2</v>
      </c>
      <c r="H100" s="28">
        <f>G100*220</f>
        <v>440</v>
      </c>
      <c r="I100" s="82" t="b">
        <v>1</v>
      </c>
      <c r="J100" s="116">
        <f t="shared" si="10"/>
        <v>0.97</v>
      </c>
      <c r="K100" s="124">
        <v>426.8</v>
      </c>
      <c r="L100" s="22">
        <f>(181*1.09)/2</f>
        <v>98.64500000000001</v>
      </c>
      <c r="M100" s="22"/>
      <c r="N100" s="22"/>
      <c r="O100" s="22"/>
      <c r="P100" s="23"/>
      <c r="Q100" s="23"/>
      <c r="R100" s="23"/>
      <c r="S100" s="23"/>
      <c r="T100" s="23"/>
      <c r="U100" s="19">
        <f t="shared" si="12"/>
        <v>525.44500000000005</v>
      </c>
      <c r="V100" s="128">
        <f t="shared" si="11"/>
        <v>1.1941931818181819</v>
      </c>
      <c r="X100" s="54"/>
      <c r="Y100" s="56"/>
      <c r="AA100" s="2"/>
      <c r="AB100" s="2"/>
      <c r="AC100" s="132" t="str">
        <f t="shared" si="16"/>
        <v/>
      </c>
    </row>
    <row r="101" spans="1:29" ht="16.5" customHeight="1">
      <c r="A101" s="29" t="s">
        <v>237</v>
      </c>
      <c r="B101" s="3" t="s">
        <v>153</v>
      </c>
      <c r="C101" s="3" t="s">
        <v>126</v>
      </c>
      <c r="D101" s="3" t="s">
        <v>127</v>
      </c>
      <c r="E101" s="3" t="str">
        <f>IF(B101="","",IF(D101="Godfroy","Godfroy",(IF(LEFT(B101,1)="1","Hiwa","Direct"))))</f>
        <v>Direct</v>
      </c>
      <c r="F101" s="3" t="s">
        <v>128</v>
      </c>
      <c r="G101" s="3">
        <v>2</v>
      </c>
      <c r="H101" s="28">
        <f>G101*220</f>
        <v>440</v>
      </c>
      <c r="I101" s="82" t="b">
        <v>1</v>
      </c>
      <c r="J101" s="116">
        <f t="shared" si="10"/>
        <v>0.78</v>
      </c>
      <c r="K101" s="124">
        <f>2*171.6</f>
        <v>343.2</v>
      </c>
      <c r="L101" s="22">
        <v>98</v>
      </c>
      <c r="M101" s="22"/>
      <c r="N101" s="22"/>
      <c r="O101" s="22"/>
      <c r="P101" s="23"/>
      <c r="Q101" s="23"/>
      <c r="R101" s="23"/>
      <c r="S101" s="23"/>
      <c r="T101" s="23"/>
      <c r="U101" s="19">
        <f>IF(B101="","",K101+SUM(L101:Q101))</f>
        <v>441.2</v>
      </c>
      <c r="V101" s="128">
        <f t="shared" si="11"/>
        <v>1.0027272727272727</v>
      </c>
      <c r="X101" s="54"/>
      <c r="Y101" s="56"/>
      <c r="AA101" s="2"/>
      <c r="AB101" s="2"/>
      <c r="AC101" s="132" t="str">
        <f t="shared" si="16"/>
        <v/>
      </c>
    </row>
    <row r="102" spans="1:29" ht="15.75">
      <c r="A102" s="29" t="s">
        <v>238</v>
      </c>
      <c r="B102" s="3" t="s">
        <v>239</v>
      </c>
      <c r="C102" s="3" t="s">
        <v>44</v>
      </c>
      <c r="D102" s="3" t="s">
        <v>240</v>
      </c>
      <c r="E102" s="3" t="str">
        <f>IF(B102="","",IF(D102="Godfroy","Godfroy",(IF(LEFT(B102,1)="1","Hiwa","Direct"))))</f>
        <v>Direct</v>
      </c>
      <c r="F102" s="3" t="s">
        <v>241</v>
      </c>
      <c r="G102" s="3">
        <v>2</v>
      </c>
      <c r="H102" s="28">
        <f>G102*215</f>
        <v>430</v>
      </c>
      <c r="I102" s="82" t="b">
        <v>1</v>
      </c>
      <c r="J102" s="116">
        <f t="shared" si="10"/>
        <v>1.7998560115190785</v>
      </c>
      <c r="K102" s="124">
        <f>860/1.1112</f>
        <v>773.93808495320377</v>
      </c>
      <c r="L102" s="22">
        <v>427</v>
      </c>
      <c r="M102" s="22">
        <f>85+56</f>
        <v>141</v>
      </c>
      <c r="N102" s="22"/>
      <c r="O102" s="22"/>
      <c r="P102" s="23"/>
      <c r="Q102" s="23"/>
      <c r="R102" s="23"/>
      <c r="S102" s="23"/>
      <c r="T102" s="23"/>
      <c r="U102" s="19">
        <f t="shared" si="12"/>
        <v>1341.9380849532038</v>
      </c>
      <c r="V102" s="128">
        <f t="shared" si="11"/>
        <v>3.1207862440772183</v>
      </c>
      <c r="X102" s="54"/>
      <c r="Y102" s="56"/>
      <c r="AA102" s="2"/>
      <c r="AB102" s="2"/>
      <c r="AC102" s="132" t="str">
        <f t="shared" si="16"/>
        <v/>
      </c>
    </row>
    <row r="103" spans="1:29" ht="15.75">
      <c r="A103" s="29" t="s">
        <v>242</v>
      </c>
      <c r="B103" s="3" t="s">
        <v>186</v>
      </c>
      <c r="C103" s="9" t="s">
        <v>29</v>
      </c>
      <c r="D103" s="3" t="s">
        <v>112</v>
      </c>
      <c r="E103" s="3" t="str">
        <f t="shared" ref="E103:E107" si="20">IF(B103="","",IF(D103="Godfroy","Godfroy",(IF(LEFT(B103,1)="1","Hiwa","Direct"))))</f>
        <v>Direct</v>
      </c>
      <c r="F103" s="3" t="s">
        <v>46</v>
      </c>
      <c r="G103" s="3">
        <v>320</v>
      </c>
      <c r="H103" s="28">
        <f>G103*215</f>
        <v>68800</v>
      </c>
      <c r="I103" s="82" t="b">
        <v>1</v>
      </c>
      <c r="J103" s="116">
        <f t="shared" si="10"/>
        <v>0.88437817302781374</v>
      </c>
      <c r="K103" s="124">
        <f>(4*17385)/1.1429</f>
        <v>60845.218304313588</v>
      </c>
      <c r="L103" s="106"/>
      <c r="M103" s="22"/>
      <c r="N103" s="22"/>
      <c r="O103" s="22"/>
      <c r="P103" s="23"/>
      <c r="Q103" s="23"/>
      <c r="R103" s="23"/>
      <c r="S103" s="23"/>
      <c r="T103" s="23"/>
      <c r="U103" s="19">
        <f t="shared" si="12"/>
        <v>60845.218304313588</v>
      </c>
      <c r="V103" s="128">
        <f t="shared" si="11"/>
        <v>0.88437817302781374</v>
      </c>
      <c r="X103" s="54"/>
      <c r="Y103" s="56"/>
      <c r="AA103" s="2"/>
      <c r="AB103" s="2"/>
      <c r="AC103" s="132" t="str">
        <f t="shared" si="16"/>
        <v/>
      </c>
    </row>
    <row r="104" spans="1:29" ht="15.75">
      <c r="A104" s="29" t="s">
        <v>243</v>
      </c>
      <c r="B104" s="3" t="s">
        <v>68</v>
      </c>
      <c r="C104" s="9" t="s">
        <v>375</v>
      </c>
      <c r="D104" s="3" t="s">
        <v>30</v>
      </c>
      <c r="E104" s="3" t="str">
        <f t="shared" si="20"/>
        <v>Hiwa</v>
      </c>
      <c r="F104" s="10" t="s">
        <v>46</v>
      </c>
      <c r="G104" s="1">
        <v>1080</v>
      </c>
      <c r="H104" s="27">
        <f>G104*20</f>
        <v>21600</v>
      </c>
      <c r="I104" s="82" t="b">
        <v>0</v>
      </c>
      <c r="J104" s="116">
        <f t="shared" si="10"/>
        <v>0</v>
      </c>
      <c r="K104" s="124"/>
      <c r="L104" s="22"/>
      <c r="M104" s="22"/>
      <c r="N104" s="22"/>
      <c r="O104" s="22"/>
      <c r="P104" s="23"/>
      <c r="Q104" s="23"/>
      <c r="R104" s="23"/>
      <c r="S104" s="23"/>
      <c r="T104" s="23"/>
      <c r="U104" s="19">
        <f t="shared" si="12"/>
        <v>0</v>
      </c>
      <c r="V104" s="128">
        <f t="shared" si="11"/>
        <v>0</v>
      </c>
      <c r="X104" s="54"/>
      <c r="Y104" s="56"/>
      <c r="AA104" s="2"/>
      <c r="AB104" s="2"/>
      <c r="AC104" s="132" t="str">
        <f t="shared" si="16"/>
        <v/>
      </c>
    </row>
    <row r="105" spans="1:29" ht="15.75">
      <c r="A105" s="29" t="s">
        <v>244</v>
      </c>
      <c r="B105" s="3" t="s">
        <v>186</v>
      </c>
      <c r="C105" s="9" t="s">
        <v>29</v>
      </c>
      <c r="D105" s="3" t="s">
        <v>112</v>
      </c>
      <c r="E105" s="3" t="str">
        <f t="shared" si="20"/>
        <v>Direct</v>
      </c>
      <c r="F105" s="3" t="s">
        <v>46</v>
      </c>
      <c r="G105" s="3">
        <v>80</v>
      </c>
      <c r="H105" s="28">
        <f>G105*215</f>
        <v>17200</v>
      </c>
      <c r="I105" s="82" t="b">
        <v>0</v>
      </c>
      <c r="J105" s="116">
        <f t="shared" si="10"/>
        <v>0</v>
      </c>
      <c r="K105" s="124"/>
      <c r="L105" s="22"/>
      <c r="M105" s="22"/>
      <c r="N105" s="22"/>
      <c r="O105" s="22"/>
      <c r="P105" s="23"/>
      <c r="Q105" s="23"/>
      <c r="R105" s="23"/>
      <c r="S105" s="23"/>
      <c r="T105" s="23"/>
      <c r="U105" s="19">
        <f t="shared" si="12"/>
        <v>0</v>
      </c>
      <c r="V105" s="128">
        <f t="shared" si="11"/>
        <v>0</v>
      </c>
      <c r="X105" s="54"/>
      <c r="Y105" s="56"/>
      <c r="AA105" s="2"/>
      <c r="AB105" s="2"/>
      <c r="AC105" s="132" t="str">
        <f t="shared" si="16"/>
        <v/>
      </c>
    </row>
    <row r="106" spans="1:29" ht="15.75">
      <c r="A106" s="29" t="s">
        <v>245</v>
      </c>
      <c r="B106" s="3" t="s">
        <v>246</v>
      </c>
      <c r="C106" s="3" t="s">
        <v>176</v>
      </c>
      <c r="D106" s="3" t="s">
        <v>247</v>
      </c>
      <c r="E106" s="3" t="str">
        <f t="shared" si="20"/>
        <v>Direct</v>
      </c>
      <c r="F106" s="3" t="s">
        <v>121</v>
      </c>
      <c r="G106" s="3">
        <v>4</v>
      </c>
      <c r="H106" s="28">
        <v>800</v>
      </c>
      <c r="I106" s="82" t="b">
        <v>1</v>
      </c>
      <c r="J106" s="116">
        <f t="shared" ref="J106:J174" si="21">IF(H106="","",+K106/H106)</f>
        <v>1.85</v>
      </c>
      <c r="K106" s="124">
        <v>1480</v>
      </c>
      <c r="L106" s="22">
        <v>435</v>
      </c>
      <c r="M106" s="22"/>
      <c r="N106" s="22"/>
      <c r="O106" s="22"/>
      <c r="P106" s="23"/>
      <c r="Q106" s="23"/>
      <c r="R106" s="23"/>
      <c r="S106" s="23"/>
      <c r="T106" s="23"/>
      <c r="U106" s="19">
        <f t="shared" si="12"/>
        <v>1915</v>
      </c>
      <c r="V106" s="128">
        <f t="shared" ref="V106:V202" si="22">IF(J106="","",+U106/H106)</f>
        <v>2.3937499999999998</v>
      </c>
      <c r="X106" s="54"/>
      <c r="Y106" s="56"/>
      <c r="AA106" s="2"/>
      <c r="AB106" s="2"/>
      <c r="AC106" s="132" t="str">
        <f t="shared" si="16"/>
        <v/>
      </c>
    </row>
    <row r="107" spans="1:29" ht="15.75">
      <c r="A107" s="29" t="s">
        <v>248</v>
      </c>
      <c r="B107" s="3" t="s">
        <v>186</v>
      </c>
      <c r="C107" s="9" t="s">
        <v>29</v>
      </c>
      <c r="D107" s="3" t="s">
        <v>112</v>
      </c>
      <c r="E107" s="3" t="str">
        <f t="shared" si="20"/>
        <v>Direct</v>
      </c>
      <c r="F107" s="3" t="s">
        <v>46</v>
      </c>
      <c r="G107" s="3">
        <v>80</v>
      </c>
      <c r="H107" s="28">
        <f>G107*215</f>
        <v>17200</v>
      </c>
      <c r="I107" s="82" t="b">
        <v>0</v>
      </c>
      <c r="J107" s="116">
        <f t="shared" si="21"/>
        <v>0</v>
      </c>
      <c r="K107" s="124"/>
      <c r="L107" s="22"/>
      <c r="M107" s="22"/>
      <c r="N107" s="22"/>
      <c r="O107" s="22"/>
      <c r="P107" s="23"/>
      <c r="Q107" s="23"/>
      <c r="R107" s="23"/>
      <c r="S107" s="23"/>
      <c r="T107" s="23"/>
      <c r="U107" s="19">
        <f t="shared" si="12"/>
        <v>0</v>
      </c>
      <c r="V107" s="128">
        <f t="shared" si="22"/>
        <v>0</v>
      </c>
      <c r="X107" s="54"/>
      <c r="Y107" s="56"/>
      <c r="AA107" s="2"/>
      <c r="AB107" s="2"/>
      <c r="AC107" s="132" t="str">
        <f t="shared" si="16"/>
        <v/>
      </c>
    </row>
    <row r="108" spans="1:29" ht="15.75">
      <c r="A108" s="29" t="s">
        <v>249</v>
      </c>
      <c r="B108" s="3" t="s">
        <v>153</v>
      </c>
      <c r="C108" s="3" t="s">
        <v>126</v>
      </c>
      <c r="D108" s="3" t="s">
        <v>127</v>
      </c>
      <c r="E108" s="3" t="str">
        <f>IF(B108="","",IF(D108="Godfroy","Godfroy",(IF(LEFT(B108,1)="1","Hiwa","Direct"))))</f>
        <v>Direct</v>
      </c>
      <c r="F108" s="3" t="s">
        <v>128</v>
      </c>
      <c r="G108" s="3">
        <v>4</v>
      </c>
      <c r="H108" s="28">
        <f>G108*220</f>
        <v>880</v>
      </c>
      <c r="I108" s="82" t="b">
        <v>1</v>
      </c>
      <c r="J108" s="116">
        <f t="shared" si="21"/>
        <v>0.78</v>
      </c>
      <c r="K108" s="124">
        <v>686.4</v>
      </c>
      <c r="L108" s="22">
        <f>181*1.09</f>
        <v>197.29000000000002</v>
      </c>
      <c r="M108" s="22"/>
      <c r="N108" s="22"/>
      <c r="O108" s="22"/>
      <c r="P108" s="23"/>
      <c r="Q108" s="23"/>
      <c r="R108" s="23"/>
      <c r="S108" s="23"/>
      <c r="T108" s="23"/>
      <c r="U108" s="19">
        <f t="shared" si="12"/>
        <v>883.69</v>
      </c>
      <c r="V108" s="128">
        <f t="shared" si="22"/>
        <v>1.004193181818182</v>
      </c>
      <c r="X108" s="54"/>
      <c r="Y108" s="56"/>
      <c r="AA108" s="2"/>
      <c r="AB108" s="2"/>
      <c r="AC108" s="132" t="str">
        <f t="shared" si="16"/>
        <v/>
      </c>
    </row>
    <row r="109" spans="1:29" ht="15.75">
      <c r="A109" s="29" t="s">
        <v>250</v>
      </c>
      <c r="B109" s="3" t="s">
        <v>175</v>
      </c>
      <c r="C109" s="9" t="s">
        <v>176</v>
      </c>
      <c r="D109" s="3" t="s">
        <v>177</v>
      </c>
      <c r="E109" s="3" t="str">
        <f t="shared" ref="E109:E110" si="23">IF(B109="","",IF(D109="Godfroy","Godfroy",(IF(LEFT(B109,1)="1","Hiwa","Direct"))))</f>
        <v>Direct</v>
      </c>
      <c r="F109" s="10" t="s">
        <v>128</v>
      </c>
      <c r="G109" s="1">
        <v>19</v>
      </c>
      <c r="H109" s="27">
        <f>G109*24</f>
        <v>456</v>
      </c>
      <c r="I109" s="82" t="b">
        <v>1</v>
      </c>
      <c r="J109" s="116">
        <f t="shared" si="21"/>
        <v>2.2000000000000002</v>
      </c>
      <c r="K109" s="124">
        <v>1003.2</v>
      </c>
      <c r="L109" s="22">
        <v>280</v>
      </c>
      <c r="M109" s="22"/>
      <c r="N109" s="22"/>
      <c r="O109" s="22"/>
      <c r="P109" s="23"/>
      <c r="Q109" s="23"/>
      <c r="R109" s="23"/>
      <c r="S109" s="23"/>
      <c r="T109" s="23"/>
      <c r="U109" s="19">
        <f t="shared" si="12"/>
        <v>1283.2</v>
      </c>
      <c r="V109" s="128">
        <f t="shared" si="22"/>
        <v>2.8140350877192986</v>
      </c>
      <c r="X109" s="54"/>
      <c r="Y109" s="56"/>
      <c r="AA109" s="2"/>
      <c r="AB109" s="2"/>
      <c r="AC109" s="132" t="str">
        <f t="shared" si="16"/>
        <v/>
      </c>
    </row>
    <row r="110" spans="1:29" ht="15.75">
      <c r="A110" s="29" t="s">
        <v>251</v>
      </c>
      <c r="B110" s="3" t="s">
        <v>252</v>
      </c>
      <c r="C110" s="9" t="s">
        <v>176</v>
      </c>
      <c r="D110" s="3" t="s">
        <v>177</v>
      </c>
      <c r="E110" s="3" t="str">
        <f t="shared" si="23"/>
        <v>Direct</v>
      </c>
      <c r="F110" s="10" t="s">
        <v>128</v>
      </c>
      <c r="G110" s="1">
        <v>36</v>
      </c>
      <c r="H110" s="27">
        <f>+G110*12</f>
        <v>432</v>
      </c>
      <c r="I110" s="82" t="b">
        <v>1</v>
      </c>
      <c r="J110" s="116">
        <f t="shared" si="21"/>
        <v>2.9</v>
      </c>
      <c r="K110" s="124">
        <v>1252.8</v>
      </c>
      <c r="L110" s="22">
        <v>280</v>
      </c>
      <c r="M110" s="22"/>
      <c r="N110" s="22"/>
      <c r="O110" s="22"/>
      <c r="P110" s="23"/>
      <c r="Q110" s="23"/>
      <c r="R110" s="23"/>
      <c r="S110" s="23"/>
      <c r="T110" s="23"/>
      <c r="U110" s="19">
        <f t="shared" si="12"/>
        <v>1532.8</v>
      </c>
      <c r="V110" s="128">
        <f t="shared" si="22"/>
        <v>3.5481481481481478</v>
      </c>
      <c r="X110" s="54"/>
      <c r="Y110" s="56"/>
      <c r="AA110" s="2"/>
      <c r="AB110" s="2"/>
      <c r="AC110" s="132" t="str">
        <f t="shared" si="16"/>
        <v/>
      </c>
    </row>
    <row r="111" spans="1:29" ht="15.75">
      <c r="A111" s="29" t="s">
        <v>253</v>
      </c>
      <c r="B111" s="3" t="s">
        <v>254</v>
      </c>
      <c r="C111" s="9" t="s">
        <v>66</v>
      </c>
      <c r="D111" s="3" t="s">
        <v>116</v>
      </c>
      <c r="E111" s="3" t="s">
        <v>255</v>
      </c>
      <c r="F111" s="10" t="s">
        <v>59</v>
      </c>
      <c r="G111" s="1">
        <v>120</v>
      </c>
      <c r="H111" s="27">
        <f>+G111*200</f>
        <v>24000</v>
      </c>
      <c r="I111" s="82" t="b">
        <v>0</v>
      </c>
      <c r="J111" s="116">
        <f t="shared" si="21"/>
        <v>0</v>
      </c>
      <c r="K111" s="124"/>
      <c r="L111" s="22"/>
      <c r="M111" s="22"/>
      <c r="N111" s="22"/>
      <c r="O111" s="22"/>
      <c r="P111" s="23"/>
      <c r="Q111" s="23"/>
      <c r="R111" s="23"/>
      <c r="S111" s="23"/>
      <c r="T111" s="23"/>
      <c r="U111" s="19">
        <f t="shared" si="12"/>
        <v>0</v>
      </c>
      <c r="V111" s="128">
        <f t="shared" si="22"/>
        <v>0</v>
      </c>
      <c r="X111" s="54"/>
      <c r="Y111" s="56"/>
      <c r="AA111" s="2"/>
      <c r="AB111" s="2"/>
      <c r="AC111" s="132" t="str">
        <f t="shared" si="16"/>
        <v/>
      </c>
    </row>
    <row r="112" spans="1:29" ht="15.75">
      <c r="A112" s="29" t="s">
        <v>256</v>
      </c>
      <c r="B112" s="3" t="s">
        <v>93</v>
      </c>
      <c r="C112" s="9" t="s">
        <v>90</v>
      </c>
      <c r="D112" s="3" t="s">
        <v>94</v>
      </c>
      <c r="E112" s="3" t="str">
        <f t="shared" ref="E112" si="24">IF(B112="","",IF(D112="Godfroy","Godfroy",(IF(LEFT(B112,1)="1","Hiwa","Direct"))))</f>
        <v>Direct</v>
      </c>
      <c r="F112" s="10" t="s">
        <v>59</v>
      </c>
      <c r="G112" s="1">
        <v>124</v>
      </c>
      <c r="H112" s="27">
        <f>G112*205</f>
        <v>25420</v>
      </c>
      <c r="I112" s="82" t="b">
        <v>0</v>
      </c>
      <c r="J112" s="116">
        <f t="shared" si="21"/>
        <v>0</v>
      </c>
      <c r="K112" s="124"/>
      <c r="L112" s="22"/>
      <c r="M112" s="22"/>
      <c r="N112" s="22"/>
      <c r="O112" s="22"/>
      <c r="P112" s="23"/>
      <c r="Q112" s="23"/>
      <c r="R112" s="23"/>
      <c r="S112" s="23"/>
      <c r="T112" s="23"/>
      <c r="U112" s="19">
        <f t="shared" si="12"/>
        <v>0</v>
      </c>
      <c r="V112" s="128">
        <f t="shared" si="22"/>
        <v>0</v>
      </c>
      <c r="X112" s="54"/>
      <c r="Y112" s="56"/>
      <c r="AA112" s="2"/>
      <c r="AB112" s="2"/>
      <c r="AC112" s="132" t="str">
        <f t="shared" si="16"/>
        <v/>
      </c>
    </row>
    <row r="113" spans="1:29" ht="15.75">
      <c r="A113" s="29" t="s">
        <v>257</v>
      </c>
      <c r="B113" s="3" t="s">
        <v>254</v>
      </c>
      <c r="C113" s="9" t="s">
        <v>66</v>
      </c>
      <c r="D113" s="3" t="s">
        <v>116</v>
      </c>
      <c r="E113" s="3" t="s">
        <v>255</v>
      </c>
      <c r="F113" s="10" t="s">
        <v>59</v>
      </c>
      <c r="G113" s="1">
        <v>120</v>
      </c>
      <c r="H113" s="27">
        <f>+G113*200</f>
        <v>24000</v>
      </c>
      <c r="I113" s="82" t="b">
        <v>0</v>
      </c>
      <c r="J113" s="116">
        <f t="shared" si="21"/>
        <v>0</v>
      </c>
      <c r="K113" s="124"/>
      <c r="L113" s="22"/>
      <c r="M113" s="22"/>
      <c r="N113" s="22"/>
      <c r="O113" s="22"/>
      <c r="P113" s="23"/>
      <c r="Q113" s="23"/>
      <c r="R113" s="23"/>
      <c r="S113" s="23"/>
      <c r="T113" s="23"/>
      <c r="U113" s="19">
        <f t="shared" ref="U113:U202" si="25">IF(B113="","",K113+SUM(L113:Q113))</f>
        <v>0</v>
      </c>
      <c r="V113" s="128">
        <f t="shared" si="22"/>
        <v>0</v>
      </c>
      <c r="X113" s="54"/>
      <c r="Y113" s="56"/>
      <c r="AA113" s="2"/>
      <c r="AB113" s="2"/>
      <c r="AC113" s="132" t="str">
        <f t="shared" si="16"/>
        <v/>
      </c>
    </row>
    <row r="114" spans="1:29" ht="15.75">
      <c r="A114" s="29" t="s">
        <v>258</v>
      </c>
      <c r="B114" s="3" t="s">
        <v>143</v>
      </c>
      <c r="C114" s="9" t="s">
        <v>119</v>
      </c>
      <c r="D114" s="3" t="s">
        <v>144</v>
      </c>
      <c r="E114" s="3" t="str">
        <f t="shared" ref="E114:E123" si="26">IF(B114="","",IF(D114="Godfroy","Godfroy",(IF(LEFT(B114,1)="1","Hiwa","Direct"))))</f>
        <v>Direct</v>
      </c>
      <c r="F114" s="10" t="s">
        <v>121</v>
      </c>
      <c r="G114" s="1">
        <v>110</v>
      </c>
      <c r="H114" s="27">
        <v>1100</v>
      </c>
      <c r="I114" s="82" t="b">
        <v>1</v>
      </c>
      <c r="J114" s="116">
        <f t="shared" si="21"/>
        <v>1.115</v>
      </c>
      <c r="K114" s="124">
        <v>1226.5</v>
      </c>
      <c r="L114" s="106"/>
      <c r="M114" s="22"/>
      <c r="N114" s="22"/>
      <c r="O114" s="22"/>
      <c r="P114" s="23"/>
      <c r="Q114" s="23"/>
      <c r="R114" s="23"/>
      <c r="S114" s="23"/>
      <c r="T114" s="23"/>
      <c r="U114" s="19">
        <f t="shared" si="25"/>
        <v>1226.5</v>
      </c>
      <c r="V114" s="128">
        <f t="shared" si="22"/>
        <v>1.115</v>
      </c>
      <c r="X114" s="54"/>
      <c r="Y114" s="56"/>
      <c r="AA114" s="2"/>
      <c r="AB114" s="2"/>
      <c r="AC114" s="132" t="str">
        <f t="shared" si="16"/>
        <v/>
      </c>
    </row>
    <row r="115" spans="1:29" ht="15.75">
      <c r="A115" s="29" t="s">
        <v>259</v>
      </c>
      <c r="B115" s="3" t="s">
        <v>89</v>
      </c>
      <c r="C115" s="9" t="s">
        <v>90</v>
      </c>
      <c r="D115" s="3" t="s">
        <v>30</v>
      </c>
      <c r="E115" s="3" t="str">
        <f t="shared" si="26"/>
        <v>Hiwa</v>
      </c>
      <c r="F115" s="10" t="s">
        <v>59</v>
      </c>
      <c r="G115" s="1">
        <v>512</v>
      </c>
      <c r="H115" s="27">
        <f t="shared" ref="H115" si="27">G115*205</f>
        <v>104960</v>
      </c>
      <c r="I115" s="82" t="b">
        <v>1</v>
      </c>
      <c r="J115" s="116">
        <f t="shared" si="21"/>
        <v>0.59748703980318085</v>
      </c>
      <c r="K115" s="124">
        <f>71372.8/1.1381</f>
        <v>62712.239697741861</v>
      </c>
      <c r="L115" s="22">
        <f>6184/1.1384</f>
        <v>5432.1855235418125</v>
      </c>
      <c r="M115" s="22">
        <f>(1892.23+63.45)</f>
        <v>1955.68</v>
      </c>
      <c r="N115" s="22"/>
      <c r="O115" s="22">
        <v>5051.3999999999996</v>
      </c>
      <c r="P115" s="23">
        <f>125.31+123.35+125.31+125.31+1.96</f>
        <v>501.24</v>
      </c>
      <c r="Q115" s="23">
        <f>4.51+4.51+4.51+4.51</f>
        <v>18.04</v>
      </c>
      <c r="R115" s="23"/>
      <c r="S115" s="23"/>
      <c r="T115" s="23"/>
      <c r="U115" s="19">
        <f t="shared" si="25"/>
        <v>75670.785221283673</v>
      </c>
      <c r="V115" s="128">
        <f t="shared" si="22"/>
        <v>0.7209487921235106</v>
      </c>
      <c r="X115" s="80" t="s">
        <v>260</v>
      </c>
      <c r="Y115" s="72">
        <v>45831</v>
      </c>
      <c r="AA115" s="2">
        <f>128+126+128+128+2</f>
        <v>512</v>
      </c>
      <c r="AB115" s="2">
        <f>26240+25830+26240+26240+410</f>
        <v>104960</v>
      </c>
      <c r="AC115" s="132">
        <f t="shared" si="16"/>
        <v>75670.785221283673</v>
      </c>
    </row>
    <row r="116" spans="1:29" ht="15.75">
      <c r="A116" s="29" t="s">
        <v>261</v>
      </c>
      <c r="B116" s="3" t="s">
        <v>224</v>
      </c>
      <c r="C116" s="3" t="s">
        <v>133</v>
      </c>
      <c r="D116" s="3" t="s">
        <v>222</v>
      </c>
      <c r="E116" s="3" t="str">
        <f t="shared" si="26"/>
        <v>Direct</v>
      </c>
      <c r="F116" s="3" t="s">
        <v>121</v>
      </c>
      <c r="G116" s="3">
        <v>4</v>
      </c>
      <c r="H116" s="28">
        <v>4000</v>
      </c>
      <c r="I116" s="82" t="b">
        <v>1</v>
      </c>
      <c r="J116" s="116">
        <f t="shared" si="21"/>
        <v>1.43</v>
      </c>
      <c r="K116" s="124">
        <v>5720</v>
      </c>
      <c r="L116" s="22">
        <v>480</v>
      </c>
      <c r="M116" s="22"/>
      <c r="N116" s="22"/>
      <c r="O116" s="22"/>
      <c r="P116" s="23"/>
      <c r="Q116" s="23"/>
      <c r="R116" s="23"/>
      <c r="S116" s="23"/>
      <c r="T116" s="23"/>
      <c r="U116" s="19">
        <f t="shared" si="25"/>
        <v>6200</v>
      </c>
      <c r="V116" s="128">
        <f t="shared" si="22"/>
        <v>1.55</v>
      </c>
      <c r="X116" s="54"/>
      <c r="Y116" s="56"/>
      <c r="AA116" s="2"/>
      <c r="AB116" s="2"/>
      <c r="AC116" s="132" t="str">
        <f t="shared" si="16"/>
        <v/>
      </c>
    </row>
    <row r="117" spans="1:29" ht="15.75">
      <c r="A117" s="29" t="s">
        <v>262</v>
      </c>
      <c r="B117" s="3" t="s">
        <v>263</v>
      </c>
      <c r="C117" s="3" t="s">
        <v>55</v>
      </c>
      <c r="D117" s="3" t="s">
        <v>73</v>
      </c>
      <c r="E117" s="3" t="str">
        <f t="shared" si="26"/>
        <v>Direct</v>
      </c>
      <c r="F117" s="3" t="s">
        <v>46</v>
      </c>
      <c r="G117" s="3">
        <v>124</v>
      </c>
      <c r="H117" s="28">
        <f>G117*190</f>
        <v>23560</v>
      </c>
      <c r="I117" s="82" t="b">
        <v>1</v>
      </c>
      <c r="J117" s="116">
        <f t="shared" si="21"/>
        <v>1.4</v>
      </c>
      <c r="K117" s="124">
        <v>32984</v>
      </c>
      <c r="L117" s="22">
        <v>1521.45</v>
      </c>
      <c r="M117" s="22">
        <f>5014+90</f>
        <v>5104</v>
      </c>
      <c r="N117" s="22">
        <v>120</v>
      </c>
      <c r="O117" s="22"/>
      <c r="P117" s="23"/>
      <c r="Q117" s="23"/>
      <c r="R117" s="23"/>
      <c r="S117" s="23"/>
      <c r="T117" s="23"/>
      <c r="U117" s="19">
        <f t="shared" si="25"/>
        <v>39729.449999999997</v>
      </c>
      <c r="V117" s="128">
        <f t="shared" si="22"/>
        <v>1.6863094227504243</v>
      </c>
      <c r="X117" s="54"/>
      <c r="Y117" s="56"/>
      <c r="AA117" s="2"/>
      <c r="AB117" s="2"/>
      <c r="AC117" s="132" t="str">
        <f t="shared" si="16"/>
        <v/>
      </c>
    </row>
    <row r="118" spans="1:29" ht="15.75">
      <c r="A118" s="29" t="s">
        <v>264</v>
      </c>
      <c r="B118" s="3" t="s">
        <v>263</v>
      </c>
      <c r="C118" s="3" t="s">
        <v>55</v>
      </c>
      <c r="D118" s="3" t="s">
        <v>73</v>
      </c>
      <c r="E118" s="3" t="str">
        <f t="shared" si="26"/>
        <v>Direct</v>
      </c>
      <c r="F118" s="3" t="s">
        <v>46</v>
      </c>
      <c r="G118" s="3">
        <v>124</v>
      </c>
      <c r="H118" s="28">
        <f>G118*190</f>
        <v>23560</v>
      </c>
      <c r="I118" s="82" t="b">
        <v>0</v>
      </c>
      <c r="J118" s="116">
        <f t="shared" si="21"/>
        <v>0</v>
      </c>
      <c r="K118" s="124"/>
      <c r="L118" s="22"/>
      <c r="M118" s="22"/>
      <c r="N118" s="22"/>
      <c r="O118" s="22"/>
      <c r="P118" s="23"/>
      <c r="Q118" s="23"/>
      <c r="R118" s="23"/>
      <c r="S118" s="23"/>
      <c r="T118" s="23"/>
      <c r="U118" s="19">
        <f t="shared" si="25"/>
        <v>0</v>
      </c>
      <c r="V118" s="128">
        <f t="shared" si="22"/>
        <v>0</v>
      </c>
      <c r="X118" s="54"/>
      <c r="Y118" s="56"/>
      <c r="AA118" s="2"/>
      <c r="AB118" s="2"/>
      <c r="AC118" s="132" t="str">
        <f t="shared" si="16"/>
        <v/>
      </c>
    </row>
    <row r="119" spans="1:29" ht="15.75">
      <c r="A119" s="29" t="s">
        <v>265</v>
      </c>
      <c r="B119" s="3" t="s">
        <v>266</v>
      </c>
      <c r="C119" s="3" t="s">
        <v>119</v>
      </c>
      <c r="D119" s="3" t="s">
        <v>267</v>
      </c>
      <c r="E119" s="3" t="str">
        <f t="shared" si="26"/>
        <v>Direct</v>
      </c>
      <c r="F119" s="3" t="s">
        <v>121</v>
      </c>
      <c r="G119" s="3">
        <v>2</v>
      </c>
      <c r="H119" s="28">
        <v>203</v>
      </c>
      <c r="I119" s="82" t="b">
        <v>1</v>
      </c>
      <c r="J119" s="116">
        <f t="shared" si="21"/>
        <v>1.5499999999999998</v>
      </c>
      <c r="K119" s="124">
        <v>314.64999999999998</v>
      </c>
      <c r="L119" s="22">
        <v>200</v>
      </c>
      <c r="M119" s="22"/>
      <c r="N119" s="22"/>
      <c r="O119" s="22"/>
      <c r="P119" s="23"/>
      <c r="Q119" s="23"/>
      <c r="R119" s="23"/>
      <c r="S119" s="23"/>
      <c r="T119" s="23"/>
      <c r="U119" s="19">
        <f t="shared" si="25"/>
        <v>514.65</v>
      </c>
      <c r="V119" s="128">
        <f t="shared" si="22"/>
        <v>2.5352216748768472</v>
      </c>
      <c r="X119" s="54"/>
      <c r="Y119" s="56"/>
      <c r="AA119" s="2"/>
      <c r="AB119" s="2"/>
      <c r="AC119" s="132" t="str">
        <f t="shared" si="16"/>
        <v/>
      </c>
    </row>
    <row r="120" spans="1:29" ht="15.75">
      <c r="A120" s="29" t="s">
        <v>268</v>
      </c>
      <c r="B120" s="3" t="s">
        <v>269</v>
      </c>
      <c r="C120" s="3" t="s">
        <v>119</v>
      </c>
      <c r="D120" s="3" t="s">
        <v>267</v>
      </c>
      <c r="E120" s="3" t="str">
        <f t="shared" si="26"/>
        <v>Direct</v>
      </c>
      <c r="F120" s="3" t="s">
        <v>121</v>
      </c>
      <c r="G120" s="3">
        <v>29</v>
      </c>
      <c r="H120" s="28">
        <v>400</v>
      </c>
      <c r="I120" s="82" t="b">
        <v>1</v>
      </c>
      <c r="J120" s="116">
        <f t="shared" si="21"/>
        <v>0.9</v>
      </c>
      <c r="K120" s="124">
        <v>360</v>
      </c>
      <c r="L120" s="22">
        <v>100</v>
      </c>
      <c r="M120" s="22"/>
      <c r="N120" s="22"/>
      <c r="O120" s="22"/>
      <c r="P120" s="23"/>
      <c r="Q120" s="23"/>
      <c r="R120" s="23"/>
      <c r="S120" s="23"/>
      <c r="T120" s="23"/>
      <c r="U120" s="19">
        <f t="shared" si="25"/>
        <v>460</v>
      </c>
      <c r="V120" s="128">
        <f t="shared" si="22"/>
        <v>1.1499999999999999</v>
      </c>
      <c r="X120" s="54"/>
      <c r="Y120" s="56"/>
      <c r="AA120" s="2"/>
      <c r="AB120" s="2"/>
      <c r="AC120" s="132" t="str">
        <f t="shared" si="16"/>
        <v/>
      </c>
    </row>
    <row r="121" spans="1:29" ht="15.75">
      <c r="A121" s="29" t="s">
        <v>270</v>
      </c>
      <c r="B121" s="3" t="s">
        <v>214</v>
      </c>
      <c r="C121" s="9" t="s">
        <v>119</v>
      </c>
      <c r="D121" s="3" t="s">
        <v>215</v>
      </c>
      <c r="E121" s="3" t="str">
        <f t="shared" si="26"/>
        <v>Direct</v>
      </c>
      <c r="F121" s="10" t="s">
        <v>121</v>
      </c>
      <c r="G121" s="1">
        <v>4</v>
      </c>
      <c r="H121" s="27">
        <f>+G121*200</f>
        <v>800</v>
      </c>
      <c r="I121" s="82" t="b">
        <v>1</v>
      </c>
      <c r="J121" s="116">
        <f t="shared" si="21"/>
        <v>1.73</v>
      </c>
      <c r="K121" s="124">
        <v>1384</v>
      </c>
      <c r="L121" s="22">
        <v>250</v>
      </c>
      <c r="M121" s="22"/>
      <c r="N121" s="22"/>
      <c r="O121" s="22"/>
      <c r="P121" s="23"/>
      <c r="Q121" s="23"/>
      <c r="R121" s="23"/>
      <c r="S121" s="23"/>
      <c r="T121" s="23"/>
      <c r="U121" s="19">
        <f t="shared" si="25"/>
        <v>1634</v>
      </c>
      <c r="V121" s="128">
        <f t="shared" si="22"/>
        <v>2.0425</v>
      </c>
      <c r="X121" s="54"/>
      <c r="Y121" s="56"/>
      <c r="AA121" s="2"/>
      <c r="AB121" s="2"/>
      <c r="AC121" s="132" t="str">
        <f t="shared" si="16"/>
        <v/>
      </c>
    </row>
    <row r="122" spans="1:29" ht="15.75">
      <c r="A122" s="29" t="s">
        <v>271</v>
      </c>
      <c r="B122" s="3" t="s">
        <v>217</v>
      </c>
      <c r="C122" s="9" t="s">
        <v>119</v>
      </c>
      <c r="D122" s="3" t="s">
        <v>215</v>
      </c>
      <c r="E122" s="3" t="str">
        <f t="shared" si="26"/>
        <v>Direct</v>
      </c>
      <c r="F122" s="10" t="s">
        <v>121</v>
      </c>
      <c r="G122" s="1">
        <v>4</v>
      </c>
      <c r="H122" s="27">
        <f>+G122*5</f>
        <v>20</v>
      </c>
      <c r="I122" s="82" t="b">
        <v>1</v>
      </c>
      <c r="J122" s="116">
        <f t="shared" si="21"/>
        <v>4.7</v>
      </c>
      <c r="K122" s="124">
        <v>94</v>
      </c>
      <c r="L122" s="22">
        <v>10</v>
      </c>
      <c r="M122" s="22"/>
      <c r="N122" s="22"/>
      <c r="O122" s="22"/>
      <c r="P122" s="23"/>
      <c r="Q122" s="23"/>
      <c r="R122" s="23"/>
      <c r="S122" s="23"/>
      <c r="T122" s="23"/>
      <c r="U122" s="19">
        <f t="shared" si="25"/>
        <v>104</v>
      </c>
      <c r="V122" s="128">
        <f t="shared" si="22"/>
        <v>5.2</v>
      </c>
      <c r="X122" s="54"/>
      <c r="Y122" s="56"/>
      <c r="AA122" s="2"/>
      <c r="AB122" s="2"/>
      <c r="AC122" s="132" t="str">
        <f t="shared" si="16"/>
        <v/>
      </c>
    </row>
    <row r="123" spans="1:29" ht="15.75">
      <c r="A123" s="29" t="s">
        <v>272</v>
      </c>
      <c r="B123" s="3" t="s">
        <v>68</v>
      </c>
      <c r="C123" s="9" t="s">
        <v>375</v>
      </c>
      <c r="D123" s="3" t="s">
        <v>30</v>
      </c>
      <c r="E123" s="3" t="str">
        <f t="shared" si="26"/>
        <v>Hiwa</v>
      </c>
      <c r="F123" s="10" t="s">
        <v>46</v>
      </c>
      <c r="G123" s="1">
        <v>1080</v>
      </c>
      <c r="H123" s="27">
        <f>G123*20</f>
        <v>21600</v>
      </c>
      <c r="I123" s="82" t="b">
        <v>0</v>
      </c>
      <c r="J123" s="116">
        <f t="shared" si="21"/>
        <v>0</v>
      </c>
      <c r="K123" s="124"/>
      <c r="L123" s="22"/>
      <c r="M123" s="22"/>
      <c r="N123" s="22"/>
      <c r="O123" s="22"/>
      <c r="P123" s="23"/>
      <c r="Q123" s="23"/>
      <c r="R123" s="23"/>
      <c r="S123" s="23"/>
      <c r="T123" s="23"/>
      <c r="U123" s="19">
        <f t="shared" si="25"/>
        <v>0</v>
      </c>
      <c r="V123" s="128">
        <f t="shared" si="22"/>
        <v>0</v>
      </c>
      <c r="X123" s="54"/>
      <c r="Y123" s="56"/>
      <c r="AA123" s="2"/>
      <c r="AB123" s="2"/>
      <c r="AC123" s="132" t="str">
        <f t="shared" si="16"/>
        <v/>
      </c>
    </row>
    <row r="124" spans="1:29" ht="15.75">
      <c r="A124" s="29" t="s">
        <v>273</v>
      </c>
      <c r="B124" s="3" t="s">
        <v>157</v>
      </c>
      <c r="C124" s="3" t="s">
        <v>126</v>
      </c>
      <c r="D124" s="3" t="s">
        <v>226</v>
      </c>
      <c r="E124" s="3" t="str">
        <f>IF(B124="","",IF(D124="Godfroy","Godfroy",(IF(LEFT(B124,1)="1","Hiwa","Direct"))))</f>
        <v>Direct</v>
      </c>
      <c r="F124" s="3" t="s">
        <v>128</v>
      </c>
      <c r="G124" s="3">
        <v>10</v>
      </c>
      <c r="H124" s="28">
        <f>G124*21</f>
        <v>210</v>
      </c>
      <c r="I124" s="82" t="b">
        <v>1</v>
      </c>
      <c r="J124" s="116">
        <f t="shared" si="21"/>
        <v>1</v>
      </c>
      <c r="K124" s="124">
        <v>210</v>
      </c>
      <c r="L124" s="22">
        <v>145.44</v>
      </c>
      <c r="M124" s="22"/>
      <c r="N124" s="22"/>
      <c r="O124" s="22"/>
      <c r="P124" s="23"/>
      <c r="Q124" s="23"/>
      <c r="R124" s="23"/>
      <c r="S124" s="23"/>
      <c r="T124" s="23"/>
      <c r="U124" s="19">
        <f t="shared" si="25"/>
        <v>355.44</v>
      </c>
      <c r="V124" s="128">
        <f t="shared" si="22"/>
        <v>1.6925714285714286</v>
      </c>
      <c r="X124" s="54"/>
      <c r="Y124" s="56"/>
      <c r="AA124" s="2"/>
      <c r="AB124" s="2"/>
      <c r="AC124" s="132" t="str">
        <f t="shared" si="16"/>
        <v/>
      </c>
    </row>
    <row r="125" spans="1:29" ht="15.75">
      <c r="A125" s="29" t="s">
        <v>274</v>
      </c>
      <c r="B125" s="3" t="s">
        <v>132</v>
      </c>
      <c r="C125" s="3" t="s">
        <v>133</v>
      </c>
      <c r="D125" s="13" t="s">
        <v>134</v>
      </c>
      <c r="E125" s="3" t="str">
        <f t="shared" ref="E125:E133" si="28">IF(B125="","",IF(D125="Godfroy","Godfroy",(IF(LEFT(B125,1)="1","Hiwa","Direct"))))</f>
        <v>Direct</v>
      </c>
      <c r="F125" s="3" t="s">
        <v>121</v>
      </c>
      <c r="G125" s="65">
        <v>36</v>
      </c>
      <c r="H125" s="53">
        <f>G125*220</f>
        <v>7920</v>
      </c>
      <c r="I125" s="82" t="b">
        <v>1</v>
      </c>
      <c r="J125" s="116">
        <f t="shared" si="21"/>
        <v>1.45</v>
      </c>
      <c r="K125" s="124">
        <v>11484</v>
      </c>
      <c r="L125" s="22">
        <v>864</v>
      </c>
      <c r="M125" s="22"/>
      <c r="N125" s="22"/>
      <c r="O125" s="22"/>
      <c r="P125" s="23"/>
      <c r="Q125" s="23"/>
      <c r="R125" s="23"/>
      <c r="S125" s="23"/>
      <c r="T125" s="23"/>
      <c r="U125" s="19">
        <f t="shared" si="25"/>
        <v>12348</v>
      </c>
      <c r="V125" s="128">
        <f t="shared" si="22"/>
        <v>1.5590909090909091</v>
      </c>
      <c r="X125" s="54"/>
      <c r="Y125" s="56"/>
      <c r="AA125" s="2"/>
      <c r="AB125" s="2"/>
      <c r="AC125" s="132" t="str">
        <f t="shared" si="16"/>
        <v/>
      </c>
    </row>
    <row r="126" spans="1:29" ht="15.75">
      <c r="A126" s="29" t="s">
        <v>275</v>
      </c>
      <c r="B126" s="3" t="s">
        <v>136</v>
      </c>
      <c r="C126" s="3" t="s">
        <v>133</v>
      </c>
      <c r="D126" s="13" t="s">
        <v>134</v>
      </c>
      <c r="E126" s="3" t="str">
        <f t="shared" si="28"/>
        <v>Direct</v>
      </c>
      <c r="F126" s="3" t="s">
        <v>121</v>
      </c>
      <c r="G126" s="65">
        <v>4</v>
      </c>
      <c r="H126" s="53">
        <f>G126*220</f>
        <v>880</v>
      </c>
      <c r="I126" s="82" t="b">
        <v>1</v>
      </c>
      <c r="J126" s="116">
        <f t="shared" si="21"/>
        <v>1.24</v>
      </c>
      <c r="K126" s="124">
        <v>1091.2</v>
      </c>
      <c r="L126" s="22">
        <v>96</v>
      </c>
      <c r="M126" s="22"/>
      <c r="N126" s="22"/>
      <c r="O126" s="22"/>
      <c r="P126" s="23"/>
      <c r="Q126" s="23"/>
      <c r="R126" s="23"/>
      <c r="S126" s="23"/>
      <c r="T126" s="23"/>
      <c r="U126" s="19">
        <f t="shared" si="25"/>
        <v>1187.2</v>
      </c>
      <c r="V126" s="128">
        <f t="shared" si="22"/>
        <v>1.3490909090909091</v>
      </c>
      <c r="X126" s="54"/>
      <c r="Y126" s="56"/>
      <c r="AA126" s="2"/>
      <c r="AB126" s="2"/>
      <c r="AC126" s="132" t="str">
        <f t="shared" si="16"/>
        <v/>
      </c>
    </row>
    <row r="127" spans="1:29" ht="15.75">
      <c r="A127" s="29" t="s">
        <v>276</v>
      </c>
      <c r="B127" s="3" t="s">
        <v>277</v>
      </c>
      <c r="C127" s="9" t="s">
        <v>176</v>
      </c>
      <c r="D127" s="13" t="s">
        <v>278</v>
      </c>
      <c r="E127" s="3" t="str">
        <f t="shared" si="28"/>
        <v>Direct</v>
      </c>
      <c r="F127" s="10" t="s">
        <v>36</v>
      </c>
      <c r="G127" s="1">
        <v>8</v>
      </c>
      <c r="H127" s="27">
        <f>G127*24</f>
        <v>192</v>
      </c>
      <c r="I127" s="82" t="b">
        <v>1</v>
      </c>
      <c r="J127" s="116">
        <f t="shared" si="21"/>
        <v>2</v>
      </c>
      <c r="K127" s="124">
        <v>384</v>
      </c>
      <c r="L127" s="22">
        <v>260</v>
      </c>
      <c r="M127" s="22"/>
      <c r="N127" s="22"/>
      <c r="O127" s="22"/>
      <c r="P127" s="23"/>
      <c r="Q127" s="23"/>
      <c r="R127" s="23"/>
      <c r="S127" s="23"/>
      <c r="T127" s="23"/>
      <c r="U127" s="19">
        <f t="shared" si="25"/>
        <v>644</v>
      </c>
      <c r="V127" s="128">
        <f t="shared" si="22"/>
        <v>3.3541666666666665</v>
      </c>
      <c r="X127" s="54"/>
      <c r="Y127" s="56"/>
      <c r="AA127" s="2"/>
      <c r="AB127" s="2"/>
      <c r="AC127" s="132" t="str">
        <f t="shared" si="16"/>
        <v/>
      </c>
    </row>
    <row r="128" spans="1:29" ht="15.75">
      <c r="A128" s="29" t="s">
        <v>279</v>
      </c>
      <c r="B128" s="3" t="s">
        <v>280</v>
      </c>
      <c r="C128" s="9" t="s">
        <v>176</v>
      </c>
      <c r="D128" s="13" t="s">
        <v>278</v>
      </c>
      <c r="E128" s="3" t="str">
        <f t="shared" si="28"/>
        <v>Direct</v>
      </c>
      <c r="F128" s="10" t="s">
        <v>36</v>
      </c>
      <c r="G128" s="1">
        <v>8</v>
      </c>
      <c r="H128" s="27">
        <f>G128*24</f>
        <v>192</v>
      </c>
      <c r="I128" s="82" t="b">
        <v>1</v>
      </c>
      <c r="J128" s="116">
        <f t="shared" si="21"/>
        <v>2.3000000000000003</v>
      </c>
      <c r="K128" s="124">
        <v>441.6</v>
      </c>
      <c r="L128" s="22">
        <v>260</v>
      </c>
      <c r="M128" s="22"/>
      <c r="N128" s="22"/>
      <c r="O128" s="22"/>
      <c r="P128" s="23"/>
      <c r="Q128" s="23"/>
      <c r="R128" s="23"/>
      <c r="S128" s="23"/>
      <c r="T128" s="23"/>
      <c r="U128" s="19">
        <f t="shared" si="25"/>
        <v>701.6</v>
      </c>
      <c r="V128" s="128">
        <f t="shared" si="22"/>
        <v>3.6541666666666668</v>
      </c>
      <c r="X128" s="54"/>
      <c r="Y128" s="56"/>
      <c r="AA128" s="2"/>
      <c r="AB128" s="2"/>
      <c r="AC128" s="132" t="str">
        <f t="shared" si="16"/>
        <v/>
      </c>
    </row>
    <row r="129" spans="1:29" ht="15.75">
      <c r="A129" s="29" t="s">
        <v>281</v>
      </c>
      <c r="B129" s="3" t="s">
        <v>143</v>
      </c>
      <c r="C129" s="9" t="s">
        <v>119</v>
      </c>
      <c r="D129" s="3" t="s">
        <v>144</v>
      </c>
      <c r="E129" s="3" t="str">
        <f t="shared" si="28"/>
        <v>Direct</v>
      </c>
      <c r="F129" s="10" t="s">
        <v>121</v>
      </c>
      <c r="G129" s="1">
        <v>110</v>
      </c>
      <c r="H129" s="27">
        <v>1100</v>
      </c>
      <c r="I129" s="82" t="b">
        <v>0</v>
      </c>
      <c r="J129" s="116">
        <f t="shared" si="21"/>
        <v>0</v>
      </c>
      <c r="K129" s="124"/>
      <c r="L129" s="22"/>
      <c r="M129" s="22"/>
      <c r="N129" s="22"/>
      <c r="O129" s="22"/>
      <c r="P129" s="23"/>
      <c r="Q129" s="23"/>
      <c r="R129" s="23"/>
      <c r="S129" s="23"/>
      <c r="T129" s="23"/>
      <c r="U129" s="19">
        <f t="shared" si="25"/>
        <v>0</v>
      </c>
      <c r="V129" s="128">
        <f t="shared" si="22"/>
        <v>0</v>
      </c>
      <c r="X129" s="54"/>
      <c r="Y129" s="56"/>
      <c r="AA129" s="2"/>
      <c r="AB129" s="2"/>
      <c r="AC129" s="132" t="str">
        <f t="shared" si="16"/>
        <v/>
      </c>
    </row>
    <row r="130" spans="1:29" ht="15.75">
      <c r="A130" s="29" t="s">
        <v>282</v>
      </c>
      <c r="B130" s="3" t="s">
        <v>196</v>
      </c>
      <c r="C130" s="9" t="s">
        <v>176</v>
      </c>
      <c r="D130" s="3" t="s">
        <v>197</v>
      </c>
      <c r="E130" s="3" t="str">
        <f t="shared" si="28"/>
        <v>Direct</v>
      </c>
      <c r="F130" s="10" t="s">
        <v>128</v>
      </c>
      <c r="G130" s="14">
        <v>96</v>
      </c>
      <c r="H130" s="81">
        <f>G130*24</f>
        <v>2304</v>
      </c>
      <c r="I130" s="82" t="b">
        <v>1</v>
      </c>
      <c r="J130" s="116">
        <f t="shared" si="21"/>
        <v>2.0999999999999996</v>
      </c>
      <c r="K130" s="124">
        <v>4838.3999999999996</v>
      </c>
      <c r="L130" s="22">
        <v>1040</v>
      </c>
      <c r="M130" s="22"/>
      <c r="N130" s="22"/>
      <c r="O130" s="22"/>
      <c r="P130" s="23"/>
      <c r="Q130" s="23"/>
      <c r="R130" s="23"/>
      <c r="S130" s="23"/>
      <c r="T130" s="23"/>
      <c r="U130" s="19">
        <f t="shared" si="25"/>
        <v>5878.4</v>
      </c>
      <c r="V130" s="128">
        <f t="shared" si="22"/>
        <v>2.5513888888888889</v>
      </c>
      <c r="X130" s="54"/>
      <c r="Y130" s="56"/>
      <c r="AA130" s="2"/>
      <c r="AB130" s="2"/>
      <c r="AC130" s="132" t="str">
        <f t="shared" si="16"/>
        <v/>
      </c>
    </row>
    <row r="131" spans="1:29" ht="15.75">
      <c r="A131" s="29" t="s">
        <v>283</v>
      </c>
      <c r="B131" s="3" t="s">
        <v>183</v>
      </c>
      <c r="C131" s="3" t="s">
        <v>119</v>
      </c>
      <c r="D131" s="13" t="s">
        <v>184</v>
      </c>
      <c r="E131" s="3" t="str">
        <f t="shared" si="28"/>
        <v>Direct</v>
      </c>
      <c r="F131" s="3" t="s">
        <v>121</v>
      </c>
      <c r="G131" s="3">
        <v>8</v>
      </c>
      <c r="H131" s="28">
        <f>G131*210</f>
        <v>1680</v>
      </c>
      <c r="I131" s="82" t="b">
        <v>1</v>
      </c>
      <c r="J131" s="116">
        <f t="shared" si="21"/>
        <v>2.1</v>
      </c>
      <c r="K131" s="124">
        <v>3528</v>
      </c>
      <c r="L131" s="106"/>
      <c r="M131" s="22"/>
      <c r="N131" s="22"/>
      <c r="O131" s="22"/>
      <c r="P131" s="23"/>
      <c r="Q131" s="23"/>
      <c r="R131" s="23"/>
      <c r="S131" s="23"/>
      <c r="T131" s="23"/>
      <c r="U131" s="19">
        <f t="shared" si="25"/>
        <v>3528</v>
      </c>
      <c r="V131" s="128">
        <f t="shared" si="22"/>
        <v>2.1</v>
      </c>
      <c r="X131" s="54"/>
      <c r="Y131" s="56"/>
      <c r="AA131" s="2"/>
      <c r="AB131" s="2"/>
      <c r="AC131" s="132" t="str">
        <f t="shared" si="16"/>
        <v/>
      </c>
    </row>
    <row r="132" spans="1:29" ht="15.75">
      <c r="A132" s="29" t="s">
        <v>284</v>
      </c>
      <c r="B132" s="3" t="s">
        <v>285</v>
      </c>
      <c r="C132" s="9" t="s">
        <v>58</v>
      </c>
      <c r="D132" s="13" t="s">
        <v>30</v>
      </c>
      <c r="E132" s="3" t="str">
        <f t="shared" si="28"/>
        <v>Hiwa</v>
      </c>
      <c r="F132" s="10" t="s">
        <v>59</v>
      </c>
      <c r="G132" s="1">
        <v>12</v>
      </c>
      <c r="H132" s="27">
        <f>G132*190</f>
        <v>2280</v>
      </c>
      <c r="I132" s="82" t="b">
        <v>0</v>
      </c>
      <c r="J132" s="116">
        <f t="shared" si="21"/>
        <v>0</v>
      </c>
      <c r="K132" s="124"/>
      <c r="L132" s="22"/>
      <c r="M132" s="22"/>
      <c r="N132" s="22"/>
      <c r="O132" s="22"/>
      <c r="P132" s="23"/>
      <c r="Q132" s="23"/>
      <c r="R132" s="23"/>
      <c r="S132" s="23"/>
      <c r="T132" s="23"/>
      <c r="U132" s="19">
        <f t="shared" si="25"/>
        <v>0</v>
      </c>
      <c r="V132" s="128">
        <f t="shared" si="22"/>
        <v>0</v>
      </c>
      <c r="X132" s="54"/>
      <c r="Y132" s="56"/>
      <c r="AA132" s="2"/>
      <c r="AB132" s="2"/>
      <c r="AC132" s="132" t="str">
        <f t="shared" si="16"/>
        <v/>
      </c>
    </row>
    <row r="133" spans="1:29" ht="15.75">
      <c r="A133" s="29" t="s">
        <v>286</v>
      </c>
      <c r="B133" s="3" t="s">
        <v>183</v>
      </c>
      <c r="C133" s="3" t="s">
        <v>119</v>
      </c>
      <c r="D133" s="13" t="s">
        <v>184</v>
      </c>
      <c r="E133" s="3" t="str">
        <f t="shared" si="28"/>
        <v>Direct</v>
      </c>
      <c r="F133" s="3" t="s">
        <v>121</v>
      </c>
      <c r="G133" s="3">
        <v>12</v>
      </c>
      <c r="H133" s="28">
        <f>G133*210</f>
        <v>2520</v>
      </c>
      <c r="I133" s="82" t="b">
        <v>0</v>
      </c>
      <c r="J133" s="116">
        <f t="shared" si="21"/>
        <v>0</v>
      </c>
      <c r="K133" s="124"/>
      <c r="L133" s="22"/>
      <c r="M133" s="22"/>
      <c r="N133" s="22"/>
      <c r="O133" s="22"/>
      <c r="P133" s="23"/>
      <c r="Q133" s="23"/>
      <c r="R133" s="23"/>
      <c r="S133" s="23"/>
      <c r="T133" s="23"/>
      <c r="U133" s="19">
        <f t="shared" si="25"/>
        <v>0</v>
      </c>
      <c r="V133" s="128">
        <f t="shared" si="22"/>
        <v>0</v>
      </c>
      <c r="X133" s="54"/>
      <c r="Y133" s="56"/>
      <c r="AA133" s="2"/>
      <c r="AB133" s="2"/>
      <c r="AC133" s="132" t="str">
        <f t="shared" si="16"/>
        <v/>
      </c>
    </row>
    <row r="134" spans="1:29" ht="15.75">
      <c r="A134" s="29" t="s">
        <v>287</v>
      </c>
      <c r="B134" s="3" t="s">
        <v>288</v>
      </c>
      <c r="C134" s="3" t="s">
        <v>34</v>
      </c>
      <c r="D134" s="3" t="s">
        <v>289</v>
      </c>
      <c r="E134" s="3" t="str">
        <f>IF(B134="","",IF(D134="Godfroy","Godfroy",(IF(LEFT(B134,1)="1","Hiwa","Direct"))))</f>
        <v>Direct</v>
      </c>
      <c r="F134" s="3" t="s">
        <v>36</v>
      </c>
      <c r="G134" s="3">
        <v>10</v>
      </c>
      <c r="H134" s="28">
        <v>200</v>
      </c>
      <c r="I134" s="82" t="b">
        <v>1</v>
      </c>
      <c r="J134" s="116">
        <f>IF(H134="","",+K134/H134)</f>
        <v>16.04</v>
      </c>
      <c r="K134" s="124">
        <v>3208</v>
      </c>
      <c r="L134" s="106"/>
      <c r="M134" s="22"/>
      <c r="N134" s="22"/>
      <c r="O134" s="22"/>
      <c r="P134" s="23"/>
      <c r="Q134" s="23"/>
      <c r="R134" s="23"/>
      <c r="S134" s="23"/>
      <c r="T134" s="23"/>
      <c r="U134" s="19">
        <f t="shared" si="25"/>
        <v>3208</v>
      </c>
      <c r="V134" s="128">
        <f t="shared" si="22"/>
        <v>16.04</v>
      </c>
      <c r="X134" s="54"/>
      <c r="Y134" s="56"/>
      <c r="AA134" s="2"/>
      <c r="AB134" s="2"/>
      <c r="AC134" s="132" t="str">
        <f t="shared" si="16"/>
        <v/>
      </c>
    </row>
    <row r="135" spans="1:29" ht="15.75">
      <c r="A135" s="29" t="s">
        <v>290</v>
      </c>
      <c r="B135" s="3" t="s">
        <v>89</v>
      </c>
      <c r="C135" s="9" t="s">
        <v>90</v>
      </c>
      <c r="D135" s="3" t="s">
        <v>30</v>
      </c>
      <c r="E135" s="3" t="str">
        <f t="shared" ref="E135" si="29">IF(B135="","",IF(D135="Godfroy","Godfroy",(IF(LEFT(B135,1)="1","Hiwa","Direct"))))</f>
        <v>Hiwa</v>
      </c>
      <c r="F135" s="10" t="s">
        <v>59</v>
      </c>
      <c r="G135" s="1">
        <v>80</v>
      </c>
      <c r="H135" s="27">
        <f>+G135*205</f>
        <v>16400</v>
      </c>
      <c r="I135" s="82" t="b">
        <v>0</v>
      </c>
      <c r="J135" s="116">
        <f>IF(H135="","",+K135/H135)</f>
        <v>0</v>
      </c>
      <c r="K135" s="124"/>
      <c r="L135" s="22"/>
      <c r="M135" s="22"/>
      <c r="N135" s="22"/>
      <c r="O135" s="22"/>
      <c r="P135" s="23"/>
      <c r="Q135" s="23"/>
      <c r="R135" s="23"/>
      <c r="S135" s="23"/>
      <c r="T135" s="23"/>
      <c r="U135" s="19">
        <f>IF(B135="","",K135+SUM(L135:Q135))</f>
        <v>0</v>
      </c>
      <c r="V135" s="128">
        <f>IF(J135="","",+U135/H135)</f>
        <v>0</v>
      </c>
      <c r="X135" s="54"/>
      <c r="Y135" s="56"/>
      <c r="AA135" s="2"/>
      <c r="AB135" s="2"/>
      <c r="AC135" s="132" t="str">
        <f t="shared" si="16"/>
        <v/>
      </c>
    </row>
    <row r="136" spans="1:29" ht="15.75">
      <c r="A136" s="29" t="s">
        <v>291</v>
      </c>
      <c r="B136" s="3" t="s">
        <v>292</v>
      </c>
      <c r="C136" s="9" t="s">
        <v>90</v>
      </c>
      <c r="D136" s="3" t="s">
        <v>30</v>
      </c>
      <c r="E136" s="3" t="str">
        <f>IF(B136="","",IF(D136="Godfroy","Godfroy",(IF(LEFT(B136,1)="1","Hiwa","Direct"))))</f>
        <v>Hiwa</v>
      </c>
      <c r="F136" s="10" t="s">
        <v>59</v>
      </c>
      <c r="G136" s="1">
        <v>48</v>
      </c>
      <c r="H136" s="27">
        <f>+G136*210</f>
        <v>10080</v>
      </c>
      <c r="I136" s="82" t="b">
        <v>0</v>
      </c>
      <c r="J136" s="116">
        <f>IF(H136="","",+K136/H136)</f>
        <v>0</v>
      </c>
      <c r="K136" s="124"/>
      <c r="L136" s="22"/>
      <c r="M136" s="22"/>
      <c r="N136" s="22"/>
      <c r="O136" s="22"/>
      <c r="P136" s="23"/>
      <c r="Q136" s="23"/>
      <c r="R136" s="23"/>
      <c r="S136" s="23"/>
      <c r="T136" s="23"/>
      <c r="U136" s="19">
        <f>IF(B136="","",K136+SUM(L136:Q136))</f>
        <v>0</v>
      </c>
      <c r="V136" s="128">
        <f>IF(J136="","",+U136/H136)</f>
        <v>0</v>
      </c>
      <c r="X136" s="54"/>
      <c r="Y136" s="56"/>
      <c r="AA136" s="2"/>
      <c r="AB136" s="2"/>
      <c r="AC136" s="132" t="str">
        <f t="shared" ref="AC136:AC145" si="30">IF(AB136&gt;0,((AB136)*V136),"")</f>
        <v/>
      </c>
    </row>
    <row r="137" spans="1:29" ht="15.75">
      <c r="A137" s="29" t="s">
        <v>293</v>
      </c>
      <c r="B137" s="3" t="s">
        <v>153</v>
      </c>
      <c r="C137" s="3" t="s">
        <v>126</v>
      </c>
      <c r="D137" s="3" t="s">
        <v>127</v>
      </c>
      <c r="E137" s="3" t="str">
        <f>IF(B137="","",IF(D137="Godfroy","Godfroy",(IF(LEFT(B137,1)="1","Hiwa","Direct"))))</f>
        <v>Direct</v>
      </c>
      <c r="F137" s="3" t="s">
        <v>128</v>
      </c>
      <c r="G137" s="3">
        <v>4</v>
      </c>
      <c r="H137" s="28">
        <f>G137*220</f>
        <v>880</v>
      </c>
      <c r="I137" s="82" t="b">
        <v>1</v>
      </c>
      <c r="J137" s="116">
        <f>IF(H137="","",+K137/H137)</f>
        <v>0</v>
      </c>
      <c r="K137" s="124"/>
      <c r="L137" s="22"/>
      <c r="M137" s="22"/>
      <c r="N137" s="22"/>
      <c r="O137" s="22"/>
      <c r="P137" s="23"/>
      <c r="Q137" s="23"/>
      <c r="R137" s="23"/>
      <c r="S137" s="23"/>
      <c r="T137" s="23"/>
      <c r="U137" s="19">
        <f>IF(B137="","",K137+SUM(L137:Q137))</f>
        <v>0</v>
      </c>
      <c r="V137" s="128">
        <f>IF(J137="","",+U137/H137)</f>
        <v>0</v>
      </c>
      <c r="X137" s="54"/>
      <c r="Y137" s="56"/>
      <c r="AA137" s="2"/>
      <c r="AB137" s="2"/>
      <c r="AC137" s="132" t="str">
        <f t="shared" si="30"/>
        <v/>
      </c>
    </row>
    <row r="138" spans="1:29" ht="15.75">
      <c r="A138" s="29" t="s">
        <v>294</v>
      </c>
      <c r="B138" s="3" t="s">
        <v>93</v>
      </c>
      <c r="C138" s="3" t="s">
        <v>90</v>
      </c>
      <c r="D138" s="3" t="s">
        <v>112</v>
      </c>
      <c r="E138" s="3" t="str">
        <f t="shared" ref="E138" si="31">IF(B138="","",IF(D138="Godfroy","Godfroy",(IF(LEFT(B138,1)="1","Hiwa","Direct"))))</f>
        <v>Direct</v>
      </c>
      <c r="F138" s="3" t="s">
        <v>59</v>
      </c>
      <c r="G138" s="3">
        <v>112</v>
      </c>
      <c r="H138" s="28">
        <f>G138*205</f>
        <v>22960</v>
      </c>
      <c r="I138" s="82" t="b">
        <v>0</v>
      </c>
      <c r="J138" s="116">
        <f t="shared" si="21"/>
        <v>0</v>
      </c>
      <c r="K138" s="124"/>
      <c r="L138" s="22"/>
      <c r="M138" s="22"/>
      <c r="N138" s="22"/>
      <c r="O138" s="22"/>
      <c r="P138" s="23"/>
      <c r="Q138" s="23"/>
      <c r="R138" s="23"/>
      <c r="S138" s="23"/>
      <c r="T138" s="23"/>
      <c r="U138" s="19">
        <f t="shared" si="25"/>
        <v>0</v>
      </c>
      <c r="V138" s="128">
        <f t="shared" si="22"/>
        <v>0</v>
      </c>
      <c r="X138" s="54"/>
      <c r="Y138" s="56"/>
      <c r="AA138" s="2"/>
      <c r="AB138" s="2"/>
      <c r="AC138" s="132" t="str">
        <f t="shared" si="30"/>
        <v/>
      </c>
    </row>
    <row r="139" spans="1:29" ht="15.75">
      <c r="A139" s="29" t="s">
        <v>295</v>
      </c>
      <c r="B139" s="3" t="s">
        <v>296</v>
      </c>
      <c r="C139" s="3" t="s">
        <v>80</v>
      </c>
      <c r="D139" s="3" t="s">
        <v>30</v>
      </c>
      <c r="E139" s="3" t="str">
        <f>IF(B139="","",IF(D139="Godfroy","Godfroy",(IF(LEFT(B139,1)="1","Hiwa","Direct"))))</f>
        <v>Hiwa</v>
      </c>
      <c r="F139" s="3" t="s">
        <v>59</v>
      </c>
      <c r="G139" s="3">
        <v>1000</v>
      </c>
      <c r="H139" s="28">
        <f>G139*20</f>
        <v>20000</v>
      </c>
      <c r="I139" s="82" t="b">
        <v>0</v>
      </c>
      <c r="J139" s="116">
        <f t="shared" si="21"/>
        <v>0</v>
      </c>
      <c r="K139" s="124"/>
      <c r="L139" s="22"/>
      <c r="M139" s="22"/>
      <c r="N139" s="22"/>
      <c r="O139" s="22"/>
      <c r="P139" s="23"/>
      <c r="Q139" s="23"/>
      <c r="R139" s="23"/>
      <c r="S139" s="23"/>
      <c r="T139" s="23"/>
      <c r="U139" s="19">
        <f t="shared" si="25"/>
        <v>0</v>
      </c>
      <c r="V139" s="128">
        <f t="shared" si="22"/>
        <v>0</v>
      </c>
      <c r="X139" s="54"/>
      <c r="Y139" s="56"/>
      <c r="AA139" s="2"/>
      <c r="AB139" s="2"/>
      <c r="AC139" s="132" t="str">
        <f t="shared" si="30"/>
        <v/>
      </c>
    </row>
    <row r="140" spans="1:29" ht="15.75">
      <c r="A140" s="29" t="s">
        <v>297</v>
      </c>
      <c r="B140" s="3" t="s">
        <v>296</v>
      </c>
      <c r="C140" s="3" t="s">
        <v>80</v>
      </c>
      <c r="D140" s="3" t="s">
        <v>30</v>
      </c>
      <c r="E140" s="3" t="str">
        <f>IF(B140="","",IF(D140="Godfroy","Godfroy",(IF(LEFT(B140,1)="1","Hiwa","Direct"))))</f>
        <v>Hiwa</v>
      </c>
      <c r="F140" s="3" t="s">
        <v>59</v>
      </c>
      <c r="G140" s="3">
        <v>1000</v>
      </c>
      <c r="H140" s="28">
        <f>G140*20</f>
        <v>20000</v>
      </c>
      <c r="I140" s="82" t="b">
        <v>0</v>
      </c>
      <c r="J140" s="116">
        <f t="shared" si="21"/>
        <v>0</v>
      </c>
      <c r="K140" s="124"/>
      <c r="L140" s="22"/>
      <c r="M140" s="22"/>
      <c r="N140" s="22"/>
      <c r="O140" s="22"/>
      <c r="P140" s="23"/>
      <c r="Q140" s="23"/>
      <c r="R140" s="23"/>
      <c r="S140" s="23"/>
      <c r="T140" s="23"/>
      <c r="U140" s="19">
        <f t="shared" si="25"/>
        <v>0</v>
      </c>
      <c r="V140" s="128">
        <f t="shared" si="22"/>
        <v>0</v>
      </c>
      <c r="X140" s="54"/>
      <c r="Y140" s="56"/>
      <c r="AA140" s="2"/>
      <c r="AB140" s="2"/>
      <c r="AC140" s="132" t="str">
        <f t="shared" si="30"/>
        <v/>
      </c>
    </row>
    <row r="141" spans="1:29" ht="15.75">
      <c r="A141" s="29" t="s">
        <v>298</v>
      </c>
      <c r="B141" s="3" t="s">
        <v>186</v>
      </c>
      <c r="C141" s="9" t="s">
        <v>29</v>
      </c>
      <c r="D141" s="3" t="s">
        <v>188</v>
      </c>
      <c r="E141" s="3" t="str">
        <f t="shared" ref="E141:E148" si="32">IF(B141="","",IF(D141="Godfroy","Godfroy",(IF(LEFT(B141,1)="1","Hiwa","Direct"))))</f>
        <v>Direct</v>
      </c>
      <c r="F141" s="3" t="s">
        <v>46</v>
      </c>
      <c r="G141" s="3">
        <v>80</v>
      </c>
      <c r="H141" s="28">
        <v>17200</v>
      </c>
      <c r="I141" s="82" t="b">
        <v>0</v>
      </c>
      <c r="J141" s="116">
        <f t="shared" si="21"/>
        <v>0</v>
      </c>
      <c r="K141" s="124"/>
      <c r="L141" s="22"/>
      <c r="M141" s="22"/>
      <c r="N141" s="22"/>
      <c r="O141" s="22"/>
      <c r="P141" s="23"/>
      <c r="Q141" s="23"/>
      <c r="R141" s="23"/>
      <c r="S141" s="23"/>
      <c r="T141" s="23"/>
      <c r="U141" s="19">
        <f t="shared" si="25"/>
        <v>0</v>
      </c>
      <c r="V141" s="128">
        <f t="shared" si="22"/>
        <v>0</v>
      </c>
      <c r="X141" s="54"/>
      <c r="Y141" s="56"/>
      <c r="AA141" s="2"/>
      <c r="AB141" s="2"/>
      <c r="AC141" s="132" t="str">
        <f t="shared" si="30"/>
        <v/>
      </c>
    </row>
    <row r="142" spans="1:29" ht="15.75">
      <c r="A142" s="29" t="s">
        <v>299</v>
      </c>
      <c r="B142" s="3" t="s">
        <v>300</v>
      </c>
      <c r="C142" s="9" t="s">
        <v>34</v>
      </c>
      <c r="D142" s="13" t="s">
        <v>301</v>
      </c>
      <c r="E142" s="3" t="str">
        <f t="shared" si="32"/>
        <v>Direct</v>
      </c>
      <c r="F142" s="10" t="s">
        <v>121</v>
      </c>
      <c r="G142" s="1">
        <v>4</v>
      </c>
      <c r="H142" s="27">
        <f>+G142*20</f>
        <v>80</v>
      </c>
      <c r="I142" s="82" t="b">
        <v>1</v>
      </c>
      <c r="J142" s="116">
        <f t="shared" si="21"/>
        <v>4.1100000000000003</v>
      </c>
      <c r="K142" s="124">
        <v>328.8</v>
      </c>
      <c r="L142" s="22">
        <f>164.97*(80/180)</f>
        <v>73.319999999999993</v>
      </c>
      <c r="M142" s="22"/>
      <c r="N142" s="22"/>
      <c r="O142" s="22"/>
      <c r="P142" s="23"/>
      <c r="Q142" s="23"/>
      <c r="R142" s="23"/>
      <c r="S142" s="23"/>
      <c r="T142" s="23"/>
      <c r="U142" s="19">
        <f t="shared" si="25"/>
        <v>402.12</v>
      </c>
      <c r="V142" s="128">
        <f t="shared" si="22"/>
        <v>5.0265000000000004</v>
      </c>
      <c r="X142" s="54"/>
      <c r="Y142" s="56"/>
      <c r="AA142" s="2"/>
      <c r="AB142" s="2"/>
      <c r="AC142" s="132" t="str">
        <f t="shared" si="30"/>
        <v/>
      </c>
    </row>
    <row r="143" spans="1:29" ht="15.75">
      <c r="A143" s="29" t="s">
        <v>302</v>
      </c>
      <c r="B143" s="3" t="s">
        <v>303</v>
      </c>
      <c r="C143" s="9" t="s">
        <v>34</v>
      </c>
      <c r="D143" s="13" t="s">
        <v>301</v>
      </c>
      <c r="E143" s="3" t="str">
        <f t="shared" si="32"/>
        <v>Direct</v>
      </c>
      <c r="F143" s="10" t="s">
        <v>121</v>
      </c>
      <c r="G143" s="1">
        <v>5</v>
      </c>
      <c r="H143" s="27">
        <f>+G143*20</f>
        <v>100</v>
      </c>
      <c r="I143" s="82" t="b">
        <v>1</v>
      </c>
      <c r="J143" s="116">
        <f t="shared" si="21"/>
        <v>2.34</v>
      </c>
      <c r="K143" s="124">
        <v>234</v>
      </c>
      <c r="L143" s="22">
        <f>164.97*100/180</f>
        <v>91.65</v>
      </c>
      <c r="M143" s="22"/>
      <c r="N143" s="22"/>
      <c r="O143" s="22"/>
      <c r="P143" s="23"/>
      <c r="Q143" s="23"/>
      <c r="R143" s="23"/>
      <c r="S143" s="23"/>
      <c r="T143" s="23"/>
      <c r="U143" s="19">
        <f t="shared" si="25"/>
        <v>325.64999999999998</v>
      </c>
      <c r="V143" s="128">
        <f t="shared" si="22"/>
        <v>3.2565</v>
      </c>
      <c r="X143" s="54"/>
      <c r="Y143" s="56"/>
      <c r="AA143" s="2"/>
      <c r="AB143" s="2"/>
      <c r="AC143" s="132" t="str">
        <f t="shared" si="30"/>
        <v/>
      </c>
    </row>
    <row r="144" spans="1:29" ht="15.75">
      <c r="A144" s="29" t="s">
        <v>304</v>
      </c>
      <c r="B144" s="3" t="s">
        <v>143</v>
      </c>
      <c r="C144" s="9" t="s">
        <v>119</v>
      </c>
      <c r="D144" s="3" t="s">
        <v>144</v>
      </c>
      <c r="E144" s="3" t="str">
        <f t="shared" si="32"/>
        <v>Direct</v>
      </c>
      <c r="F144" s="10" t="s">
        <v>121</v>
      </c>
      <c r="G144" s="1">
        <v>110</v>
      </c>
      <c r="H144" s="27">
        <v>1100</v>
      </c>
      <c r="I144" s="82" t="b">
        <v>0</v>
      </c>
      <c r="J144" s="116">
        <f t="shared" si="21"/>
        <v>0</v>
      </c>
      <c r="K144" s="124"/>
      <c r="L144" s="22"/>
      <c r="M144" s="22"/>
      <c r="N144" s="22"/>
      <c r="O144" s="22"/>
      <c r="P144" s="23"/>
      <c r="Q144" s="23"/>
      <c r="R144" s="23"/>
      <c r="S144" s="23"/>
      <c r="T144" s="23"/>
      <c r="U144" s="19">
        <f t="shared" si="25"/>
        <v>0</v>
      </c>
      <c r="V144" s="128">
        <f t="shared" si="22"/>
        <v>0</v>
      </c>
      <c r="X144" s="54"/>
      <c r="Y144" s="56"/>
      <c r="AA144" s="61"/>
      <c r="AB144" s="61"/>
      <c r="AC144" s="132" t="str">
        <f t="shared" si="30"/>
        <v/>
      </c>
    </row>
    <row r="145" spans="1:29" ht="15.75">
      <c r="A145" s="29" t="s">
        <v>305</v>
      </c>
      <c r="B145" s="3" t="s">
        <v>306</v>
      </c>
      <c r="C145" s="3" t="s">
        <v>307</v>
      </c>
      <c r="D145" s="3" t="s">
        <v>308</v>
      </c>
      <c r="E145" s="3" t="str">
        <f t="shared" si="32"/>
        <v>Direct</v>
      </c>
      <c r="F145" s="3" t="s">
        <v>46</v>
      </c>
      <c r="G145" s="3">
        <v>125</v>
      </c>
      <c r="H145" s="28">
        <f>+G145*200</f>
        <v>25000</v>
      </c>
      <c r="I145" s="82" t="b">
        <v>0</v>
      </c>
      <c r="J145" s="116">
        <f t="shared" si="21"/>
        <v>0</v>
      </c>
      <c r="K145" s="124"/>
      <c r="L145" s="22"/>
      <c r="M145" s="22"/>
      <c r="N145" s="22"/>
      <c r="O145" s="22"/>
      <c r="P145" s="23"/>
      <c r="Q145" s="23"/>
      <c r="R145" s="23"/>
      <c r="S145" s="23"/>
      <c r="T145" s="23"/>
      <c r="U145" s="19">
        <f t="shared" si="25"/>
        <v>0</v>
      </c>
      <c r="V145" s="128">
        <f t="shared" si="22"/>
        <v>0</v>
      </c>
      <c r="X145" s="54"/>
      <c r="Y145" s="56"/>
      <c r="AA145" s="61"/>
      <c r="AB145" s="61"/>
      <c r="AC145" s="132" t="str">
        <f t="shared" si="30"/>
        <v/>
      </c>
    </row>
    <row r="146" spans="1:29" ht="15.75">
      <c r="A146" s="29" t="s">
        <v>309</v>
      </c>
      <c r="B146" s="3" t="s">
        <v>306</v>
      </c>
      <c r="C146" s="3" t="s">
        <v>307</v>
      </c>
      <c r="D146" s="3" t="s">
        <v>308</v>
      </c>
      <c r="E146" s="3" t="str">
        <f t="shared" si="32"/>
        <v>Direct</v>
      </c>
      <c r="F146" s="3" t="s">
        <v>46</v>
      </c>
      <c r="G146" s="3">
        <v>56</v>
      </c>
      <c r="H146" s="28">
        <f>+G146*200</f>
        <v>11200</v>
      </c>
      <c r="I146" s="82" t="b">
        <v>0</v>
      </c>
      <c r="J146" s="116">
        <f t="shared" si="21"/>
        <v>0</v>
      </c>
      <c r="K146" s="125"/>
      <c r="L146" s="58"/>
      <c r="M146" s="58"/>
      <c r="N146" s="58"/>
      <c r="O146" s="58"/>
      <c r="P146" s="59"/>
      <c r="Q146" s="59"/>
      <c r="R146" s="59"/>
      <c r="S146" s="59"/>
      <c r="T146" s="59"/>
      <c r="U146" s="104"/>
      <c r="V146" s="130"/>
      <c r="X146" s="54"/>
      <c r="Y146" s="56"/>
      <c r="AA146" s="105"/>
      <c r="AB146" s="105"/>
      <c r="AC146" s="134"/>
    </row>
    <row r="147" spans="1:29" ht="15.75">
      <c r="A147" s="29" t="s">
        <v>310</v>
      </c>
      <c r="B147" s="3" t="s">
        <v>311</v>
      </c>
      <c r="C147" s="3" t="s">
        <v>307</v>
      </c>
      <c r="D147" s="3" t="s">
        <v>73</v>
      </c>
      <c r="E147" s="3" t="str">
        <f t="shared" si="32"/>
        <v>Hiwa</v>
      </c>
      <c r="F147" s="3" t="s">
        <v>46</v>
      </c>
      <c r="G147" s="3">
        <v>125</v>
      </c>
      <c r="H147" s="28">
        <f>+G147*200</f>
        <v>25000</v>
      </c>
      <c r="I147" s="82" t="b">
        <v>0</v>
      </c>
      <c r="J147" s="116">
        <f t="shared" si="21"/>
        <v>0</v>
      </c>
      <c r="K147" s="125"/>
      <c r="L147" s="58"/>
      <c r="M147" s="58"/>
      <c r="N147" s="58"/>
      <c r="O147" s="58"/>
      <c r="P147" s="59"/>
      <c r="Q147" s="59"/>
      <c r="R147" s="59"/>
      <c r="S147" s="59"/>
      <c r="T147" s="59"/>
      <c r="U147" s="104"/>
      <c r="V147" s="130"/>
      <c r="X147" s="54"/>
      <c r="Y147" s="56"/>
      <c r="AA147" s="105"/>
      <c r="AB147" s="105"/>
      <c r="AC147" s="134"/>
    </row>
    <row r="148" spans="1:29" ht="15.75">
      <c r="A148" s="29" t="s">
        <v>312</v>
      </c>
      <c r="B148" s="3" t="s">
        <v>93</v>
      </c>
      <c r="C148" s="9" t="s">
        <v>90</v>
      </c>
      <c r="D148" s="3" t="s">
        <v>94</v>
      </c>
      <c r="E148" s="3" t="str">
        <f t="shared" si="32"/>
        <v>Direct</v>
      </c>
      <c r="F148" s="10" t="s">
        <v>59</v>
      </c>
      <c r="G148" s="1">
        <v>124</v>
      </c>
      <c r="H148" s="27">
        <f>G148*205</f>
        <v>25420</v>
      </c>
      <c r="I148" s="82" t="b">
        <v>0</v>
      </c>
      <c r="J148" s="116">
        <f t="shared" si="21"/>
        <v>0</v>
      </c>
      <c r="K148" s="125"/>
      <c r="L148" s="58"/>
      <c r="M148" s="58"/>
      <c r="N148" s="58"/>
      <c r="O148" s="58"/>
      <c r="P148" s="59"/>
      <c r="Q148" s="59"/>
      <c r="R148" s="59"/>
      <c r="S148" s="59"/>
      <c r="T148" s="59"/>
      <c r="U148" s="104"/>
      <c r="V148" s="130"/>
      <c r="X148" s="54"/>
      <c r="Y148" s="56"/>
      <c r="AA148" s="105"/>
      <c r="AB148" s="105"/>
      <c r="AC148" s="134"/>
    </row>
    <row r="149" spans="1:29" ht="15.75">
      <c r="A149" s="29" t="s">
        <v>313</v>
      </c>
      <c r="B149" s="55" t="s">
        <v>314</v>
      </c>
      <c r="C149" s="9" t="s">
        <v>34</v>
      </c>
      <c r="D149" s="3" t="s">
        <v>289</v>
      </c>
      <c r="E149" s="3" t="str">
        <f>IF(B149="","",IF(D149="Godfroy","Godfroy",(IF(LEFT(B149,1)="1","Hiwa","Direct"))))</f>
        <v>Direct</v>
      </c>
      <c r="F149" s="3" t="s">
        <v>36</v>
      </c>
      <c r="G149" s="3">
        <v>4</v>
      </c>
      <c r="H149" s="28">
        <v>80</v>
      </c>
      <c r="I149" s="82" t="b">
        <v>0</v>
      </c>
      <c r="J149" s="116">
        <f t="shared" si="21"/>
        <v>0</v>
      </c>
      <c r="K149" s="125"/>
      <c r="L149" s="106"/>
      <c r="M149" s="58"/>
      <c r="N149" s="58"/>
      <c r="O149" s="58"/>
      <c r="P149" s="59"/>
      <c r="Q149" s="59"/>
      <c r="R149" s="59"/>
      <c r="S149" s="59"/>
      <c r="T149" s="59"/>
      <c r="U149" s="104"/>
      <c r="V149" s="130"/>
      <c r="X149" s="54"/>
      <c r="Y149" s="56"/>
      <c r="AA149" s="105"/>
      <c r="AB149" s="105"/>
      <c r="AC149" s="134"/>
    </row>
    <row r="150" spans="1:29" ht="15.75">
      <c r="A150" s="29" t="s">
        <v>315</v>
      </c>
      <c r="B150" s="3" t="s">
        <v>143</v>
      </c>
      <c r="C150" s="9" t="s">
        <v>119</v>
      </c>
      <c r="D150" s="3" t="s">
        <v>150</v>
      </c>
      <c r="E150" s="3" t="str">
        <f t="shared" ref="E150:E157" si="33">IF(B150="","",IF(D150="Godfroy","Godfroy",(IF(LEFT(B150,1)="1","Hiwa","Direct"))))</f>
        <v>Direct</v>
      </c>
      <c r="F150" s="10" t="s">
        <v>121</v>
      </c>
      <c r="G150" s="1">
        <v>110</v>
      </c>
      <c r="H150" s="27">
        <v>1100</v>
      </c>
      <c r="I150" s="82" t="b">
        <v>0</v>
      </c>
      <c r="J150" s="116">
        <f t="shared" si="21"/>
        <v>0</v>
      </c>
      <c r="K150" s="125"/>
      <c r="L150" s="58"/>
      <c r="M150" s="58"/>
      <c r="N150" s="58"/>
      <c r="O150" s="58"/>
      <c r="P150" s="59"/>
      <c r="Q150" s="59"/>
      <c r="R150" s="59"/>
      <c r="S150" s="59"/>
      <c r="T150" s="59"/>
      <c r="U150" s="104"/>
      <c r="V150" s="130"/>
      <c r="X150" s="54"/>
      <c r="Y150" s="56"/>
      <c r="AA150" s="105"/>
      <c r="AB150" s="105"/>
      <c r="AC150" s="134"/>
    </row>
    <row r="151" spans="1:29" ht="15.75">
      <c r="A151" s="29" t="s">
        <v>316</v>
      </c>
      <c r="B151" s="3" t="s">
        <v>143</v>
      </c>
      <c r="C151" s="9" t="s">
        <v>119</v>
      </c>
      <c r="D151" s="3" t="s">
        <v>317</v>
      </c>
      <c r="E151" s="3" t="str">
        <f t="shared" si="33"/>
        <v>Direct</v>
      </c>
      <c r="F151" s="10" t="s">
        <v>121</v>
      </c>
      <c r="G151" s="1">
        <v>110</v>
      </c>
      <c r="H151" s="27">
        <v>1100</v>
      </c>
      <c r="I151" s="82" t="b">
        <v>0</v>
      </c>
      <c r="J151" s="116">
        <f t="shared" si="21"/>
        <v>0</v>
      </c>
      <c r="K151" s="125"/>
      <c r="L151" s="58"/>
      <c r="M151" s="58"/>
      <c r="N151" s="58"/>
      <c r="O151" s="58"/>
      <c r="P151" s="59"/>
      <c r="Q151" s="59"/>
      <c r="R151" s="59"/>
      <c r="S151" s="59"/>
      <c r="T151" s="59"/>
      <c r="U151" s="104"/>
      <c r="V151" s="130"/>
      <c r="X151" s="54"/>
      <c r="Y151" s="56"/>
      <c r="AA151" s="105"/>
      <c r="AB151" s="105"/>
      <c r="AC151" s="134"/>
    </row>
    <row r="152" spans="1:29" ht="15.75">
      <c r="A152" s="29" t="s">
        <v>318</v>
      </c>
      <c r="B152" s="55" t="s">
        <v>319</v>
      </c>
      <c r="C152" s="55" t="s">
        <v>52</v>
      </c>
      <c r="D152" s="55" t="s">
        <v>30</v>
      </c>
      <c r="E152" s="55" t="str">
        <f t="shared" si="33"/>
        <v>Hiwa</v>
      </c>
      <c r="F152" s="55"/>
      <c r="G152" s="55">
        <v>150</v>
      </c>
      <c r="H152" s="56">
        <v>3000</v>
      </c>
      <c r="I152" s="82" t="b">
        <v>0</v>
      </c>
      <c r="J152" s="116">
        <f t="shared" si="21"/>
        <v>0</v>
      </c>
      <c r="K152" s="125"/>
      <c r="L152" s="58"/>
      <c r="M152" s="58"/>
      <c r="N152" s="58"/>
      <c r="O152" s="58"/>
      <c r="P152" s="59"/>
      <c r="Q152" s="59"/>
      <c r="R152" s="59"/>
      <c r="S152" s="59"/>
      <c r="T152" s="59"/>
      <c r="U152" s="104"/>
      <c r="V152" s="130"/>
      <c r="X152" s="54"/>
      <c r="Y152" s="56"/>
      <c r="AA152" s="105"/>
      <c r="AB152" s="105"/>
      <c r="AC152" s="134"/>
    </row>
    <row r="153" spans="1:29" ht="15.75">
      <c r="A153" s="29" t="s">
        <v>320</v>
      </c>
      <c r="B153" s="55" t="s">
        <v>319</v>
      </c>
      <c r="C153" s="55" t="s">
        <v>52</v>
      </c>
      <c r="D153" s="55" t="s">
        <v>30</v>
      </c>
      <c r="E153" s="55" t="str">
        <f t="shared" si="33"/>
        <v>Hiwa</v>
      </c>
      <c r="F153" s="55"/>
      <c r="G153" s="55">
        <v>50</v>
      </c>
      <c r="H153" s="56">
        <v>1000</v>
      </c>
      <c r="I153" s="82" t="b">
        <v>0</v>
      </c>
      <c r="J153" s="116">
        <f t="shared" si="21"/>
        <v>0</v>
      </c>
      <c r="K153" s="125"/>
      <c r="L153" s="58"/>
      <c r="M153" s="58"/>
      <c r="N153" s="58"/>
      <c r="O153" s="58"/>
      <c r="P153" s="59"/>
      <c r="Q153" s="59"/>
      <c r="R153" s="59"/>
      <c r="S153" s="59"/>
      <c r="T153" s="59"/>
      <c r="U153" s="104"/>
      <c r="V153" s="130"/>
      <c r="X153" s="54"/>
      <c r="Y153" s="56"/>
      <c r="AA153" s="105"/>
      <c r="AB153" s="105"/>
      <c r="AC153" s="134"/>
    </row>
    <row r="154" spans="1:29" ht="15.75">
      <c r="A154" s="29" t="s">
        <v>321</v>
      </c>
      <c r="B154" s="55" t="s">
        <v>322</v>
      </c>
      <c r="C154" s="55" t="s">
        <v>52</v>
      </c>
      <c r="D154" s="55" t="s">
        <v>30</v>
      </c>
      <c r="E154" s="55" t="str">
        <f t="shared" si="33"/>
        <v>Hiwa</v>
      </c>
      <c r="F154" s="55"/>
      <c r="G154" s="55">
        <v>450</v>
      </c>
      <c r="H154" s="56">
        <v>9000</v>
      </c>
      <c r="I154" s="82" t="b">
        <v>0</v>
      </c>
      <c r="J154" s="116">
        <f t="shared" si="21"/>
        <v>0</v>
      </c>
      <c r="K154" s="125"/>
      <c r="L154" s="58"/>
      <c r="M154" s="58"/>
      <c r="N154" s="58"/>
      <c r="O154" s="58"/>
      <c r="P154" s="59"/>
      <c r="Q154" s="59"/>
      <c r="R154" s="59"/>
      <c r="S154" s="59"/>
      <c r="T154" s="59"/>
      <c r="U154" s="104"/>
      <c r="V154" s="130"/>
      <c r="X154" s="54"/>
      <c r="Y154" s="56"/>
      <c r="AA154" s="105"/>
      <c r="AB154" s="105"/>
      <c r="AC154" s="134"/>
    </row>
    <row r="155" spans="1:29" ht="15.75">
      <c r="A155" s="29" t="s">
        <v>323</v>
      </c>
      <c r="B155" s="55" t="s">
        <v>324</v>
      </c>
      <c r="C155" s="55" t="s">
        <v>52</v>
      </c>
      <c r="D155" s="55" t="s">
        <v>30</v>
      </c>
      <c r="E155" s="55" t="str">
        <f t="shared" si="33"/>
        <v>Hiwa</v>
      </c>
      <c r="F155" s="55"/>
      <c r="G155" s="55">
        <v>12</v>
      </c>
      <c r="H155" s="56">
        <v>2640</v>
      </c>
      <c r="I155" s="82" t="b">
        <v>0</v>
      </c>
      <c r="J155" s="116">
        <f t="shared" si="21"/>
        <v>0</v>
      </c>
      <c r="K155" s="125"/>
      <c r="L155" s="58"/>
      <c r="M155" s="58"/>
      <c r="N155" s="58"/>
      <c r="O155" s="58"/>
      <c r="P155" s="59"/>
      <c r="Q155" s="59"/>
      <c r="R155" s="59"/>
      <c r="S155" s="59"/>
      <c r="T155" s="59"/>
      <c r="U155" s="104"/>
      <c r="V155" s="130"/>
      <c r="X155" s="54"/>
      <c r="Y155" s="56"/>
      <c r="AA155" s="105"/>
      <c r="AB155" s="105"/>
      <c r="AC155" s="134"/>
    </row>
    <row r="156" spans="1:29" ht="15.75">
      <c r="A156" s="29" t="s">
        <v>325</v>
      </c>
      <c r="B156" s="55" t="s">
        <v>326</v>
      </c>
      <c r="C156" s="55" t="s">
        <v>52</v>
      </c>
      <c r="D156" s="55" t="s">
        <v>30</v>
      </c>
      <c r="E156" s="55" t="str">
        <f t="shared" si="33"/>
        <v>Hiwa</v>
      </c>
      <c r="F156" s="55"/>
      <c r="G156" s="55">
        <v>50</v>
      </c>
      <c r="H156" s="56">
        <v>1000</v>
      </c>
      <c r="I156" s="82" t="b">
        <v>0</v>
      </c>
      <c r="J156" s="116">
        <f t="shared" si="21"/>
        <v>0</v>
      </c>
      <c r="K156" s="125"/>
      <c r="L156" s="58"/>
      <c r="M156" s="58"/>
      <c r="N156" s="58"/>
      <c r="O156" s="58"/>
      <c r="P156" s="59"/>
      <c r="Q156" s="59"/>
      <c r="R156" s="59"/>
      <c r="S156" s="59"/>
      <c r="T156" s="59"/>
      <c r="U156" s="104"/>
      <c r="V156" s="130"/>
      <c r="X156" s="54"/>
      <c r="Y156" s="56"/>
      <c r="AA156" s="105"/>
      <c r="AB156" s="105"/>
      <c r="AC156" s="134"/>
    </row>
    <row r="157" spans="1:29" ht="15.75">
      <c r="A157" s="29" t="s">
        <v>327</v>
      </c>
      <c r="B157" s="55" t="s">
        <v>123</v>
      </c>
      <c r="C157" s="55" t="s">
        <v>52</v>
      </c>
      <c r="D157" s="55" t="s">
        <v>30</v>
      </c>
      <c r="E157" s="55" t="str">
        <f t="shared" si="33"/>
        <v>Hiwa</v>
      </c>
      <c r="F157" s="55"/>
      <c r="G157" s="55">
        <v>12</v>
      </c>
      <c r="H157" s="56">
        <v>2640</v>
      </c>
      <c r="I157" s="82" t="b">
        <v>0</v>
      </c>
      <c r="J157" s="116">
        <f t="shared" si="21"/>
        <v>0</v>
      </c>
      <c r="K157" s="125"/>
      <c r="L157" s="58"/>
      <c r="M157" s="58"/>
      <c r="N157" s="58"/>
      <c r="O157" s="58"/>
      <c r="P157" s="59"/>
      <c r="Q157" s="59"/>
      <c r="R157" s="59"/>
      <c r="S157" s="59"/>
      <c r="T157" s="59"/>
      <c r="U157" s="104"/>
      <c r="V157" s="130"/>
      <c r="X157" s="54"/>
      <c r="Y157" s="56"/>
      <c r="AA157" s="105"/>
      <c r="AB157" s="105"/>
      <c r="AC157" s="134"/>
    </row>
    <row r="158" spans="1:29" ht="15.75">
      <c r="A158" s="29" t="s">
        <v>328</v>
      </c>
      <c r="B158" s="3"/>
      <c r="C158" s="9"/>
      <c r="D158" s="3"/>
      <c r="E158" s="3"/>
      <c r="F158" s="10"/>
      <c r="G158" s="1"/>
      <c r="H158" s="27"/>
      <c r="I158" s="82" t="b">
        <v>0</v>
      </c>
      <c r="J158" s="116" t="str">
        <f t="shared" si="21"/>
        <v/>
      </c>
      <c r="K158" s="125"/>
      <c r="L158" s="58"/>
      <c r="M158" s="58"/>
      <c r="N158" s="58"/>
      <c r="O158" s="58"/>
      <c r="P158" s="59"/>
      <c r="Q158" s="59"/>
      <c r="R158" s="59"/>
      <c r="S158" s="59"/>
      <c r="T158" s="59"/>
      <c r="U158" s="104"/>
      <c r="V158" s="130"/>
      <c r="X158" s="54"/>
      <c r="Y158" s="56"/>
      <c r="AA158" s="105"/>
      <c r="AB158" s="105"/>
      <c r="AC158" s="134"/>
    </row>
    <row r="159" spans="1:29" ht="15.75">
      <c r="A159" s="29" t="s">
        <v>329</v>
      </c>
      <c r="B159" s="3"/>
      <c r="C159" s="3"/>
      <c r="D159" s="3"/>
      <c r="E159" s="3"/>
      <c r="F159" s="3"/>
      <c r="G159" s="3"/>
      <c r="H159" s="28"/>
      <c r="I159" s="82" t="b">
        <v>0</v>
      </c>
      <c r="J159" s="116" t="str">
        <f t="shared" si="21"/>
        <v/>
      </c>
      <c r="K159" s="125"/>
      <c r="L159" s="58"/>
      <c r="M159" s="58"/>
      <c r="N159" s="58"/>
      <c r="O159" s="58"/>
      <c r="P159" s="59"/>
      <c r="Q159" s="59"/>
      <c r="R159" s="59"/>
      <c r="S159" s="59"/>
      <c r="T159" s="59"/>
      <c r="U159" s="104"/>
      <c r="V159" s="130"/>
      <c r="X159" s="54"/>
      <c r="Y159" s="56"/>
      <c r="AA159" s="105"/>
      <c r="AB159" s="105"/>
      <c r="AC159" s="134"/>
    </row>
    <row r="160" spans="1:29" ht="15.75">
      <c r="A160" s="29" t="s">
        <v>330</v>
      </c>
      <c r="B160" s="3"/>
      <c r="C160" s="3"/>
      <c r="D160" s="3"/>
      <c r="E160" s="3"/>
      <c r="F160" s="3"/>
      <c r="G160" s="3"/>
      <c r="H160" s="28"/>
      <c r="I160" s="82" t="b">
        <v>0</v>
      </c>
      <c r="J160" s="116" t="str">
        <f t="shared" si="21"/>
        <v/>
      </c>
      <c r="K160" s="125"/>
      <c r="L160" s="58"/>
      <c r="M160" s="58"/>
      <c r="N160" s="58"/>
      <c r="O160" s="58"/>
      <c r="P160" s="59"/>
      <c r="Q160" s="59"/>
      <c r="R160" s="59"/>
      <c r="S160" s="59"/>
      <c r="T160" s="59"/>
      <c r="U160" s="104"/>
      <c r="V160" s="130"/>
      <c r="X160" s="54"/>
      <c r="Y160" s="56"/>
      <c r="AA160" s="105"/>
      <c r="AB160" s="105"/>
      <c r="AC160" s="134"/>
    </row>
    <row r="161" spans="1:29" ht="15.75">
      <c r="A161" s="29" t="s">
        <v>331</v>
      </c>
      <c r="B161" s="55"/>
      <c r="C161" s="55"/>
      <c r="D161" s="55"/>
      <c r="E161" s="55"/>
      <c r="F161" s="55"/>
      <c r="G161" s="55"/>
      <c r="H161" s="56"/>
      <c r="I161" s="82" t="b">
        <v>0</v>
      </c>
      <c r="J161" s="116" t="str">
        <f t="shared" si="21"/>
        <v/>
      </c>
      <c r="K161" s="125"/>
      <c r="L161" s="58"/>
      <c r="M161" s="58"/>
      <c r="N161" s="58"/>
      <c r="O161" s="58"/>
      <c r="P161" s="59"/>
      <c r="Q161" s="59"/>
      <c r="R161" s="59"/>
      <c r="S161" s="59"/>
      <c r="T161" s="59"/>
      <c r="U161" s="104"/>
      <c r="V161" s="130"/>
      <c r="X161" s="54"/>
      <c r="Y161" s="56"/>
      <c r="AA161" s="105"/>
      <c r="AB161" s="105"/>
      <c r="AC161" s="134"/>
    </row>
    <row r="162" spans="1:29" ht="15.75">
      <c r="A162" s="29" t="s">
        <v>332</v>
      </c>
      <c r="B162" s="55"/>
      <c r="C162" s="55"/>
      <c r="D162" s="55"/>
      <c r="E162" s="55"/>
      <c r="F162" s="55"/>
      <c r="G162" s="55"/>
      <c r="H162" s="56"/>
      <c r="I162" s="82" t="b">
        <v>0</v>
      </c>
      <c r="J162" s="116" t="str">
        <f t="shared" si="21"/>
        <v/>
      </c>
      <c r="K162" s="125"/>
      <c r="L162" s="58"/>
      <c r="M162" s="58"/>
      <c r="N162" s="58"/>
      <c r="O162" s="58"/>
      <c r="P162" s="59"/>
      <c r="Q162" s="59"/>
      <c r="R162" s="59"/>
      <c r="S162" s="59"/>
      <c r="T162" s="59"/>
      <c r="U162" s="104"/>
      <c r="V162" s="130"/>
      <c r="X162" s="54"/>
      <c r="Y162" s="56"/>
      <c r="AA162" s="105"/>
      <c r="AB162" s="105"/>
      <c r="AC162" s="134"/>
    </row>
    <row r="163" spans="1:29" ht="15.75">
      <c r="A163" s="29" t="s">
        <v>333</v>
      </c>
      <c r="B163" s="55"/>
      <c r="C163" s="55"/>
      <c r="D163" s="55"/>
      <c r="E163" s="55"/>
      <c r="F163" s="55"/>
      <c r="G163" s="55"/>
      <c r="H163" s="56"/>
      <c r="I163" s="82" t="b">
        <v>0</v>
      </c>
      <c r="J163" s="116" t="str">
        <f t="shared" si="21"/>
        <v/>
      </c>
      <c r="K163" s="125"/>
      <c r="L163" s="58"/>
      <c r="M163" s="58"/>
      <c r="N163" s="58"/>
      <c r="O163" s="58"/>
      <c r="P163" s="59"/>
      <c r="Q163" s="59"/>
      <c r="R163" s="59"/>
      <c r="S163" s="59"/>
      <c r="T163" s="59"/>
      <c r="U163" s="104"/>
      <c r="V163" s="130"/>
      <c r="X163" s="54"/>
      <c r="Y163" s="56"/>
      <c r="AA163" s="105"/>
      <c r="AB163" s="105"/>
      <c r="AC163" s="134"/>
    </row>
    <row r="164" spans="1:29" ht="15.75">
      <c r="A164" s="29" t="s">
        <v>334</v>
      </c>
      <c r="B164" s="55"/>
      <c r="C164" s="55"/>
      <c r="D164" s="55"/>
      <c r="E164" s="55"/>
      <c r="F164" s="55"/>
      <c r="G164" s="55"/>
      <c r="H164" s="56"/>
      <c r="I164" s="82" t="b">
        <v>0</v>
      </c>
      <c r="J164" s="116" t="str">
        <f t="shared" si="21"/>
        <v/>
      </c>
      <c r="K164" s="125"/>
      <c r="L164" s="58"/>
      <c r="M164" s="58"/>
      <c r="N164" s="58"/>
      <c r="O164" s="58"/>
      <c r="P164" s="59"/>
      <c r="Q164" s="59"/>
      <c r="R164" s="59"/>
      <c r="S164" s="59"/>
      <c r="T164" s="59"/>
      <c r="U164" s="104"/>
      <c r="V164" s="130"/>
      <c r="X164" s="54"/>
      <c r="Y164" s="56"/>
      <c r="AA164" s="105"/>
      <c r="AB164" s="105"/>
      <c r="AC164" s="134"/>
    </row>
    <row r="165" spans="1:29" ht="15.75">
      <c r="A165" s="29" t="s">
        <v>335</v>
      </c>
      <c r="B165" s="55"/>
      <c r="C165" s="55"/>
      <c r="D165" s="55"/>
      <c r="E165" s="55"/>
      <c r="F165" s="55"/>
      <c r="G165" s="55"/>
      <c r="H165" s="56"/>
      <c r="I165" s="82" t="b">
        <v>0</v>
      </c>
      <c r="J165" s="116" t="str">
        <f t="shared" si="21"/>
        <v/>
      </c>
      <c r="K165" s="125"/>
      <c r="L165" s="58"/>
      <c r="M165" s="58"/>
      <c r="N165" s="58"/>
      <c r="O165" s="58"/>
      <c r="P165" s="59"/>
      <c r="Q165" s="59"/>
      <c r="R165" s="59"/>
      <c r="S165" s="59"/>
      <c r="T165" s="59"/>
      <c r="U165" s="104"/>
      <c r="V165" s="130"/>
      <c r="X165" s="54"/>
      <c r="Y165" s="56"/>
      <c r="AA165" s="105"/>
      <c r="AB165" s="105"/>
      <c r="AC165" s="134"/>
    </row>
    <row r="166" spans="1:29" ht="15.75">
      <c r="A166" s="29" t="s">
        <v>336</v>
      </c>
      <c r="B166" s="55"/>
      <c r="C166" s="55"/>
      <c r="D166" s="55"/>
      <c r="E166" s="55"/>
      <c r="F166" s="55"/>
      <c r="G166" s="55"/>
      <c r="H166" s="56"/>
      <c r="I166" s="82" t="b">
        <v>0</v>
      </c>
      <c r="J166" s="116" t="str">
        <f t="shared" si="21"/>
        <v/>
      </c>
      <c r="K166" s="125"/>
      <c r="L166" s="58"/>
      <c r="M166" s="58"/>
      <c r="N166" s="58"/>
      <c r="O166" s="58"/>
      <c r="P166" s="59"/>
      <c r="Q166" s="59"/>
      <c r="R166" s="59"/>
      <c r="S166" s="59"/>
      <c r="T166" s="59"/>
      <c r="U166" s="104"/>
      <c r="V166" s="130"/>
      <c r="X166" s="54"/>
      <c r="Y166" s="56"/>
      <c r="AA166" s="105"/>
      <c r="AB166" s="105"/>
      <c r="AC166" s="134"/>
    </row>
    <row r="167" spans="1:29" ht="15.75">
      <c r="A167" s="29" t="s">
        <v>337</v>
      </c>
      <c r="B167" s="55"/>
      <c r="C167" s="55"/>
      <c r="D167" s="55"/>
      <c r="E167" s="55"/>
      <c r="F167" s="55"/>
      <c r="G167" s="55"/>
      <c r="H167" s="56"/>
      <c r="I167" s="82" t="b">
        <v>0</v>
      </c>
      <c r="J167" s="116" t="str">
        <f t="shared" si="21"/>
        <v/>
      </c>
      <c r="K167" s="125"/>
      <c r="L167" s="58"/>
      <c r="M167" s="58"/>
      <c r="N167" s="58"/>
      <c r="O167" s="58"/>
      <c r="P167" s="59"/>
      <c r="Q167" s="59"/>
      <c r="R167" s="59"/>
      <c r="S167" s="59"/>
      <c r="T167" s="59"/>
      <c r="U167" s="104"/>
      <c r="V167" s="130"/>
      <c r="X167" s="54"/>
      <c r="Y167" s="56"/>
      <c r="AA167" s="105"/>
      <c r="AB167" s="105"/>
      <c r="AC167" s="134"/>
    </row>
    <row r="168" spans="1:29" ht="15.75">
      <c r="A168" s="29" t="s">
        <v>338</v>
      </c>
      <c r="B168" s="55"/>
      <c r="C168" s="55"/>
      <c r="D168" s="55"/>
      <c r="E168" s="55"/>
      <c r="F168" s="55"/>
      <c r="G168" s="55"/>
      <c r="H168" s="56"/>
      <c r="I168" s="82" t="b">
        <v>0</v>
      </c>
      <c r="J168" s="116" t="str">
        <f t="shared" si="21"/>
        <v/>
      </c>
      <c r="K168" s="125"/>
      <c r="L168" s="58"/>
      <c r="M168" s="58"/>
      <c r="N168" s="58"/>
      <c r="O168" s="58"/>
      <c r="P168" s="59"/>
      <c r="Q168" s="59"/>
      <c r="R168" s="59"/>
      <c r="S168" s="59"/>
      <c r="T168" s="59"/>
      <c r="U168" s="104"/>
      <c r="V168" s="130"/>
      <c r="X168" s="54"/>
      <c r="Y168" s="56"/>
      <c r="AA168" s="105"/>
      <c r="AB168" s="105"/>
      <c r="AC168" s="134"/>
    </row>
    <row r="169" spans="1:29" ht="15.75">
      <c r="A169" s="29" t="s">
        <v>339</v>
      </c>
      <c r="B169" s="55"/>
      <c r="C169" s="55"/>
      <c r="D169" s="55"/>
      <c r="E169" s="55"/>
      <c r="F169" s="55"/>
      <c r="G169" s="55"/>
      <c r="H169" s="56"/>
      <c r="I169" s="82" t="b">
        <v>0</v>
      </c>
      <c r="J169" s="116" t="str">
        <f t="shared" si="21"/>
        <v/>
      </c>
      <c r="K169" s="125"/>
      <c r="L169" s="58"/>
      <c r="M169" s="58"/>
      <c r="N169" s="58"/>
      <c r="O169" s="58"/>
      <c r="P169" s="59"/>
      <c r="Q169" s="59"/>
      <c r="R169" s="59"/>
      <c r="S169" s="59"/>
      <c r="T169" s="59"/>
      <c r="U169" s="104"/>
      <c r="V169" s="130"/>
      <c r="X169" s="54"/>
      <c r="Y169" s="56"/>
      <c r="AA169" s="105"/>
      <c r="AB169" s="105"/>
      <c r="AC169" s="134"/>
    </row>
    <row r="170" spans="1:29" ht="15.75">
      <c r="A170" s="29" t="s">
        <v>340</v>
      </c>
      <c r="B170" s="55"/>
      <c r="C170" s="55"/>
      <c r="D170" s="55"/>
      <c r="E170" s="55"/>
      <c r="F170" s="55"/>
      <c r="G170" s="55"/>
      <c r="H170" s="56"/>
      <c r="I170" s="82" t="b">
        <v>0</v>
      </c>
      <c r="J170" s="116" t="str">
        <f t="shared" si="21"/>
        <v/>
      </c>
      <c r="K170" s="125"/>
      <c r="L170" s="58"/>
      <c r="M170" s="58"/>
      <c r="N170" s="58"/>
      <c r="O170" s="58"/>
      <c r="P170" s="59"/>
      <c r="Q170" s="59"/>
      <c r="R170" s="59"/>
      <c r="S170" s="59"/>
      <c r="T170" s="59"/>
      <c r="U170" s="104"/>
      <c r="V170" s="130"/>
      <c r="X170" s="54"/>
      <c r="Y170" s="56"/>
      <c r="AA170" s="105"/>
      <c r="AB170" s="105"/>
      <c r="AC170" s="134"/>
    </row>
    <row r="171" spans="1:29" ht="15.75">
      <c r="A171" s="29" t="s">
        <v>341</v>
      </c>
      <c r="B171" s="55"/>
      <c r="C171" s="55"/>
      <c r="D171" s="55"/>
      <c r="E171" s="55"/>
      <c r="F171" s="55"/>
      <c r="G171" s="55"/>
      <c r="H171" s="56"/>
      <c r="I171" s="82" t="b">
        <v>0</v>
      </c>
      <c r="J171" s="116" t="str">
        <f t="shared" si="21"/>
        <v/>
      </c>
      <c r="K171" s="125"/>
      <c r="L171" s="58"/>
      <c r="M171" s="58"/>
      <c r="N171" s="58"/>
      <c r="O171" s="58"/>
      <c r="P171" s="59"/>
      <c r="Q171" s="59"/>
      <c r="R171" s="59"/>
      <c r="S171" s="59"/>
      <c r="T171" s="59"/>
      <c r="U171" s="104"/>
      <c r="V171" s="130"/>
      <c r="X171" s="54"/>
      <c r="Y171" s="56"/>
      <c r="AA171" s="105"/>
      <c r="AB171" s="105"/>
      <c r="AC171" s="134"/>
    </row>
    <row r="172" spans="1:29" ht="15.75">
      <c r="A172" s="29" t="s">
        <v>342</v>
      </c>
      <c r="B172" s="55"/>
      <c r="C172" s="55"/>
      <c r="D172" s="55"/>
      <c r="E172" s="55"/>
      <c r="F172" s="55"/>
      <c r="G172" s="55"/>
      <c r="H172" s="56"/>
      <c r="I172" s="82" t="b">
        <v>0</v>
      </c>
      <c r="J172" s="116" t="str">
        <f t="shared" si="21"/>
        <v/>
      </c>
      <c r="K172" s="125"/>
      <c r="L172" s="58"/>
      <c r="M172" s="58"/>
      <c r="N172" s="58"/>
      <c r="O172" s="58"/>
      <c r="P172" s="59"/>
      <c r="Q172" s="59"/>
      <c r="R172" s="59"/>
      <c r="S172" s="59"/>
      <c r="T172" s="59"/>
      <c r="U172" s="104"/>
      <c r="V172" s="130"/>
      <c r="X172" s="54"/>
      <c r="Y172" s="56"/>
      <c r="AA172" s="105"/>
      <c r="AB172" s="105"/>
      <c r="AC172" s="134"/>
    </row>
    <row r="173" spans="1:29" ht="15.75">
      <c r="A173" s="29" t="s">
        <v>343</v>
      </c>
      <c r="B173" s="55"/>
      <c r="C173" s="55"/>
      <c r="D173" s="55"/>
      <c r="E173" s="55"/>
      <c r="F173" s="55"/>
      <c r="G173" s="55"/>
      <c r="H173" s="56"/>
      <c r="I173" s="82" t="b">
        <v>0</v>
      </c>
      <c r="J173" s="116" t="str">
        <f t="shared" si="21"/>
        <v/>
      </c>
      <c r="K173" s="125"/>
      <c r="L173" s="58"/>
      <c r="M173" s="58"/>
      <c r="N173" s="58"/>
      <c r="O173" s="58"/>
      <c r="P173" s="59"/>
      <c r="Q173" s="59"/>
      <c r="R173" s="59"/>
      <c r="S173" s="59"/>
      <c r="T173" s="59"/>
      <c r="U173" s="104"/>
      <c r="V173" s="130"/>
      <c r="X173" s="54"/>
      <c r="Y173" s="56"/>
      <c r="AA173" s="105"/>
      <c r="AB173" s="105"/>
      <c r="AC173" s="134"/>
    </row>
    <row r="174" spans="1:29" ht="15.75">
      <c r="A174" s="29" t="s">
        <v>344</v>
      </c>
      <c r="B174" s="55"/>
      <c r="C174" s="55"/>
      <c r="D174" s="55"/>
      <c r="E174" s="55"/>
      <c r="F174" s="55"/>
      <c r="G174" s="55"/>
      <c r="H174" s="56"/>
      <c r="I174" s="82" t="b">
        <v>0</v>
      </c>
      <c r="J174" s="116" t="str">
        <f t="shared" si="21"/>
        <v/>
      </c>
      <c r="K174" s="125"/>
      <c r="L174" s="58"/>
      <c r="M174" s="58"/>
      <c r="N174" s="58"/>
      <c r="O174" s="58"/>
      <c r="P174" s="59"/>
      <c r="Q174" s="59"/>
      <c r="R174" s="59"/>
      <c r="S174" s="59"/>
      <c r="T174" s="59"/>
      <c r="U174" s="104"/>
      <c r="V174" s="130"/>
      <c r="X174" s="54"/>
      <c r="Y174" s="56"/>
      <c r="AA174" s="105"/>
      <c r="AB174" s="105"/>
      <c r="AC174" s="134"/>
    </row>
    <row r="175" spans="1:29" ht="15.75">
      <c r="A175" s="29" t="s">
        <v>345</v>
      </c>
      <c r="B175" s="55"/>
      <c r="C175" s="55"/>
      <c r="D175" s="55"/>
      <c r="E175" s="55"/>
      <c r="F175" s="55"/>
      <c r="G175" s="55"/>
      <c r="H175" s="56"/>
      <c r="I175" s="82" t="b">
        <v>0</v>
      </c>
      <c r="J175" s="116" t="str">
        <f t="shared" ref="J175:J201" si="34">IF(H175="","",+K175/H175)</f>
        <v/>
      </c>
      <c r="K175" s="125"/>
      <c r="L175" s="58"/>
      <c r="M175" s="58"/>
      <c r="N175" s="58"/>
      <c r="O175" s="58"/>
      <c r="P175" s="59"/>
      <c r="Q175" s="59"/>
      <c r="R175" s="59"/>
      <c r="S175" s="59"/>
      <c r="T175" s="59"/>
      <c r="U175" s="104"/>
      <c r="V175" s="130"/>
      <c r="X175" s="54"/>
      <c r="Y175" s="56"/>
      <c r="AA175" s="105"/>
      <c r="AB175" s="105"/>
      <c r="AC175" s="134"/>
    </row>
    <row r="176" spans="1:29" ht="15.75">
      <c r="A176" s="29" t="s">
        <v>346</v>
      </c>
      <c r="B176" s="55"/>
      <c r="C176" s="55"/>
      <c r="D176" s="55"/>
      <c r="E176" s="55"/>
      <c r="F176" s="55"/>
      <c r="G176" s="55"/>
      <c r="H176" s="56"/>
      <c r="I176" s="82" t="b">
        <v>0</v>
      </c>
      <c r="J176" s="116" t="str">
        <f t="shared" si="34"/>
        <v/>
      </c>
      <c r="K176" s="125"/>
      <c r="L176" s="58"/>
      <c r="M176" s="58"/>
      <c r="N176" s="58"/>
      <c r="O176" s="58"/>
      <c r="P176" s="59"/>
      <c r="Q176" s="59"/>
      <c r="R176" s="59"/>
      <c r="S176" s="59"/>
      <c r="T176" s="59"/>
      <c r="U176" s="104"/>
      <c r="V176" s="130"/>
      <c r="X176" s="54"/>
      <c r="Y176" s="56"/>
      <c r="AA176" s="105"/>
      <c r="AB176" s="105"/>
      <c r="AC176" s="134"/>
    </row>
    <row r="177" spans="1:29" ht="15.75">
      <c r="A177" s="29" t="s">
        <v>347</v>
      </c>
      <c r="B177" s="55"/>
      <c r="C177" s="55"/>
      <c r="D177" s="55"/>
      <c r="E177" s="55"/>
      <c r="F177" s="55"/>
      <c r="G177" s="55"/>
      <c r="H177" s="56"/>
      <c r="I177" s="82" t="b">
        <v>0</v>
      </c>
      <c r="J177" s="116" t="str">
        <f t="shared" si="34"/>
        <v/>
      </c>
      <c r="K177" s="125"/>
      <c r="L177" s="58"/>
      <c r="M177" s="58"/>
      <c r="N177" s="58"/>
      <c r="O177" s="58"/>
      <c r="P177" s="59"/>
      <c r="Q177" s="59"/>
      <c r="R177" s="59"/>
      <c r="S177" s="59"/>
      <c r="T177" s="59"/>
      <c r="U177" s="104"/>
      <c r="V177" s="130"/>
      <c r="X177" s="54"/>
      <c r="Y177" s="56"/>
      <c r="AA177" s="105"/>
      <c r="AB177" s="105"/>
      <c r="AC177" s="134"/>
    </row>
    <row r="178" spans="1:29" ht="15.75">
      <c r="A178" s="29" t="s">
        <v>348</v>
      </c>
      <c r="B178" s="55"/>
      <c r="C178" s="55"/>
      <c r="D178" s="55"/>
      <c r="E178" s="55"/>
      <c r="F178" s="55"/>
      <c r="G178" s="55"/>
      <c r="H178" s="56"/>
      <c r="I178" s="82" t="b">
        <v>0</v>
      </c>
      <c r="J178" s="116" t="str">
        <f t="shared" si="34"/>
        <v/>
      </c>
      <c r="K178" s="125"/>
      <c r="L178" s="58"/>
      <c r="M178" s="58"/>
      <c r="N178" s="58"/>
      <c r="O178" s="58"/>
      <c r="P178" s="59"/>
      <c r="Q178" s="59"/>
      <c r="R178" s="59"/>
      <c r="S178" s="59"/>
      <c r="T178" s="59"/>
      <c r="U178" s="104"/>
      <c r="V178" s="130"/>
      <c r="X178" s="54"/>
      <c r="Y178" s="56"/>
      <c r="AA178" s="105"/>
      <c r="AB178" s="105"/>
      <c r="AC178" s="134"/>
    </row>
    <row r="179" spans="1:29" ht="15.75">
      <c r="A179" s="29" t="s">
        <v>349</v>
      </c>
      <c r="B179" s="55"/>
      <c r="C179" s="55"/>
      <c r="D179" s="55"/>
      <c r="E179" s="55"/>
      <c r="F179" s="55"/>
      <c r="G179" s="55"/>
      <c r="H179" s="56"/>
      <c r="I179" s="82" t="b">
        <v>0</v>
      </c>
      <c r="J179" s="116" t="str">
        <f t="shared" si="34"/>
        <v/>
      </c>
      <c r="K179" s="125"/>
      <c r="L179" s="58"/>
      <c r="M179" s="58"/>
      <c r="N179" s="58"/>
      <c r="O179" s="58"/>
      <c r="P179" s="59"/>
      <c r="Q179" s="59"/>
      <c r="R179" s="59"/>
      <c r="S179" s="59"/>
      <c r="T179" s="59"/>
      <c r="U179" s="104"/>
      <c r="V179" s="130"/>
      <c r="X179" s="54"/>
      <c r="Y179" s="56"/>
      <c r="AA179" s="105"/>
      <c r="AB179" s="105"/>
      <c r="AC179" s="134"/>
    </row>
    <row r="180" spans="1:29" ht="15.75">
      <c r="A180" s="29" t="s">
        <v>350</v>
      </c>
      <c r="B180" s="55"/>
      <c r="C180" s="55"/>
      <c r="D180" s="55"/>
      <c r="E180" s="55"/>
      <c r="F180" s="55"/>
      <c r="G180" s="55"/>
      <c r="H180" s="56"/>
      <c r="I180" s="82" t="b">
        <v>0</v>
      </c>
      <c r="J180" s="116" t="str">
        <f t="shared" si="34"/>
        <v/>
      </c>
      <c r="K180" s="125"/>
      <c r="L180" s="58"/>
      <c r="M180" s="58"/>
      <c r="N180" s="58"/>
      <c r="O180" s="58"/>
      <c r="P180" s="59"/>
      <c r="Q180" s="59"/>
      <c r="R180" s="59"/>
      <c r="S180" s="59"/>
      <c r="T180" s="59"/>
      <c r="U180" s="104"/>
      <c r="V180" s="130"/>
      <c r="X180" s="54"/>
      <c r="Y180" s="56"/>
      <c r="AA180" s="105"/>
      <c r="AB180" s="105"/>
      <c r="AC180" s="134"/>
    </row>
    <row r="181" spans="1:29" ht="15.75">
      <c r="A181" s="29" t="s">
        <v>351</v>
      </c>
      <c r="B181" s="55"/>
      <c r="C181" s="55"/>
      <c r="D181" s="55"/>
      <c r="E181" s="55"/>
      <c r="F181" s="55"/>
      <c r="G181" s="55"/>
      <c r="H181" s="56"/>
      <c r="I181" s="82" t="b">
        <v>0</v>
      </c>
      <c r="J181" s="116" t="str">
        <f t="shared" si="34"/>
        <v/>
      </c>
      <c r="K181" s="125"/>
      <c r="L181" s="58"/>
      <c r="M181" s="58"/>
      <c r="N181" s="58"/>
      <c r="O181" s="58"/>
      <c r="P181" s="59"/>
      <c r="Q181" s="59"/>
      <c r="R181" s="59"/>
      <c r="S181" s="59"/>
      <c r="T181" s="59"/>
      <c r="U181" s="104"/>
      <c r="V181" s="130"/>
      <c r="X181" s="54"/>
      <c r="Y181" s="56"/>
      <c r="AA181" s="105"/>
      <c r="AB181" s="105"/>
      <c r="AC181" s="134"/>
    </row>
    <row r="182" spans="1:29" ht="15.75">
      <c r="A182" s="29" t="s">
        <v>352</v>
      </c>
      <c r="B182" s="55"/>
      <c r="C182" s="55"/>
      <c r="D182" s="55"/>
      <c r="E182" s="55"/>
      <c r="F182" s="55"/>
      <c r="G182" s="55"/>
      <c r="H182" s="56"/>
      <c r="I182" s="82" t="b">
        <v>0</v>
      </c>
      <c r="J182" s="116" t="str">
        <f t="shared" si="34"/>
        <v/>
      </c>
      <c r="K182" s="125"/>
      <c r="L182" s="58"/>
      <c r="M182" s="58"/>
      <c r="N182" s="58"/>
      <c r="O182" s="58"/>
      <c r="P182" s="59"/>
      <c r="Q182" s="59"/>
      <c r="R182" s="59"/>
      <c r="S182" s="59"/>
      <c r="T182" s="59"/>
      <c r="U182" s="104"/>
      <c r="V182" s="130"/>
      <c r="X182" s="54"/>
      <c r="Y182" s="56"/>
      <c r="AA182" s="105"/>
      <c r="AB182" s="105"/>
      <c r="AC182" s="134"/>
    </row>
    <row r="183" spans="1:29" ht="15.75">
      <c r="A183" s="29" t="s">
        <v>353</v>
      </c>
      <c r="B183" s="55"/>
      <c r="C183" s="55"/>
      <c r="D183" s="55"/>
      <c r="E183" s="55"/>
      <c r="F183" s="55"/>
      <c r="G183" s="55"/>
      <c r="H183" s="56"/>
      <c r="I183" s="82" t="b">
        <v>0</v>
      </c>
      <c r="J183" s="116" t="str">
        <f t="shared" si="34"/>
        <v/>
      </c>
      <c r="K183" s="125"/>
      <c r="L183" s="58"/>
      <c r="M183" s="58"/>
      <c r="N183" s="58"/>
      <c r="O183" s="58"/>
      <c r="P183" s="59"/>
      <c r="Q183" s="59"/>
      <c r="R183" s="59"/>
      <c r="S183" s="59"/>
      <c r="T183" s="59"/>
      <c r="U183" s="104"/>
      <c r="V183" s="130"/>
      <c r="X183" s="54"/>
      <c r="Y183" s="56"/>
      <c r="AA183" s="105"/>
      <c r="AB183" s="105"/>
      <c r="AC183" s="134"/>
    </row>
    <row r="184" spans="1:29" ht="15.75">
      <c r="A184" s="29" t="s">
        <v>354</v>
      </c>
      <c r="B184" s="55"/>
      <c r="C184" s="55"/>
      <c r="D184" s="55"/>
      <c r="E184" s="55"/>
      <c r="F184" s="55"/>
      <c r="G184" s="55"/>
      <c r="H184" s="56"/>
      <c r="I184" s="82" t="b">
        <v>0</v>
      </c>
      <c r="J184" s="116" t="str">
        <f t="shared" si="34"/>
        <v/>
      </c>
      <c r="K184" s="125"/>
      <c r="L184" s="58"/>
      <c r="M184" s="58"/>
      <c r="N184" s="58"/>
      <c r="O184" s="58"/>
      <c r="P184" s="59"/>
      <c r="Q184" s="59"/>
      <c r="R184" s="59"/>
      <c r="S184" s="59"/>
      <c r="T184" s="59"/>
      <c r="U184" s="104"/>
      <c r="V184" s="130"/>
      <c r="X184" s="54"/>
      <c r="Y184" s="56"/>
      <c r="AA184" s="105"/>
      <c r="AB184" s="105"/>
      <c r="AC184" s="134"/>
    </row>
    <row r="185" spans="1:29" ht="15.75">
      <c r="A185" s="29" t="s">
        <v>355</v>
      </c>
      <c r="B185" s="55"/>
      <c r="C185" s="55"/>
      <c r="D185" s="55"/>
      <c r="E185" s="55"/>
      <c r="F185" s="55"/>
      <c r="G185" s="55"/>
      <c r="H185" s="56"/>
      <c r="I185" s="82" t="b">
        <v>0</v>
      </c>
      <c r="J185" s="116" t="str">
        <f t="shared" si="34"/>
        <v/>
      </c>
      <c r="K185" s="125"/>
      <c r="L185" s="58"/>
      <c r="M185" s="58"/>
      <c r="N185" s="58"/>
      <c r="O185" s="58"/>
      <c r="P185" s="59"/>
      <c r="Q185" s="59"/>
      <c r="R185" s="59"/>
      <c r="S185" s="59"/>
      <c r="T185" s="59"/>
      <c r="U185" s="104"/>
      <c r="V185" s="130"/>
      <c r="X185" s="54"/>
      <c r="Y185" s="56"/>
      <c r="AA185" s="105"/>
      <c r="AB185" s="105"/>
      <c r="AC185" s="134"/>
    </row>
    <row r="186" spans="1:29" ht="15.75">
      <c r="A186" s="29" t="s">
        <v>356</v>
      </c>
      <c r="B186" s="55"/>
      <c r="C186" s="55"/>
      <c r="D186" s="55"/>
      <c r="E186" s="55"/>
      <c r="F186" s="55"/>
      <c r="G186" s="55"/>
      <c r="H186" s="56"/>
      <c r="I186" s="82" t="b">
        <v>0</v>
      </c>
      <c r="J186" s="116" t="str">
        <f t="shared" si="34"/>
        <v/>
      </c>
      <c r="K186" s="125"/>
      <c r="L186" s="58"/>
      <c r="M186" s="58"/>
      <c r="N186" s="58"/>
      <c r="O186" s="58"/>
      <c r="P186" s="59"/>
      <c r="Q186" s="59"/>
      <c r="R186" s="59"/>
      <c r="S186" s="59"/>
      <c r="T186" s="59"/>
      <c r="U186" s="104"/>
      <c r="V186" s="130"/>
      <c r="X186" s="54"/>
      <c r="Y186" s="56"/>
      <c r="AA186" s="105"/>
      <c r="AB186" s="105"/>
      <c r="AC186" s="134"/>
    </row>
    <row r="187" spans="1:29" ht="15.75">
      <c r="A187" s="29" t="s">
        <v>357</v>
      </c>
      <c r="B187" s="55"/>
      <c r="C187" s="55"/>
      <c r="D187" s="55"/>
      <c r="E187" s="55"/>
      <c r="F187" s="55"/>
      <c r="G187" s="55"/>
      <c r="H187" s="56"/>
      <c r="I187" s="82" t="b">
        <v>0</v>
      </c>
      <c r="J187" s="116" t="str">
        <f t="shared" si="34"/>
        <v/>
      </c>
      <c r="K187" s="125"/>
      <c r="L187" s="58"/>
      <c r="M187" s="58"/>
      <c r="N187" s="58"/>
      <c r="O187" s="58"/>
      <c r="P187" s="59"/>
      <c r="Q187" s="59"/>
      <c r="R187" s="59"/>
      <c r="S187" s="59"/>
      <c r="T187" s="59"/>
      <c r="U187" s="104"/>
      <c r="V187" s="130"/>
      <c r="X187" s="54"/>
      <c r="Y187" s="56"/>
      <c r="AA187" s="105"/>
      <c r="AB187" s="105"/>
      <c r="AC187" s="134"/>
    </row>
    <row r="188" spans="1:29" ht="15.75">
      <c r="A188" s="29" t="s">
        <v>358</v>
      </c>
      <c r="B188" s="55"/>
      <c r="C188" s="55"/>
      <c r="D188" s="55"/>
      <c r="E188" s="55"/>
      <c r="F188" s="55"/>
      <c r="G188" s="55"/>
      <c r="H188" s="56"/>
      <c r="I188" s="82" t="b">
        <v>0</v>
      </c>
      <c r="J188" s="116" t="str">
        <f t="shared" si="34"/>
        <v/>
      </c>
      <c r="K188" s="125"/>
      <c r="L188" s="58"/>
      <c r="M188" s="58"/>
      <c r="N188" s="58"/>
      <c r="O188" s="58"/>
      <c r="P188" s="59"/>
      <c r="Q188" s="59"/>
      <c r="R188" s="59"/>
      <c r="S188" s="59"/>
      <c r="T188" s="59"/>
      <c r="U188" s="104"/>
      <c r="V188" s="130"/>
      <c r="X188" s="54"/>
      <c r="Y188" s="56"/>
      <c r="AA188" s="105"/>
      <c r="AB188" s="105"/>
      <c r="AC188" s="134"/>
    </row>
    <row r="189" spans="1:29" ht="15.75">
      <c r="A189" s="29" t="s">
        <v>359</v>
      </c>
      <c r="B189" s="55"/>
      <c r="C189" s="55"/>
      <c r="D189" s="55"/>
      <c r="E189" s="55"/>
      <c r="F189" s="55"/>
      <c r="G189" s="55"/>
      <c r="H189" s="56"/>
      <c r="I189" s="82" t="b">
        <v>0</v>
      </c>
      <c r="J189" s="116" t="str">
        <f t="shared" si="34"/>
        <v/>
      </c>
      <c r="K189" s="125"/>
      <c r="L189" s="58"/>
      <c r="M189" s="58"/>
      <c r="N189" s="58"/>
      <c r="O189" s="58"/>
      <c r="P189" s="59"/>
      <c r="Q189" s="59"/>
      <c r="R189" s="59"/>
      <c r="S189" s="59"/>
      <c r="T189" s="59"/>
      <c r="U189" s="104"/>
      <c r="V189" s="130"/>
      <c r="X189" s="54"/>
      <c r="Y189" s="56"/>
      <c r="AA189" s="105"/>
      <c r="AB189" s="105"/>
      <c r="AC189" s="134"/>
    </row>
    <row r="190" spans="1:29" ht="15.75">
      <c r="A190" s="29" t="s">
        <v>360</v>
      </c>
      <c r="B190" s="55"/>
      <c r="C190" s="55"/>
      <c r="D190" s="55"/>
      <c r="E190" s="55"/>
      <c r="F190" s="55"/>
      <c r="G190" s="55"/>
      <c r="H190" s="56"/>
      <c r="I190" s="82" t="b">
        <v>0</v>
      </c>
      <c r="J190" s="116" t="str">
        <f t="shared" si="34"/>
        <v/>
      </c>
      <c r="K190" s="125"/>
      <c r="L190" s="58"/>
      <c r="M190" s="58"/>
      <c r="N190" s="58"/>
      <c r="O190" s="58"/>
      <c r="P190" s="59"/>
      <c r="Q190" s="59"/>
      <c r="R190" s="59"/>
      <c r="S190" s="59"/>
      <c r="T190" s="59"/>
      <c r="U190" s="104"/>
      <c r="V190" s="130"/>
      <c r="X190" s="54"/>
      <c r="Y190" s="56"/>
      <c r="AA190" s="105"/>
      <c r="AB190" s="105"/>
      <c r="AC190" s="134"/>
    </row>
    <row r="191" spans="1:29" ht="15.75">
      <c r="A191" s="29" t="s">
        <v>361</v>
      </c>
      <c r="B191" s="55"/>
      <c r="C191" s="55"/>
      <c r="D191" s="55"/>
      <c r="E191" s="55"/>
      <c r="F191" s="55"/>
      <c r="G191" s="55"/>
      <c r="H191" s="56"/>
      <c r="I191" s="82" t="b">
        <v>0</v>
      </c>
      <c r="J191" s="116" t="str">
        <f t="shared" si="34"/>
        <v/>
      </c>
      <c r="K191" s="125"/>
      <c r="L191" s="58"/>
      <c r="M191" s="58"/>
      <c r="N191" s="58"/>
      <c r="O191" s="58"/>
      <c r="P191" s="59"/>
      <c r="Q191" s="59"/>
      <c r="R191" s="59"/>
      <c r="S191" s="59"/>
      <c r="T191" s="59"/>
      <c r="U191" s="104"/>
      <c r="V191" s="130"/>
      <c r="X191" s="54"/>
      <c r="Y191" s="56"/>
      <c r="AA191" s="105"/>
      <c r="AB191" s="105"/>
      <c r="AC191" s="134"/>
    </row>
    <row r="192" spans="1:29" ht="15.75">
      <c r="A192" s="29" t="s">
        <v>362</v>
      </c>
      <c r="B192" s="55"/>
      <c r="C192" s="55"/>
      <c r="D192" s="55"/>
      <c r="E192" s="55"/>
      <c r="F192" s="55"/>
      <c r="G192" s="55"/>
      <c r="H192" s="56"/>
      <c r="I192" s="82" t="b">
        <v>0</v>
      </c>
      <c r="J192" s="116" t="str">
        <f t="shared" si="34"/>
        <v/>
      </c>
      <c r="K192" s="125"/>
      <c r="L192" s="58"/>
      <c r="M192" s="58"/>
      <c r="N192" s="58"/>
      <c r="O192" s="58"/>
      <c r="P192" s="59"/>
      <c r="Q192" s="59"/>
      <c r="R192" s="59"/>
      <c r="S192" s="59"/>
      <c r="T192" s="59"/>
      <c r="U192" s="104"/>
      <c r="V192" s="130"/>
      <c r="X192" s="54"/>
      <c r="Y192" s="56"/>
      <c r="AA192" s="105"/>
      <c r="AB192" s="105"/>
      <c r="AC192" s="134"/>
    </row>
    <row r="193" spans="1:29" ht="15.75">
      <c r="A193" s="29" t="s">
        <v>363</v>
      </c>
      <c r="B193" s="55"/>
      <c r="C193" s="55"/>
      <c r="D193" s="55"/>
      <c r="E193" s="55"/>
      <c r="F193" s="55"/>
      <c r="G193" s="55"/>
      <c r="H193" s="56"/>
      <c r="I193" s="82" t="b">
        <v>0</v>
      </c>
      <c r="J193" s="116" t="str">
        <f t="shared" si="34"/>
        <v/>
      </c>
      <c r="K193" s="125"/>
      <c r="L193" s="58"/>
      <c r="M193" s="58"/>
      <c r="N193" s="58"/>
      <c r="O193" s="58"/>
      <c r="P193" s="59"/>
      <c r="Q193" s="59"/>
      <c r="R193" s="59"/>
      <c r="S193" s="59"/>
      <c r="T193" s="59"/>
      <c r="U193" s="104"/>
      <c r="V193" s="130"/>
      <c r="X193" s="54"/>
      <c r="Y193" s="56"/>
      <c r="AA193" s="105"/>
      <c r="AB193" s="105"/>
      <c r="AC193" s="134"/>
    </row>
    <row r="194" spans="1:29" ht="15.75">
      <c r="A194" s="29" t="s">
        <v>364</v>
      </c>
      <c r="B194" s="55"/>
      <c r="C194" s="55"/>
      <c r="D194" s="55"/>
      <c r="E194" s="55"/>
      <c r="F194" s="55"/>
      <c r="G194" s="55"/>
      <c r="H194" s="56"/>
      <c r="I194" s="82" t="b">
        <v>0</v>
      </c>
      <c r="J194" s="116" t="str">
        <f t="shared" si="34"/>
        <v/>
      </c>
      <c r="K194" s="125"/>
      <c r="L194" s="58"/>
      <c r="M194" s="58"/>
      <c r="N194" s="58"/>
      <c r="O194" s="58"/>
      <c r="P194" s="59"/>
      <c r="Q194" s="59"/>
      <c r="R194" s="59"/>
      <c r="S194" s="59"/>
      <c r="T194" s="59"/>
      <c r="U194" s="104"/>
      <c r="V194" s="130"/>
      <c r="X194" s="54"/>
      <c r="Y194" s="56"/>
      <c r="AA194" s="105"/>
      <c r="AB194" s="105"/>
      <c r="AC194" s="134"/>
    </row>
    <row r="195" spans="1:29" ht="15.75">
      <c r="A195" s="29" t="s">
        <v>365</v>
      </c>
      <c r="B195" s="55"/>
      <c r="C195" s="55"/>
      <c r="D195" s="55"/>
      <c r="E195" s="55"/>
      <c r="F195" s="55"/>
      <c r="G195" s="55"/>
      <c r="H195" s="56"/>
      <c r="I195" s="82" t="b">
        <v>0</v>
      </c>
      <c r="J195" s="116" t="str">
        <f t="shared" si="34"/>
        <v/>
      </c>
      <c r="K195" s="125"/>
      <c r="L195" s="58"/>
      <c r="M195" s="58"/>
      <c r="N195" s="58"/>
      <c r="O195" s="58"/>
      <c r="P195" s="59"/>
      <c r="Q195" s="59"/>
      <c r="R195" s="59"/>
      <c r="S195" s="59"/>
      <c r="T195" s="59"/>
      <c r="U195" s="104"/>
      <c r="V195" s="130"/>
      <c r="X195" s="54"/>
      <c r="Y195" s="56"/>
      <c r="AA195" s="105"/>
      <c r="AB195" s="105"/>
      <c r="AC195" s="134"/>
    </row>
    <row r="196" spans="1:29" ht="15.75">
      <c r="A196" s="29" t="s">
        <v>366</v>
      </c>
      <c r="B196" s="55"/>
      <c r="C196" s="55"/>
      <c r="D196" s="55"/>
      <c r="E196" s="55"/>
      <c r="F196" s="55"/>
      <c r="G196" s="55"/>
      <c r="H196" s="56"/>
      <c r="I196" s="82" t="b">
        <v>0</v>
      </c>
      <c r="J196" s="116" t="str">
        <f t="shared" si="34"/>
        <v/>
      </c>
      <c r="K196" s="125"/>
      <c r="L196" s="58"/>
      <c r="M196" s="58"/>
      <c r="N196" s="58"/>
      <c r="O196" s="58"/>
      <c r="P196" s="59"/>
      <c r="Q196" s="59"/>
      <c r="R196" s="59"/>
      <c r="S196" s="59"/>
      <c r="T196" s="59"/>
      <c r="U196" s="104"/>
      <c r="V196" s="130"/>
      <c r="X196" s="54"/>
      <c r="Y196" s="56"/>
      <c r="AA196" s="105"/>
      <c r="AB196" s="105"/>
      <c r="AC196" s="134"/>
    </row>
    <row r="197" spans="1:29" ht="15.75">
      <c r="A197" s="29" t="s">
        <v>367</v>
      </c>
      <c r="B197" s="55"/>
      <c r="C197" s="55"/>
      <c r="D197" s="55"/>
      <c r="E197" s="55"/>
      <c r="F197" s="55"/>
      <c r="G197" s="55"/>
      <c r="H197" s="56"/>
      <c r="I197" s="82" t="b">
        <v>0</v>
      </c>
      <c r="J197" s="116" t="str">
        <f t="shared" si="34"/>
        <v/>
      </c>
      <c r="K197" s="125"/>
      <c r="L197" s="58"/>
      <c r="M197" s="58"/>
      <c r="N197" s="58"/>
      <c r="O197" s="58"/>
      <c r="P197" s="59"/>
      <c r="Q197" s="59"/>
      <c r="R197" s="59"/>
      <c r="S197" s="59"/>
      <c r="T197" s="59"/>
      <c r="U197" s="104"/>
      <c r="V197" s="130"/>
      <c r="X197" s="54"/>
      <c r="Y197" s="56"/>
      <c r="AA197" s="105"/>
      <c r="AB197" s="105"/>
      <c r="AC197" s="134"/>
    </row>
    <row r="198" spans="1:29" ht="15.75">
      <c r="A198" s="29" t="s">
        <v>368</v>
      </c>
      <c r="B198" s="55"/>
      <c r="C198" s="55"/>
      <c r="D198" s="55"/>
      <c r="E198" s="55"/>
      <c r="F198" s="55"/>
      <c r="G198" s="55"/>
      <c r="H198" s="56"/>
      <c r="I198" s="82" t="b">
        <v>0</v>
      </c>
      <c r="J198" s="116" t="str">
        <f t="shared" si="34"/>
        <v/>
      </c>
      <c r="K198" s="125"/>
      <c r="L198" s="58"/>
      <c r="M198" s="58"/>
      <c r="N198" s="58"/>
      <c r="O198" s="58"/>
      <c r="P198" s="59"/>
      <c r="Q198" s="59"/>
      <c r="R198" s="59"/>
      <c r="S198" s="59"/>
      <c r="T198" s="59"/>
      <c r="U198" s="104"/>
      <c r="V198" s="130"/>
      <c r="X198" s="54"/>
      <c r="Y198" s="56"/>
      <c r="AA198" s="105"/>
      <c r="AB198" s="105"/>
      <c r="AC198" s="134"/>
    </row>
    <row r="199" spans="1:29" ht="15.75">
      <c r="A199" s="29" t="s">
        <v>369</v>
      </c>
      <c r="B199" s="55"/>
      <c r="C199" s="55"/>
      <c r="D199" s="55"/>
      <c r="E199" s="55"/>
      <c r="F199" s="55"/>
      <c r="G199" s="55"/>
      <c r="H199" s="56"/>
      <c r="I199" s="82" t="b">
        <v>0</v>
      </c>
      <c r="J199" s="116" t="str">
        <f t="shared" si="34"/>
        <v/>
      </c>
      <c r="K199" s="125"/>
      <c r="L199" s="58"/>
      <c r="M199" s="58"/>
      <c r="N199" s="58"/>
      <c r="O199" s="58"/>
      <c r="P199" s="59"/>
      <c r="Q199" s="59"/>
      <c r="R199" s="59"/>
      <c r="S199" s="59"/>
      <c r="T199" s="59"/>
      <c r="U199" s="104"/>
      <c r="V199" s="130"/>
      <c r="X199" s="54"/>
      <c r="Y199" s="56"/>
      <c r="AA199" s="105"/>
      <c r="AB199" s="105"/>
      <c r="AC199" s="134"/>
    </row>
    <row r="200" spans="1:29" ht="15.75">
      <c r="A200" s="29" t="s">
        <v>370</v>
      </c>
      <c r="B200" s="55"/>
      <c r="C200" s="55"/>
      <c r="D200" s="55"/>
      <c r="E200" s="55"/>
      <c r="F200" s="55"/>
      <c r="G200" s="55"/>
      <c r="H200" s="56"/>
      <c r="I200" s="82" t="b">
        <v>0</v>
      </c>
      <c r="J200" s="116" t="str">
        <f t="shared" si="34"/>
        <v/>
      </c>
      <c r="K200" s="125"/>
      <c r="L200" s="58"/>
      <c r="M200" s="58"/>
      <c r="N200" s="58"/>
      <c r="O200" s="58"/>
      <c r="P200" s="59"/>
      <c r="Q200" s="59"/>
      <c r="R200" s="59"/>
      <c r="S200" s="59"/>
      <c r="T200" s="59"/>
      <c r="U200" s="104"/>
      <c r="V200" s="130"/>
      <c r="X200" s="54"/>
      <c r="Y200" s="56"/>
      <c r="AA200" s="105"/>
      <c r="AB200" s="105"/>
      <c r="AC200" s="134"/>
    </row>
    <row r="201" spans="1:29" ht="15.75">
      <c r="A201" s="29" t="s">
        <v>371</v>
      </c>
      <c r="B201" s="55"/>
      <c r="C201" s="55"/>
      <c r="D201" s="55"/>
      <c r="E201" s="55"/>
      <c r="F201" s="55"/>
      <c r="G201" s="55"/>
      <c r="H201" s="56"/>
      <c r="I201" s="82" t="b">
        <v>0</v>
      </c>
      <c r="J201" s="116" t="str">
        <f t="shared" si="34"/>
        <v/>
      </c>
      <c r="K201" s="125"/>
      <c r="L201" s="58"/>
      <c r="M201" s="58"/>
      <c r="N201" s="58"/>
      <c r="O201" s="58"/>
      <c r="P201" s="59"/>
      <c r="Q201" s="59"/>
      <c r="R201" s="59"/>
      <c r="S201" s="59"/>
      <c r="T201" s="59"/>
      <c r="U201" s="104"/>
      <c r="V201" s="130"/>
      <c r="X201" s="54"/>
      <c r="Y201" s="56"/>
      <c r="AA201" s="105"/>
      <c r="AB201" s="105"/>
      <c r="AC201" s="134"/>
    </row>
    <row r="202" spans="1:29" ht="16.5" thickBot="1">
      <c r="A202" s="30"/>
      <c r="B202" s="31"/>
      <c r="C202" s="31"/>
      <c r="D202" s="31"/>
      <c r="E202" s="31"/>
      <c r="F202" s="31"/>
      <c r="G202" s="31"/>
      <c r="H202" s="32"/>
      <c r="I202" s="82" t="b">
        <v>0</v>
      </c>
      <c r="J202" s="126"/>
      <c r="K202" s="127"/>
      <c r="L202" s="50"/>
      <c r="M202" s="50"/>
      <c r="N202" s="50"/>
      <c r="O202" s="50"/>
      <c r="P202" s="51"/>
      <c r="Q202" s="51"/>
      <c r="R202" s="51"/>
      <c r="S202" s="51"/>
      <c r="T202" s="51"/>
      <c r="U202" s="52" t="str">
        <f t="shared" si="25"/>
        <v/>
      </c>
      <c r="V202" s="131" t="str">
        <f t="shared" si="22"/>
        <v/>
      </c>
      <c r="X202" s="30"/>
      <c r="Y202" s="32"/>
      <c r="AA202" s="62"/>
      <c r="AB202" s="62"/>
      <c r="AC202" s="135"/>
    </row>
  </sheetData>
  <autoFilter ref="A2:AC202" xr:uid="{969E45CB-FC1E-4835-BA2F-DA99948549B1}"/>
  <mergeCells count="1">
    <mergeCell ref="AA1:AB1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098C-6F59-4E95-8BF2-432BC4A3F241}">
  <dimension ref="A1:AC202"/>
  <sheetViews>
    <sheetView showGridLines="0" zoomScale="95" zoomScaleNormal="95" workbookViewId="0">
      <pane xSplit="4" ySplit="2" topLeftCell="E71" activePane="bottomRight" state="frozen"/>
      <selection pane="bottomRight" activeCell="A2" sqref="A2"/>
      <selection pane="bottomLeft" activeCell="A3" sqref="A3"/>
      <selection pane="topRight" activeCell="E1" sqref="E1"/>
    </sheetView>
  </sheetViews>
  <sheetFormatPr defaultColWidth="8.7109375" defaultRowHeight="15"/>
  <cols>
    <col min="1" max="1" width="8.7109375" style="5" customWidth="1"/>
    <col min="2" max="2" width="20.7109375" style="5" customWidth="1"/>
    <col min="3" max="3" width="15.7109375" style="5" customWidth="1"/>
    <col min="4" max="4" width="23.7109375" style="5" customWidth="1"/>
    <col min="5" max="8" width="10.7109375" style="5" customWidth="1"/>
    <col min="9" max="9" width="3.7109375" style="8" customWidth="1"/>
    <col min="10" max="10" width="10.7109375" style="5" customWidth="1"/>
    <col min="11" max="11" width="12.42578125" style="12" customWidth="1"/>
    <col min="12" max="12" width="10.7109375" style="8" customWidth="1"/>
    <col min="13" max="13" width="10" style="8" customWidth="1"/>
    <col min="14" max="14" width="10.7109375" style="8" customWidth="1"/>
    <col min="15" max="15" width="9.7109375" style="8" customWidth="1"/>
    <col min="16" max="21" width="10.7109375" style="5" customWidth="1"/>
    <col min="22" max="22" width="10.7109375" style="15" customWidth="1"/>
    <col min="23" max="23" width="1.7109375" style="8" customWidth="1"/>
    <col min="24" max="24" width="12.7109375" style="5" customWidth="1"/>
    <col min="25" max="25" width="12.140625" style="5" customWidth="1"/>
    <col min="26" max="26" width="1.7109375" style="8" customWidth="1"/>
    <col min="27" max="28" width="10.7109375" style="8" customWidth="1"/>
    <col min="29" max="29" width="20.7109375" style="8" customWidth="1"/>
    <col min="30" max="984" width="10.7109375" style="8" customWidth="1"/>
    <col min="985" max="16384" width="8.7109375" style="8"/>
  </cols>
  <sheetData>
    <row r="1" spans="1:29" ht="28.5" customHeight="1" thickBot="1">
      <c r="A1" s="4"/>
      <c r="B1" s="4"/>
      <c r="C1" s="4"/>
      <c r="D1" s="24"/>
      <c r="E1" s="25"/>
      <c r="F1" s="4"/>
      <c r="I1" s="6"/>
      <c r="K1" s="7"/>
      <c r="L1" s="6"/>
      <c r="M1" s="6"/>
      <c r="N1" s="6"/>
      <c r="O1" s="6"/>
      <c r="W1" s="6"/>
      <c r="AA1" s="145"/>
      <c r="AB1" s="146"/>
      <c r="AC1" s="75">
        <f>SUM(AC3:AC46)</f>
        <v>92183.303444605976</v>
      </c>
    </row>
    <row r="2" spans="1:29" s="45" customFormat="1" ht="50.25" customHeight="1" thickBot="1">
      <c r="A2" s="107" t="s">
        <v>0</v>
      </c>
      <c r="B2" s="108" t="s">
        <v>1</v>
      </c>
      <c r="C2" s="108" t="s">
        <v>2</v>
      </c>
      <c r="D2" s="108" t="s">
        <v>3</v>
      </c>
      <c r="E2" s="108" t="s">
        <v>4</v>
      </c>
      <c r="F2" s="108" t="s">
        <v>5</v>
      </c>
      <c r="G2" s="108" t="s">
        <v>6</v>
      </c>
      <c r="H2" s="109" t="s">
        <v>7</v>
      </c>
      <c r="J2" s="107" t="s">
        <v>8</v>
      </c>
      <c r="K2" s="110" t="s">
        <v>372</v>
      </c>
      <c r="L2" s="110" t="s">
        <v>373</v>
      </c>
      <c r="M2" s="111" t="s">
        <v>12</v>
      </c>
      <c r="N2" s="111" t="s">
        <v>13</v>
      </c>
      <c r="O2" s="111" t="s">
        <v>14</v>
      </c>
      <c r="P2" s="112" t="s">
        <v>15</v>
      </c>
      <c r="Q2" s="112" t="s">
        <v>16</v>
      </c>
      <c r="R2" s="112" t="s">
        <v>17</v>
      </c>
      <c r="S2" s="112" t="s">
        <v>18</v>
      </c>
      <c r="T2" s="112" t="s">
        <v>19</v>
      </c>
      <c r="U2" s="112" t="s">
        <v>20</v>
      </c>
      <c r="V2" s="113" t="s">
        <v>21</v>
      </c>
      <c r="X2" s="107" t="s">
        <v>22</v>
      </c>
      <c r="Y2" s="109" t="s">
        <v>23</v>
      </c>
      <c r="AA2" s="114" t="s">
        <v>24</v>
      </c>
      <c r="AB2" s="114" t="s">
        <v>25</v>
      </c>
      <c r="AC2" s="115" t="s">
        <v>26</v>
      </c>
    </row>
    <row r="3" spans="1:29" ht="15.75">
      <c r="A3" s="67" t="s">
        <v>27</v>
      </c>
      <c r="B3" s="68" t="s">
        <v>28</v>
      </c>
      <c r="C3" s="69" t="s">
        <v>29</v>
      </c>
      <c r="D3" s="68" t="s">
        <v>30</v>
      </c>
      <c r="E3" s="68" t="str">
        <f t="shared" ref="E3:E51" si="0">IF(B3="","",IF(D3="Godfroy","Godfroy",(IF(LEFT(B3,1)="1","Hiwa","Direct"))))</f>
        <v>Hiwa</v>
      </c>
      <c r="F3" s="68" t="s">
        <v>31</v>
      </c>
      <c r="G3" s="68">
        <v>80</v>
      </c>
      <c r="H3" s="70">
        <f>G3*215</f>
        <v>17200</v>
      </c>
      <c r="I3" s="82" t="b">
        <v>1</v>
      </c>
      <c r="J3" s="116">
        <f t="shared" ref="J3:J10" si="1">+K3/H3</f>
        <v>1.0022066936373668</v>
      </c>
      <c r="K3" s="117">
        <f>18748/1.0876</f>
        <v>17237.95513056271</v>
      </c>
      <c r="L3" s="17"/>
      <c r="M3" s="17">
        <v>57.56</v>
      </c>
      <c r="N3" s="17"/>
      <c r="O3" s="16">
        <v>1113.75</v>
      </c>
      <c r="P3" s="16">
        <f>(27*42.45)+42.45+42.45+42.45+42.45+42.45+2.93+2.93+2.93+2.93+2.93+2.93+3.06+3.06+1.53+1.53</f>
        <v>1385.1600000000005</v>
      </c>
      <c r="Q3" s="16">
        <f>1.78+1.79+1.84+1.87+1.84+1.82+1.81+1.72+1.64+1.67+1.66+1.66+1.66+1.63+1.61+0.11+0.12+0.12+0.12+0.06</f>
        <v>26.53</v>
      </c>
      <c r="R3" s="16">
        <f>51.74+54.64+54.64+54.64+54.64+(57.04*(1/4))</f>
        <v>284.55999999999995</v>
      </c>
      <c r="S3" s="16">
        <f>14.75+18.66+14.75+15.4</f>
        <v>63.559999999999995</v>
      </c>
      <c r="T3" s="16">
        <f>395+180+280+1055+172+(215*(1/4))</f>
        <v>2135.75</v>
      </c>
      <c r="U3" s="19">
        <f>IF(B3="","",K3+SUM(L3:Q3))</f>
        <v>19820.95513056271</v>
      </c>
      <c r="V3" s="128">
        <f t="shared" ref="V3:V39" si="2">IF(J3="","",+U3/H3)</f>
        <v>1.152381112242018</v>
      </c>
      <c r="X3" s="40">
        <v>335274</v>
      </c>
      <c r="Y3" s="41">
        <v>45086</v>
      </c>
      <c r="AA3" s="60"/>
      <c r="AB3" s="60"/>
      <c r="AC3" s="132" t="str">
        <f>IF(AB3&gt;0,((AB3)*V3),"")</f>
        <v/>
      </c>
    </row>
    <row r="4" spans="1:29" ht="15.75">
      <c r="A4" s="26" t="s">
        <v>32</v>
      </c>
      <c r="B4" s="11" t="s">
        <v>33</v>
      </c>
      <c r="C4" s="3" t="s">
        <v>34</v>
      </c>
      <c r="D4" s="3" t="s">
        <v>35</v>
      </c>
      <c r="E4" s="3" t="str">
        <f t="shared" si="0"/>
        <v>Godfroy</v>
      </c>
      <c r="F4" s="3" t="s">
        <v>36</v>
      </c>
      <c r="G4" s="3">
        <v>256</v>
      </c>
      <c r="H4" s="28">
        <v>2560</v>
      </c>
      <c r="I4" s="82" t="b">
        <v>1</v>
      </c>
      <c r="J4" s="116">
        <f t="shared" si="1"/>
        <v>1.78</v>
      </c>
      <c r="K4" s="117">
        <v>4556.8</v>
      </c>
      <c r="L4" s="17"/>
      <c r="M4" s="17"/>
      <c r="N4" s="17"/>
      <c r="O4" s="17">
        <v>49.65</v>
      </c>
      <c r="P4" s="16">
        <f>82.87+82.87+80.2+82.87+80.2+82.87+62.15+56.14+62.15+60.15+62.15+60.15+62.15+62.15+60.15+62.15+60.15+62.15+62.15+56.14+62.15+60.15+62.15</f>
        <v>1526.4100000000005</v>
      </c>
      <c r="Q4" s="16">
        <f>8.54+8.54+8.54+8.54+8.54+8.54+6.4+6.4+6.4+6.4+6.4+6.4+6.4+6.4+6.4+6.4+6.4+6.4+6.4+6.4+6.4+6.4+6.4</f>
        <v>160.04000000000008</v>
      </c>
      <c r="R4" s="16" t="s">
        <v>37</v>
      </c>
      <c r="S4" s="16">
        <f>4.3+4.3+1.61</f>
        <v>10.209999999999999</v>
      </c>
      <c r="T4" s="16">
        <v>148</v>
      </c>
      <c r="U4" s="19">
        <f t="shared" ref="U4:U6" si="3">IF(B4="","",K4+SUM(L4:Q4))</f>
        <v>6292.9000000000015</v>
      </c>
      <c r="V4" s="128">
        <f t="shared" si="2"/>
        <v>2.4581640625000007</v>
      </c>
      <c r="X4" s="77">
        <v>93104899</v>
      </c>
      <c r="Y4" s="76">
        <v>45131</v>
      </c>
      <c r="AA4" s="78"/>
      <c r="AB4" s="78"/>
      <c r="AC4" s="132" t="str">
        <f t="shared" ref="AC4:AC6" si="4">IF(AB4&gt;0,((AB4)*V4),"")</f>
        <v/>
      </c>
    </row>
    <row r="5" spans="1:29" ht="15.75">
      <c r="A5" s="26" t="s">
        <v>38</v>
      </c>
      <c r="B5" s="3" t="s">
        <v>39</v>
      </c>
      <c r="C5" s="3" t="s">
        <v>34</v>
      </c>
      <c r="D5" s="3" t="s">
        <v>35</v>
      </c>
      <c r="E5" s="3" t="str">
        <f t="shared" si="0"/>
        <v>Godfroy</v>
      </c>
      <c r="F5" s="3" t="s">
        <v>36</v>
      </c>
      <c r="G5" s="3">
        <v>128</v>
      </c>
      <c r="H5" s="28">
        <v>1280</v>
      </c>
      <c r="I5" s="82" t="b">
        <v>1</v>
      </c>
      <c r="J5" s="116">
        <f t="shared" si="1"/>
        <v>2.88</v>
      </c>
      <c r="K5" s="117">
        <v>3686.4</v>
      </c>
      <c r="L5" s="17"/>
      <c r="M5" s="17"/>
      <c r="N5" s="17"/>
      <c r="O5" s="17">
        <v>27</v>
      </c>
      <c r="P5" s="16">
        <f>41.44+20.72+20.04+20.72+20.05+20.72+20.72+18.71+20.72+20.05+20.72+20.05+20.72+20.72+20.05+20.72+20.05+20.72+20.72+8.03</f>
        <v>416.39</v>
      </c>
      <c r="Q5" s="16">
        <f>5.74+2.87+2.87+2.87+2.87+2.87+2.87+2.87+2.87+2.87+2.87+2.87+2.87+2.87+2.87+2.87+2.87+2.87+2.87+2.87</f>
        <v>60.269999999999982</v>
      </c>
      <c r="R5" s="16" t="s">
        <v>37</v>
      </c>
      <c r="S5" s="16">
        <f>4.3+4.3+1.61+1.61</f>
        <v>11.819999999999999</v>
      </c>
      <c r="T5" s="16">
        <f>241+97.72</f>
        <v>338.72</v>
      </c>
      <c r="U5" s="19">
        <f t="shared" si="3"/>
        <v>4190.0600000000004</v>
      </c>
      <c r="V5" s="128">
        <f t="shared" si="2"/>
        <v>3.2734843750000002</v>
      </c>
      <c r="X5" s="77">
        <v>93104898</v>
      </c>
      <c r="Y5" s="76">
        <v>45131</v>
      </c>
      <c r="AA5" s="78"/>
      <c r="AB5" s="78"/>
      <c r="AC5" s="132" t="str">
        <f t="shared" si="4"/>
        <v/>
      </c>
    </row>
    <row r="6" spans="1:29" ht="15" customHeight="1">
      <c r="A6" s="26" t="s">
        <v>40</v>
      </c>
      <c r="B6" s="11" t="s">
        <v>41</v>
      </c>
      <c r="C6" s="3" t="s">
        <v>34</v>
      </c>
      <c r="D6" s="3" t="s">
        <v>35</v>
      </c>
      <c r="E6" s="3" t="str">
        <f t="shared" si="0"/>
        <v>Godfroy</v>
      </c>
      <c r="F6" s="3" t="s">
        <v>36</v>
      </c>
      <c r="G6" s="3">
        <v>1664</v>
      </c>
      <c r="H6" s="28">
        <v>16640</v>
      </c>
      <c r="I6" s="82" t="b">
        <v>1</v>
      </c>
      <c r="J6" s="116">
        <f t="shared" si="1"/>
        <v>2.52</v>
      </c>
      <c r="K6" s="117">
        <v>41932.800000000003</v>
      </c>
      <c r="L6" s="17"/>
      <c r="M6" s="17"/>
      <c r="N6" s="17"/>
      <c r="O6" s="17">
        <v>327</v>
      </c>
      <c r="P6" s="16">
        <f>497.23+414.36+400.99+414.36+400.99+414.36+393.64+355.55+393.64+380.94+352.21+280.7+145.03+145.03+140.35+145.03+140.35+145.03+145.03+117.63+100.25</f>
        <v>5922.7</v>
      </c>
      <c r="Q6" s="16">
        <f>61.82+49.91+49.91+49.91+49.91+49.91+47.33+47.33+47.33+47.33+42.18+34.45+16.42+16.42+16.42+16.42+16.42+16.42+16.42+16.42+11.27</f>
        <v>719.94999999999959</v>
      </c>
      <c r="R6" s="16" t="s">
        <v>37</v>
      </c>
      <c r="S6" s="16">
        <f>17*(4.3+1.61)+1.61+17.2+7.2+1.61</f>
        <v>128.09</v>
      </c>
      <c r="T6" s="16">
        <f>141.37+42.85+150.47+128.25+121.18+296+210+196+213.4+190+(162+(162*9%))+372.4</f>
        <v>2238.5</v>
      </c>
      <c r="U6" s="19">
        <f t="shared" si="3"/>
        <v>48902.450000000004</v>
      </c>
      <c r="V6" s="128">
        <f t="shared" si="2"/>
        <v>2.9388491586538463</v>
      </c>
      <c r="X6" s="77">
        <v>93104900</v>
      </c>
      <c r="Y6" s="76">
        <v>45131</v>
      </c>
      <c r="AA6" s="78"/>
      <c r="AB6" s="78"/>
      <c r="AC6" s="132" t="str">
        <f t="shared" si="4"/>
        <v/>
      </c>
    </row>
    <row r="7" spans="1:29" ht="15.75">
      <c r="A7" s="26" t="s">
        <v>42</v>
      </c>
      <c r="B7" s="3" t="s">
        <v>43</v>
      </c>
      <c r="C7" s="3" t="s">
        <v>374</v>
      </c>
      <c r="D7" s="13" t="s">
        <v>45</v>
      </c>
      <c r="E7" s="3" t="str">
        <f t="shared" si="0"/>
        <v>Hiwa</v>
      </c>
      <c r="F7" s="3" t="s">
        <v>46</v>
      </c>
      <c r="G7" s="3">
        <v>72</v>
      </c>
      <c r="H7" s="28">
        <v>1440</v>
      </c>
      <c r="I7" s="82" t="b">
        <v>1</v>
      </c>
      <c r="J7" s="116">
        <f t="shared" si="1"/>
        <v>2.2220138888888887</v>
      </c>
      <c r="K7" s="117">
        <v>3199.7</v>
      </c>
      <c r="L7" s="17"/>
      <c r="M7" s="17">
        <v>223.81</v>
      </c>
      <c r="N7" s="17"/>
      <c r="O7" s="18">
        <v>132.0289156626506</v>
      </c>
      <c r="P7" s="16">
        <f>(19*18.03)+18.03+18.03+18.03+18.03+18.03+18.03+18.03+18.03+18.03+18.03+18.03+18.82+18.82+9.41+9.41+9.41+9.41+9.41+9.41+9.41+9.41+9.41</f>
        <v>663.22999999999956</v>
      </c>
      <c r="Q7" s="16">
        <f>0.84+0.83+0.82+0.81+0.82+0.81+0.83+0.82+0.83+0.82+0.81+0.8+0.81+0.84+0.84+0.84+0.43+0.42+0.4+0.4</f>
        <v>14.820000000000002</v>
      </c>
      <c r="R7" s="16">
        <v>57.04</v>
      </c>
      <c r="S7" s="16">
        <v>0</v>
      </c>
      <c r="T7" s="16">
        <v>0</v>
      </c>
      <c r="U7" s="19">
        <f t="shared" ref="U7:U48" si="5">IF(B7="","",K7+SUM(L7:Q7))</f>
        <v>4233.5889156626499</v>
      </c>
      <c r="V7" s="128">
        <f t="shared" si="2"/>
        <v>2.9399923025435069</v>
      </c>
      <c r="X7" s="29">
        <v>342136</v>
      </c>
      <c r="Y7" s="42">
        <v>45209</v>
      </c>
      <c r="AA7" s="61">
        <v>36</v>
      </c>
      <c r="AB7" s="61">
        <v>720</v>
      </c>
      <c r="AC7" s="132">
        <f>IF(AB7&gt;0,((AB7)*V7),"")</f>
        <v>2116.794457831325</v>
      </c>
    </row>
    <row r="8" spans="1:29" ht="15.75">
      <c r="A8" s="26" t="s">
        <v>47</v>
      </c>
      <c r="B8" s="3" t="s">
        <v>48</v>
      </c>
      <c r="C8" s="3" t="s">
        <v>374</v>
      </c>
      <c r="D8" s="13" t="s">
        <v>45</v>
      </c>
      <c r="E8" s="3" t="str">
        <f t="shared" si="0"/>
        <v>Hiwa</v>
      </c>
      <c r="F8" s="3" t="s">
        <v>46</v>
      </c>
      <c r="G8" s="3">
        <v>714</v>
      </c>
      <c r="H8" s="28">
        <v>14280</v>
      </c>
      <c r="I8" s="82" t="b">
        <v>1</v>
      </c>
      <c r="J8" s="116">
        <f t="shared" si="1"/>
        <v>2.0831407563025208</v>
      </c>
      <c r="K8" s="117">
        <v>29747.25</v>
      </c>
      <c r="L8" s="17"/>
      <c r="M8" s="17">
        <v>1181</v>
      </c>
      <c r="N8" s="17"/>
      <c r="O8" s="18">
        <v>1309.2867469879518</v>
      </c>
      <c r="P8" s="16">
        <f>(19*115.67)+39.34+115.67+10.26+115.67+10.26+115.67+10.26+115.67+10.26+115.67+10.26+115.67+10.26+115.67+10.26+115.67+10.26+115.67+10.26+115.67+10.26+115.67+10.26+120.75+10.72+120.75+10.72+87.82+10.72+87.82+10.72+87.82+10.72+87.82+10.72+87.82+10.72+87.82+9.93+65.86+9.93+54.89+3.4+54.89+3.4</f>
        <v>4668.0600000000031</v>
      </c>
      <c r="Q8" s="16">
        <f>(7.84+7.7+7.63+7.59+6.76+6.68+6.8+5.4+5.42+4.95+4.87+4.82+4.87+5.04+5.06+5.17+3.74+3.69+3.53+2.61)+(0.43+0.43+0.43+0.45+0.45+0.46+0.46+0.45+0.43+0.39)</f>
        <v>114.55000000000001</v>
      </c>
      <c r="R8" s="16">
        <f>54.64+54.64</f>
        <v>109.28</v>
      </c>
      <c r="S8" s="16">
        <v>0</v>
      </c>
      <c r="T8" s="16">
        <f>235+280+(390/2)+(375-100)+(255/2)</f>
        <v>1112.5</v>
      </c>
      <c r="U8" s="19">
        <f t="shared" si="5"/>
        <v>37020.146746987957</v>
      </c>
      <c r="V8" s="128">
        <f t="shared" si="2"/>
        <v>2.592447251189633</v>
      </c>
      <c r="X8" s="79" t="s">
        <v>49</v>
      </c>
      <c r="Y8" s="43">
        <v>45209</v>
      </c>
      <c r="AA8" s="61">
        <f>210+13</f>
        <v>223</v>
      </c>
      <c r="AB8" s="61">
        <f>4200+260</f>
        <v>4460</v>
      </c>
      <c r="AC8" s="132">
        <f t="shared" ref="AC8:AC71" si="6">IF(AB8&gt;0,((AB8)*V8),"")</f>
        <v>11562.314740305763</v>
      </c>
    </row>
    <row r="9" spans="1:29" ht="15.75">
      <c r="A9" s="29" t="s">
        <v>50</v>
      </c>
      <c r="B9" s="3" t="s">
        <v>51</v>
      </c>
      <c r="C9" s="9" t="s">
        <v>52</v>
      </c>
      <c r="D9" s="13" t="s">
        <v>30</v>
      </c>
      <c r="E9" s="3" t="str">
        <f t="shared" si="0"/>
        <v>Hiwa</v>
      </c>
      <c r="F9" s="3" t="s">
        <v>46</v>
      </c>
      <c r="G9" s="1">
        <v>80</v>
      </c>
      <c r="H9" s="27">
        <v>16800</v>
      </c>
      <c r="I9" s="82" t="b">
        <v>1</v>
      </c>
      <c r="J9" s="116">
        <f t="shared" si="1"/>
        <v>3.5660660660660657</v>
      </c>
      <c r="K9" s="117">
        <f>63840/1.0656</f>
        <v>59909.909909909904</v>
      </c>
      <c r="L9" s="17">
        <f>1200/1.0656</f>
        <v>1126.1261261261261</v>
      </c>
      <c r="M9" s="17">
        <v>94.01</v>
      </c>
      <c r="N9" s="17">
        <v>275</v>
      </c>
      <c r="O9" s="17">
        <v>1224</v>
      </c>
      <c r="P9" s="16">
        <f>(4*89.88)+89.88+89.88+67.41+67.41+67.41+67.41+50.56+22.47+22.47+22.47+23.47+23.47</f>
        <v>973.82999999999993</v>
      </c>
      <c r="Q9" s="16">
        <f>16.47+16.47+13.18+13.18+9.88+9.88+3.29+3.29</f>
        <v>85.64</v>
      </c>
      <c r="R9" s="16">
        <f>54.64+54.64+54.64+54.64</f>
        <v>218.56</v>
      </c>
      <c r="S9" s="16">
        <v>0</v>
      </c>
      <c r="T9" s="16">
        <v>0</v>
      </c>
      <c r="U9" s="19">
        <f t="shared" si="5"/>
        <v>63688.516036036031</v>
      </c>
      <c r="V9" s="128">
        <f t="shared" si="2"/>
        <v>3.7909830973830969</v>
      </c>
      <c r="X9" s="29">
        <v>354004</v>
      </c>
      <c r="Y9" s="42">
        <v>45429</v>
      </c>
      <c r="AA9" s="61"/>
      <c r="AB9" s="61"/>
      <c r="AC9" s="132" t="str">
        <f t="shared" si="6"/>
        <v/>
      </c>
    </row>
    <row r="10" spans="1:29" ht="15.75">
      <c r="A10" s="29" t="s">
        <v>53</v>
      </c>
      <c r="B10" s="3" t="s">
        <v>54</v>
      </c>
      <c r="C10" s="9" t="s">
        <v>55</v>
      </c>
      <c r="D10" s="13" t="s">
        <v>30</v>
      </c>
      <c r="E10" s="3" t="str">
        <f t="shared" si="0"/>
        <v>Hiwa</v>
      </c>
      <c r="F10" s="10" t="s">
        <v>46</v>
      </c>
      <c r="G10" s="1">
        <v>46</v>
      </c>
      <c r="H10" s="27">
        <f>G10*220</f>
        <v>10120</v>
      </c>
      <c r="I10" s="82" t="b">
        <v>1</v>
      </c>
      <c r="J10" s="116">
        <f t="shared" si="1"/>
        <v>1.35</v>
      </c>
      <c r="K10" s="117">
        <v>13662</v>
      </c>
      <c r="L10" s="17"/>
      <c r="M10" s="17">
        <v>61</v>
      </c>
      <c r="N10" s="17"/>
      <c r="O10" s="17">
        <f>582+33</f>
        <v>615</v>
      </c>
      <c r="P10" s="16">
        <f>(3*75.7)+75.7+75.7+75.7+75.7+59.76+59.76+59.76+59.76+43.82+43.82+45.75+45.75+45.75+45.75+45.75+45.75+45.75+29.11+29.11+29.11+4.16</f>
        <v>1268.3199999999997</v>
      </c>
      <c r="Q10" s="16">
        <f>3.54+2.93+2.93+2.93+2.31+2.31+1.69+1.69+1.69+1.69+1.08+1.08</f>
        <v>25.870000000000005</v>
      </c>
      <c r="R10" s="16">
        <f>54.64+54.64+54.64</f>
        <v>163.92000000000002</v>
      </c>
      <c r="S10" s="16">
        <v>0</v>
      </c>
      <c r="T10" s="16">
        <f>230+230+230+230</f>
        <v>920</v>
      </c>
      <c r="U10" s="19">
        <f t="shared" si="5"/>
        <v>15632.189999999999</v>
      </c>
      <c r="V10" s="128">
        <f t="shared" si="2"/>
        <v>1.5446828063241105</v>
      </c>
      <c r="X10" s="29">
        <v>354761</v>
      </c>
      <c r="Y10" s="42">
        <v>45447</v>
      </c>
      <c r="AA10" s="61">
        <v>2</v>
      </c>
      <c r="AB10" s="61">
        <v>440</v>
      </c>
      <c r="AC10" s="132">
        <f t="shared" si="6"/>
        <v>679.6604347826086</v>
      </c>
    </row>
    <row r="11" spans="1:29" ht="16.5" customHeight="1">
      <c r="A11" s="29" t="s">
        <v>56</v>
      </c>
      <c r="B11" s="3" t="s">
        <v>57</v>
      </c>
      <c r="C11" s="9" t="s">
        <v>58</v>
      </c>
      <c r="D11" s="13" t="s">
        <v>30</v>
      </c>
      <c r="E11" s="3" t="str">
        <f t="shared" si="0"/>
        <v>Hiwa</v>
      </c>
      <c r="F11" s="10" t="s">
        <v>59</v>
      </c>
      <c r="G11" s="1">
        <v>124</v>
      </c>
      <c r="H11" s="27">
        <f>G11*190</f>
        <v>23560</v>
      </c>
      <c r="I11" s="82" t="b">
        <v>1</v>
      </c>
      <c r="J11" s="116">
        <f t="shared" ref="J11:J39" si="7">IF(H11="","",+K11/H11)</f>
        <v>0.63635525223646594</v>
      </c>
      <c r="K11" s="117">
        <f>16256.4/1.0843</f>
        <v>14992.529742691137</v>
      </c>
      <c r="L11" s="17">
        <f>((2250/1.0749)/140)*124</f>
        <v>1853.9930624775725</v>
      </c>
      <c r="M11" s="17">
        <v>2573.5</v>
      </c>
      <c r="N11" s="17">
        <f>275+165+78</f>
        <v>518</v>
      </c>
      <c r="O11" s="17">
        <f>1505-172</f>
        <v>1333</v>
      </c>
      <c r="P11" s="16">
        <f>108.29+68.99+68.99+68.99+68.99+68.99+68.99+68.99+68.99+68.99+68.99+68.99+72.07+72.07</f>
        <v>1011.3199999999999</v>
      </c>
      <c r="Q11" s="16">
        <f>7.55+4.73+4.68+4.73+4.9+4.92+5.02</f>
        <v>36.53</v>
      </c>
      <c r="R11" s="16">
        <f>2*54.64</f>
        <v>109.28</v>
      </c>
      <c r="S11" s="16">
        <v>1092.7</v>
      </c>
      <c r="T11" s="16">
        <f>((1760/108)*45)+((1600/108)*79)</f>
        <v>1903.7037037037039</v>
      </c>
      <c r="U11" s="19">
        <f t="shared" si="5"/>
        <v>22318.872805168707</v>
      </c>
      <c r="V11" s="128">
        <f t="shared" si="2"/>
        <v>0.94732057746896037</v>
      </c>
      <c r="X11" s="29">
        <v>356799</v>
      </c>
      <c r="Y11" s="42">
        <v>45482</v>
      </c>
      <c r="AA11" s="61"/>
      <c r="AB11" s="61"/>
      <c r="AC11" s="132" t="str">
        <f t="shared" si="6"/>
        <v/>
      </c>
    </row>
    <row r="12" spans="1:29" ht="15.75">
      <c r="A12" s="29" t="s">
        <v>60</v>
      </c>
      <c r="B12" s="3" t="s">
        <v>61</v>
      </c>
      <c r="C12" s="9" t="s">
        <v>62</v>
      </c>
      <c r="D12" s="13" t="s">
        <v>63</v>
      </c>
      <c r="E12" s="3" t="str">
        <f t="shared" si="0"/>
        <v>Hiwa</v>
      </c>
      <c r="F12" s="10" t="s">
        <v>46</v>
      </c>
      <c r="G12" s="1">
        <v>120</v>
      </c>
      <c r="H12" s="27">
        <v>22800</v>
      </c>
      <c r="I12" s="82" t="b">
        <v>1</v>
      </c>
      <c r="J12" s="116">
        <f t="shared" si="7"/>
        <v>1.3771578947368421</v>
      </c>
      <c r="K12" s="118">
        <v>31399.200000000001</v>
      </c>
      <c r="L12" s="17"/>
      <c r="M12" s="17">
        <f>60.78+33.23</f>
        <v>94.009999999999991</v>
      </c>
      <c r="N12" s="17"/>
      <c r="O12" s="17">
        <v>1311.7</v>
      </c>
      <c r="P12" s="16">
        <f>140.08+39.22+39.22+39.22+39.22+39.22+35.11+35.11+35.11</f>
        <v>441.5100000000001</v>
      </c>
      <c r="Q12" s="16">
        <f>8.14+2.04+2.04+1.75</f>
        <v>13.969999999999999</v>
      </c>
      <c r="R12" s="16">
        <f>54.64+54.64+54.64+(57.04*(24/76))</f>
        <v>181.93263157894739</v>
      </c>
      <c r="S12" s="16">
        <f>(77.52*(6/19))</f>
        <v>24.479999999999997</v>
      </c>
      <c r="T12" s="16">
        <f>460+2350+225+(1650*(24/76))</f>
        <v>3556.0526315789475</v>
      </c>
      <c r="U12" s="19">
        <f t="shared" si="5"/>
        <v>33260.39</v>
      </c>
      <c r="V12" s="128">
        <f t="shared" si="2"/>
        <v>1.4587890350877193</v>
      </c>
      <c r="X12" s="29">
        <v>361283</v>
      </c>
      <c r="Y12" s="42">
        <v>45558</v>
      </c>
      <c r="AA12" s="61"/>
      <c r="AB12" s="61"/>
      <c r="AC12" s="132" t="str">
        <f t="shared" si="6"/>
        <v/>
      </c>
    </row>
    <row r="13" spans="1:29" ht="18" customHeight="1">
      <c r="A13" s="29" t="s">
        <v>64</v>
      </c>
      <c r="B13" s="3" t="s">
        <v>65</v>
      </c>
      <c r="C13" s="3" t="s">
        <v>375</v>
      </c>
      <c r="D13" s="13" t="s">
        <v>30</v>
      </c>
      <c r="E13" s="3" t="str">
        <f t="shared" si="0"/>
        <v>Hiwa</v>
      </c>
      <c r="F13" s="10" t="s">
        <v>46</v>
      </c>
      <c r="G13" s="1">
        <v>96</v>
      </c>
      <c r="H13" s="27">
        <v>19200</v>
      </c>
      <c r="I13" s="82" t="b">
        <v>1</v>
      </c>
      <c r="J13" s="116">
        <f t="shared" si="7"/>
        <v>1.8336847895846704</v>
      </c>
      <c r="K13" s="118">
        <f>38400/1.0907</f>
        <v>35206.74796002567</v>
      </c>
      <c r="L13" s="17"/>
      <c r="M13" s="17">
        <v>61</v>
      </c>
      <c r="N13" s="17">
        <v>38</v>
      </c>
      <c r="O13" s="17">
        <v>1008.94</v>
      </c>
      <c r="P13" s="16">
        <f>96.09+96.09+96.09+96.09+96.09+96.09+96.06+96.06+27.88+27.88+27.88+27.88+27.88+27.88+27.88+27.88</f>
        <v>991.7</v>
      </c>
      <c r="Q13" s="16">
        <f>8.88+6.66+6.85+7.09+1.97+1.97+1.9</f>
        <v>35.32</v>
      </c>
      <c r="R13" s="16">
        <f>54.64+54.64+57.04</f>
        <v>166.32</v>
      </c>
      <c r="S13" s="16">
        <v>110.87</v>
      </c>
      <c r="T13" s="16">
        <f>715+800+(950*(5/7))</f>
        <v>2193.5714285714284</v>
      </c>
      <c r="U13" s="19">
        <f t="shared" si="5"/>
        <v>37341.707960025669</v>
      </c>
      <c r="V13" s="128">
        <f t="shared" si="2"/>
        <v>1.9448806229180036</v>
      </c>
      <c r="X13" s="29">
        <v>359055</v>
      </c>
      <c r="Y13" s="42">
        <v>45525</v>
      </c>
      <c r="AA13" s="61"/>
      <c r="AB13" s="61"/>
      <c r="AC13" s="132" t="str">
        <f t="shared" si="6"/>
        <v/>
      </c>
    </row>
    <row r="14" spans="1:29" ht="15.75">
      <c r="A14" s="29" t="s">
        <v>67</v>
      </c>
      <c r="B14" s="3" t="s">
        <v>68</v>
      </c>
      <c r="C14" s="3" t="s">
        <v>375</v>
      </c>
      <c r="D14" s="13" t="s">
        <v>30</v>
      </c>
      <c r="E14" s="3" t="str">
        <f t="shared" si="0"/>
        <v>Hiwa</v>
      </c>
      <c r="F14" s="10" t="s">
        <v>46</v>
      </c>
      <c r="G14" s="1">
        <v>240</v>
      </c>
      <c r="H14" s="27">
        <v>4800</v>
      </c>
      <c r="I14" s="82" t="b">
        <v>1</v>
      </c>
      <c r="J14" s="116">
        <f t="shared" si="7"/>
        <v>1.8336847895846704</v>
      </c>
      <c r="K14" s="118">
        <f>9600/1.0907</f>
        <v>8801.6869900064175</v>
      </c>
      <c r="L14" s="20"/>
      <c r="M14" s="17">
        <v>60.78</v>
      </c>
      <c r="N14" s="17"/>
      <c r="O14" s="17">
        <v>351.35</v>
      </c>
      <c r="P14" s="16">
        <f>57.36+57.36+57.36+57.36+57.36+57.36+57.36+47.84+49.9+49.9</f>
        <v>549.16</v>
      </c>
      <c r="Q14" s="16">
        <f>2.22+2.22+2.28+2.36+2</f>
        <v>11.08</v>
      </c>
      <c r="R14" s="16">
        <v>54.64</v>
      </c>
      <c r="S14" s="16">
        <v>0</v>
      </c>
      <c r="T14" s="16">
        <f>350+730</f>
        <v>1080</v>
      </c>
      <c r="U14" s="19">
        <f t="shared" si="5"/>
        <v>9774.0569900064183</v>
      </c>
      <c r="V14" s="128">
        <f t="shared" si="2"/>
        <v>2.0362618729180038</v>
      </c>
      <c r="X14" s="29">
        <v>359056</v>
      </c>
      <c r="Y14" s="42">
        <v>45525</v>
      </c>
      <c r="AA14" s="61"/>
      <c r="AB14" s="61"/>
      <c r="AC14" s="132" t="str">
        <f t="shared" si="6"/>
        <v/>
      </c>
    </row>
    <row r="15" spans="1:29" ht="15.75">
      <c r="A15" s="29" t="s">
        <v>69</v>
      </c>
      <c r="B15" s="3" t="s">
        <v>28</v>
      </c>
      <c r="C15" s="9" t="s">
        <v>29</v>
      </c>
      <c r="D15" s="9" t="s">
        <v>70</v>
      </c>
      <c r="E15" s="3" t="str">
        <f t="shared" si="0"/>
        <v>Hiwa</v>
      </c>
      <c r="F15" s="10" t="s">
        <v>46</v>
      </c>
      <c r="G15" s="1">
        <v>80</v>
      </c>
      <c r="H15" s="27">
        <f>G15*215</f>
        <v>17200</v>
      </c>
      <c r="I15" s="82" t="b">
        <v>1</v>
      </c>
      <c r="J15" s="116">
        <f t="shared" si="7"/>
        <v>0.90497737556561086</v>
      </c>
      <c r="K15" s="118">
        <f>17200/1.105</f>
        <v>15565.610859728507</v>
      </c>
      <c r="L15" s="20"/>
      <c r="M15" s="21">
        <v>60.78</v>
      </c>
      <c r="N15" s="17"/>
      <c r="O15" s="17">
        <v>1077.8</v>
      </c>
      <c r="P15" s="16">
        <f>123.05+123.05+123.05+64.25+64.25+64.25+64.25+56.22+56.22+56.22+56.22+56.22+56.22+56.22</f>
        <v>1019.6900000000002</v>
      </c>
      <c r="Q15" s="16">
        <f>4.29+4.3+2.2+2.19+1.89+1.8+1.78</f>
        <v>18.45</v>
      </c>
      <c r="R15" s="16">
        <f>54.64+(57.04*(3/4))+57.04</f>
        <v>154.46</v>
      </c>
      <c r="S15" s="16">
        <f>15.4+(26.21/2)</f>
        <v>28.505000000000003</v>
      </c>
      <c r="T15" s="16">
        <f>1580+(250/2)+(215*(3/4))</f>
        <v>1866.25</v>
      </c>
      <c r="U15" s="19">
        <f t="shared" si="5"/>
        <v>17742.330859728507</v>
      </c>
      <c r="V15" s="128">
        <f t="shared" si="2"/>
        <v>1.0315308639377039</v>
      </c>
      <c r="X15" s="29">
        <v>362336</v>
      </c>
      <c r="Y15" s="42">
        <v>45610</v>
      </c>
      <c r="AA15" s="61">
        <v>35</v>
      </c>
      <c r="AB15" s="61">
        <v>7525</v>
      </c>
      <c r="AC15" s="132">
        <f t="shared" si="6"/>
        <v>7762.2697511312217</v>
      </c>
    </row>
    <row r="16" spans="1:29" ht="15.75">
      <c r="A16" s="29" t="s">
        <v>71</v>
      </c>
      <c r="B16" s="3" t="s">
        <v>72</v>
      </c>
      <c r="C16" s="9" t="s">
        <v>55</v>
      </c>
      <c r="D16" s="3" t="s">
        <v>73</v>
      </c>
      <c r="E16" s="3" t="str">
        <f t="shared" si="0"/>
        <v>Hiwa</v>
      </c>
      <c r="F16" s="10" t="s">
        <v>46</v>
      </c>
      <c r="G16" s="1">
        <v>136</v>
      </c>
      <c r="H16" s="27">
        <f>G16*190</f>
        <v>25840</v>
      </c>
      <c r="I16" s="82" t="b">
        <v>1</v>
      </c>
      <c r="J16" s="116">
        <f t="shared" si="7"/>
        <v>1.5</v>
      </c>
      <c r="K16" s="118">
        <v>38760</v>
      </c>
      <c r="L16" s="17"/>
      <c r="M16" s="17">
        <v>61</v>
      </c>
      <c r="N16" s="17"/>
      <c r="O16" s="17">
        <v>1396.79</v>
      </c>
      <c r="P16" s="16">
        <f>176.68+72.75+72.75+72.75+72.75+72.75+75.98+75.98</f>
        <v>692.3900000000001</v>
      </c>
      <c r="Q16" s="16">
        <f>11.18+4.6+4.6</f>
        <v>20.38</v>
      </c>
      <c r="R16" s="16">
        <f>54.64</f>
        <v>54.64</v>
      </c>
      <c r="S16" s="16">
        <v>1068.53</v>
      </c>
      <c r="T16" s="16">
        <f>((1950/108)*80)+((1600/108)*56)</f>
        <v>2274.0740740740744</v>
      </c>
      <c r="U16" s="19">
        <f t="shared" si="5"/>
        <v>40930.559999999998</v>
      </c>
      <c r="V16" s="128">
        <f t="shared" si="2"/>
        <v>1.5839999999999999</v>
      </c>
      <c r="X16" s="29">
        <v>361363</v>
      </c>
      <c r="Y16" s="42">
        <v>45560</v>
      </c>
      <c r="AA16" s="61"/>
      <c r="AB16" s="61"/>
      <c r="AC16" s="132" t="str">
        <f t="shared" si="6"/>
        <v/>
      </c>
    </row>
    <row r="17" spans="1:29" ht="15.75">
      <c r="A17" s="29" t="s">
        <v>74</v>
      </c>
      <c r="B17" s="3" t="s">
        <v>72</v>
      </c>
      <c r="C17" s="9" t="s">
        <v>55</v>
      </c>
      <c r="D17" s="3" t="s">
        <v>73</v>
      </c>
      <c r="E17" s="3" t="str">
        <f t="shared" si="0"/>
        <v>Hiwa</v>
      </c>
      <c r="F17" s="10" t="s">
        <v>46</v>
      </c>
      <c r="G17" s="1">
        <v>136</v>
      </c>
      <c r="H17" s="27">
        <f>G17*190</f>
        <v>25840</v>
      </c>
      <c r="I17" s="82" t="b">
        <v>1</v>
      </c>
      <c r="J17" s="116">
        <f t="shared" si="7"/>
        <v>1.5</v>
      </c>
      <c r="K17" s="118">
        <v>38760</v>
      </c>
      <c r="L17" s="17"/>
      <c r="M17" s="17">
        <v>63.45</v>
      </c>
      <c r="N17" s="17">
        <v>115</v>
      </c>
      <c r="O17" s="17">
        <v>1465.13</v>
      </c>
      <c r="P17" s="16">
        <f>184.52+113.97+113.97+113.97+113.97+113.97+113.97+113.97+113.97+113.97</f>
        <v>1210.2500000000002</v>
      </c>
      <c r="Q17" s="16">
        <f>11.18+6.9+6.9+6.9+6.9</f>
        <v>38.779999999999994</v>
      </c>
      <c r="R17" s="16"/>
      <c r="S17" s="16">
        <v>1023.16</v>
      </c>
      <c r="T17" s="16">
        <f>((1600/108)*52)</f>
        <v>770.37037037037032</v>
      </c>
      <c r="U17" s="19">
        <f t="shared" si="5"/>
        <v>41652.61</v>
      </c>
      <c r="V17" s="128">
        <f t="shared" si="2"/>
        <v>1.6119431114551084</v>
      </c>
      <c r="X17" s="29">
        <v>366387</v>
      </c>
      <c r="Y17" s="42">
        <v>45672</v>
      </c>
      <c r="AA17" s="61">
        <v>84</v>
      </c>
      <c r="AB17" s="61">
        <v>15960</v>
      </c>
      <c r="AC17" s="132">
        <f t="shared" si="6"/>
        <v>25726.612058823528</v>
      </c>
    </row>
    <row r="18" spans="1:29" ht="15.75">
      <c r="A18" s="29" t="s">
        <v>75</v>
      </c>
      <c r="B18" s="3" t="s">
        <v>68</v>
      </c>
      <c r="C18" s="9" t="s">
        <v>375</v>
      </c>
      <c r="D18" s="3" t="s">
        <v>30</v>
      </c>
      <c r="E18" s="3" t="str">
        <f t="shared" si="0"/>
        <v>Hiwa</v>
      </c>
      <c r="F18" s="10" t="s">
        <v>46</v>
      </c>
      <c r="G18" s="1">
        <v>972</v>
      </c>
      <c r="H18" s="27">
        <v>19440</v>
      </c>
      <c r="I18" s="82" t="b">
        <v>1</v>
      </c>
      <c r="J18" s="116">
        <f t="shared" si="7"/>
        <v>1.9102673553501577</v>
      </c>
      <c r="K18" s="118">
        <f>(42184.8/1.1041)-(1200/1.1196)</f>
        <v>37135.597388007067</v>
      </c>
      <c r="L18" s="22"/>
      <c r="M18" s="22">
        <v>63.45</v>
      </c>
      <c r="N18" s="22"/>
      <c r="O18" s="22">
        <v>1636.58</v>
      </c>
      <c r="P18" s="23">
        <f>232.29+232.29+232.29+232.29+242.49+242.49+242.29+161.66+161.66+80.83+80.83+80.83+53.89+35.93+35.93</f>
        <v>2347.9899999999998</v>
      </c>
      <c r="Q18" s="23">
        <f>10.01+10.36+10.5+6.91+3.33+2.11+1.42</f>
        <v>44.64</v>
      </c>
      <c r="R18" s="16">
        <f>57.04+57.04+57.04</f>
        <v>171.12</v>
      </c>
      <c r="S18" s="16"/>
      <c r="T18" s="16">
        <f>715+715+(950*(2/7))+350+(255/2)</f>
        <v>2178.9285714285716</v>
      </c>
      <c r="U18" s="19">
        <f t="shared" si="5"/>
        <v>41228.257388007063</v>
      </c>
      <c r="V18" s="128">
        <f t="shared" si="2"/>
        <v>2.1207951331279356</v>
      </c>
      <c r="X18" s="29">
        <v>362550</v>
      </c>
      <c r="Y18" s="42">
        <v>45587</v>
      </c>
      <c r="AA18" s="61">
        <v>144</v>
      </c>
      <c r="AB18" s="61">
        <v>2880</v>
      </c>
      <c r="AC18" s="132">
        <f t="shared" si="6"/>
        <v>6107.8899834084541</v>
      </c>
    </row>
    <row r="19" spans="1:29" ht="15.75">
      <c r="A19" s="29" t="s">
        <v>76</v>
      </c>
      <c r="B19" s="3" t="s">
        <v>77</v>
      </c>
      <c r="C19" s="9" t="s">
        <v>375</v>
      </c>
      <c r="D19" s="3" t="s">
        <v>30</v>
      </c>
      <c r="E19" s="3" t="str">
        <f t="shared" si="0"/>
        <v>Hiwa</v>
      </c>
      <c r="F19" s="10" t="s">
        <v>46</v>
      </c>
      <c r="G19" s="1">
        <v>108</v>
      </c>
      <c r="H19" s="27">
        <v>2160</v>
      </c>
      <c r="I19" s="82" t="b">
        <v>1</v>
      </c>
      <c r="J19" s="116">
        <f t="shared" si="7"/>
        <v>1.7842586722217189</v>
      </c>
      <c r="K19" s="118">
        <f>4255.2/1.1041</f>
        <v>3853.9987319989127</v>
      </c>
      <c r="L19" s="22"/>
      <c r="M19" s="22">
        <v>63.45</v>
      </c>
      <c r="N19" s="22"/>
      <c r="O19" s="22">
        <v>198.27</v>
      </c>
      <c r="P19" s="23">
        <f>25.81+25.81+25.81+25.81+26.94+26.94+13.47+13.47+13.47+13.47+13.47+13.47+13.47+13.47+13.47</f>
        <v>278.35000000000002</v>
      </c>
      <c r="Q19" s="23">
        <f>1.01+1.05+1.06+0.52+0.51+0.48+0.48</f>
        <v>5.1100000000000012</v>
      </c>
      <c r="R19" s="16"/>
      <c r="S19" s="16"/>
      <c r="T19" s="16">
        <f>(390/2)</f>
        <v>195</v>
      </c>
      <c r="U19" s="19">
        <f t="shared" si="5"/>
        <v>4399.1787319989126</v>
      </c>
      <c r="V19" s="128">
        <f t="shared" si="2"/>
        <v>2.0366568203698669</v>
      </c>
      <c r="X19" s="29">
        <v>362551</v>
      </c>
      <c r="Y19" s="42">
        <v>45587</v>
      </c>
      <c r="AA19" s="61">
        <v>54</v>
      </c>
      <c r="AB19" s="61">
        <v>1080</v>
      </c>
      <c r="AC19" s="132">
        <f t="shared" si="6"/>
        <v>2199.5893659994563</v>
      </c>
    </row>
    <row r="20" spans="1:29" ht="15.75">
      <c r="A20" s="29" t="s">
        <v>78</v>
      </c>
      <c r="B20" s="3" t="s">
        <v>79</v>
      </c>
      <c r="C20" s="3" t="s">
        <v>80</v>
      </c>
      <c r="D20" s="3" t="s">
        <v>73</v>
      </c>
      <c r="E20" s="3" t="str">
        <f t="shared" si="0"/>
        <v>Hiwa</v>
      </c>
      <c r="F20" s="3" t="s">
        <v>31</v>
      </c>
      <c r="G20" s="3">
        <v>112</v>
      </c>
      <c r="H20" s="28">
        <v>24080</v>
      </c>
      <c r="I20" s="82" t="b">
        <v>1</v>
      </c>
      <c r="J20" s="116">
        <f t="shared" si="7"/>
        <v>1.9651047756093174</v>
      </c>
      <c r="K20" s="117">
        <f>52614.8/1.1119</f>
        <v>47319.722996672361</v>
      </c>
      <c r="L20" s="22"/>
      <c r="M20" s="22">
        <v>1917.72</v>
      </c>
      <c r="N20" s="22"/>
      <c r="O20" s="22">
        <v>1309.5999999999999</v>
      </c>
      <c r="P20" s="23">
        <f>15.81+15.81+15.81+16.52+16.52+16.52+16.52+16.52+16.52</f>
        <v>146.55000000000001</v>
      </c>
      <c r="Q20" s="23">
        <f>14.26+2.05+2.09+2.08+2.05+1.96</f>
        <v>24.49</v>
      </c>
      <c r="R20" s="23">
        <v>54.64</v>
      </c>
      <c r="S20" s="23">
        <f>559.77+(1013.44*16/(84+16))</f>
        <v>721.92039999999997</v>
      </c>
      <c r="T20" s="23">
        <f>1725+(1600*(16/(84+16)))</f>
        <v>1981</v>
      </c>
      <c r="U20" s="19">
        <f t="shared" si="5"/>
        <v>50718.082996672361</v>
      </c>
      <c r="V20" s="128">
        <f t="shared" si="2"/>
        <v>2.1062326825860613</v>
      </c>
      <c r="X20" s="29">
        <v>362958</v>
      </c>
      <c r="Y20" s="42">
        <v>45601</v>
      </c>
      <c r="AA20" s="61"/>
      <c r="AB20" s="61"/>
      <c r="AC20" s="132" t="str">
        <f t="shared" si="6"/>
        <v/>
      </c>
    </row>
    <row r="21" spans="1:29" ht="15.75">
      <c r="A21" s="29" t="s">
        <v>81</v>
      </c>
      <c r="B21" s="3" t="s">
        <v>82</v>
      </c>
      <c r="C21" s="3" t="s">
        <v>376</v>
      </c>
      <c r="D21" s="3" t="s">
        <v>73</v>
      </c>
      <c r="E21" s="3" t="str">
        <f t="shared" si="0"/>
        <v>Hiwa</v>
      </c>
      <c r="F21" s="3" t="s">
        <v>59</v>
      </c>
      <c r="G21" s="3">
        <v>128</v>
      </c>
      <c r="H21" s="28">
        <f>G21*204</f>
        <v>26112</v>
      </c>
      <c r="I21" s="82" t="b">
        <v>1</v>
      </c>
      <c r="J21" s="116">
        <f t="shared" si="7"/>
        <v>0.61734082742098972</v>
      </c>
      <c r="K21" s="117">
        <f>17495.04/1.0853</f>
        <v>16120.003685616883</v>
      </c>
      <c r="L21" s="22">
        <f>1546/1.0853</f>
        <v>1424.4909241684327</v>
      </c>
      <c r="M21" s="22">
        <v>3329.07</v>
      </c>
      <c r="N21" s="22"/>
      <c r="O21" s="22">
        <v>1264.83</v>
      </c>
      <c r="P21" s="23">
        <f>119.96+52.48+52.48+54.82+54.82+54.82+54.82</f>
        <v>444.2</v>
      </c>
      <c r="Q21" s="23">
        <f>4.83+2.12+2.17+2.16</f>
        <v>11.280000000000001</v>
      </c>
      <c r="R21" s="23">
        <f>54.64+57.04</f>
        <v>111.68</v>
      </c>
      <c r="S21" s="23">
        <f>557.99+((102+480.48)*(56/100))</f>
        <v>884.17880000000002</v>
      </c>
      <c r="T21" s="23">
        <f>1745+(1600*(56/(56+44)))</f>
        <v>2641</v>
      </c>
      <c r="U21" s="19">
        <f t="shared" si="5"/>
        <v>22593.874609785315</v>
      </c>
      <c r="V21" s="128">
        <f t="shared" si="2"/>
        <v>0.86526786955366553</v>
      </c>
      <c r="X21" s="29">
        <v>363493</v>
      </c>
      <c r="Y21" s="42">
        <v>45608</v>
      </c>
      <c r="AA21" s="61"/>
      <c r="AB21" s="61"/>
      <c r="AC21" s="132" t="str">
        <f t="shared" si="6"/>
        <v/>
      </c>
    </row>
    <row r="22" spans="1:29" ht="15.75">
      <c r="A22" s="29" t="s">
        <v>84</v>
      </c>
      <c r="B22" s="3" t="s">
        <v>57</v>
      </c>
      <c r="C22" s="3" t="s">
        <v>58</v>
      </c>
      <c r="D22" s="3" t="s">
        <v>73</v>
      </c>
      <c r="E22" s="3" t="str">
        <f t="shared" si="0"/>
        <v>Hiwa</v>
      </c>
      <c r="F22" s="3" t="s">
        <v>59</v>
      </c>
      <c r="G22" s="3">
        <v>140</v>
      </c>
      <c r="H22" s="28">
        <f>G22*190</f>
        <v>26600</v>
      </c>
      <c r="I22" s="82" t="b">
        <v>1</v>
      </c>
      <c r="J22" s="116">
        <f t="shared" si="7"/>
        <v>0.76094276094276092</v>
      </c>
      <c r="K22" s="117">
        <f>21040.6/1.0395</f>
        <v>20241.077441077439</v>
      </c>
      <c r="L22" s="22">
        <f>2350/1.0395</f>
        <v>2260.7022607022604</v>
      </c>
      <c r="M22" s="22">
        <v>3471.76</v>
      </c>
      <c r="N22" s="22">
        <f>104+275+55</f>
        <v>434</v>
      </c>
      <c r="O22" s="22">
        <v>1383.05</v>
      </c>
      <c r="P22" s="23">
        <f>101.26+101.26+101.26+101.26+101.26+101.26+101.26+101.26+101.26</f>
        <v>911.34</v>
      </c>
      <c r="Q22" s="23">
        <f>8.9+6.96+6.72+6.38+6.43</f>
        <v>35.39</v>
      </c>
      <c r="R22" s="23">
        <f>2*57.04</f>
        <v>114.08</v>
      </c>
      <c r="S22" s="23">
        <f>1019.93+73.92</f>
        <v>1093.8499999999999</v>
      </c>
      <c r="T22" s="23">
        <f>(1600/108)*29</f>
        <v>429.62962962962962</v>
      </c>
      <c r="U22" s="19">
        <f t="shared" si="5"/>
        <v>28737.319701779699</v>
      </c>
      <c r="V22" s="128">
        <f t="shared" si="2"/>
        <v>1.0803503647285602</v>
      </c>
      <c r="X22" s="29">
        <v>366474</v>
      </c>
      <c r="Y22" s="42">
        <v>45981</v>
      </c>
      <c r="AA22" s="61">
        <v>111</v>
      </c>
      <c r="AB22" s="61">
        <v>21090</v>
      </c>
      <c r="AC22" s="132">
        <f t="shared" si="6"/>
        <v>22784.589192125335</v>
      </c>
    </row>
    <row r="23" spans="1:29" ht="15.75">
      <c r="A23" s="29" t="s">
        <v>85</v>
      </c>
      <c r="B23" s="3" t="s">
        <v>86</v>
      </c>
      <c r="C23" s="3" t="s">
        <v>80</v>
      </c>
      <c r="D23" s="13" t="s">
        <v>87</v>
      </c>
      <c r="E23" s="3" t="str">
        <f t="shared" si="0"/>
        <v>Direct</v>
      </c>
      <c r="F23" s="3" t="s">
        <v>46</v>
      </c>
      <c r="G23" s="3">
        <v>112</v>
      </c>
      <c r="H23" s="28">
        <v>24080</v>
      </c>
      <c r="I23" s="82" t="b">
        <v>1</v>
      </c>
      <c r="J23" s="116">
        <f t="shared" si="7"/>
        <v>1.6750737603502428</v>
      </c>
      <c r="K23" s="117">
        <f>42380.8/1.0507</f>
        <v>40335.776149233847</v>
      </c>
      <c r="L23" s="22">
        <v>1099.6500000000001</v>
      </c>
      <c r="M23" s="22"/>
      <c r="N23" s="22"/>
      <c r="O23" s="22"/>
      <c r="P23" s="23"/>
      <c r="Q23" s="23"/>
      <c r="R23" s="23"/>
      <c r="S23" s="23"/>
      <c r="T23" s="23"/>
      <c r="U23" s="19">
        <f t="shared" si="5"/>
        <v>41435.426149233848</v>
      </c>
      <c r="V23" s="128">
        <f t="shared" si="2"/>
        <v>1.7207402885894456</v>
      </c>
      <c r="X23" s="29"/>
      <c r="Y23" s="28"/>
      <c r="AA23" s="61"/>
      <c r="AB23" s="61"/>
      <c r="AC23" s="132" t="str">
        <f t="shared" si="6"/>
        <v/>
      </c>
    </row>
    <row r="24" spans="1:29" ht="15.75">
      <c r="A24" s="73" t="s">
        <v>88</v>
      </c>
      <c r="B24" s="55" t="s">
        <v>89</v>
      </c>
      <c r="C24" s="55" t="s">
        <v>90</v>
      </c>
      <c r="D24" s="55" t="s">
        <v>30</v>
      </c>
      <c r="E24" s="55" t="str">
        <f t="shared" si="0"/>
        <v>Hiwa</v>
      </c>
      <c r="F24" s="55" t="s">
        <v>59</v>
      </c>
      <c r="G24" s="1">
        <v>256</v>
      </c>
      <c r="H24" s="27">
        <f>G24*205</f>
        <v>52480</v>
      </c>
      <c r="I24" s="82" t="b">
        <v>1</v>
      </c>
      <c r="J24" s="116">
        <f t="shared" si="7"/>
        <v>0.61004670670098182</v>
      </c>
      <c r="K24" s="117">
        <f>33587.2/1.0491</f>
        <v>32015.251167667524</v>
      </c>
      <c r="L24" s="22">
        <f>3092/1.0491</f>
        <v>2947.2881517491187</v>
      </c>
      <c r="M24" s="22">
        <f>1991.26+1991.26</f>
        <v>3982.52</v>
      </c>
      <c r="N24" s="22"/>
      <c r="O24" s="22">
        <v>2480.44</v>
      </c>
      <c r="P24" s="23">
        <f>125.31+125.31+24.48+17.62+24.48+17.62+24.48+17.62+5.87+5.87+1.96+1.96+1.96+1.96</f>
        <v>396.5</v>
      </c>
      <c r="Q24" s="23">
        <f>0.93+0.67+0.22+0.07+0.07</f>
        <v>1.9600000000000002</v>
      </c>
      <c r="R24" s="23">
        <f>57.04+57.04+57.04+(57.04*(33/110))</f>
        <v>188.232</v>
      </c>
      <c r="S24" s="23">
        <f>(26.21/2)+15.4</f>
        <v>28.505000000000003</v>
      </c>
      <c r="T24" s="23">
        <f>(250/2)+235</f>
        <v>360</v>
      </c>
      <c r="U24" s="19">
        <f t="shared" si="5"/>
        <v>41823.959319416645</v>
      </c>
      <c r="V24" s="128">
        <f t="shared" si="2"/>
        <v>0.79695044434864037</v>
      </c>
      <c r="X24" s="80" t="s">
        <v>91</v>
      </c>
      <c r="Y24" s="72">
        <v>45657</v>
      </c>
      <c r="AA24" s="61"/>
      <c r="AB24" s="61"/>
      <c r="AC24" s="132" t="str">
        <f t="shared" si="6"/>
        <v/>
      </c>
    </row>
    <row r="25" spans="1:29" ht="15.75">
      <c r="A25" s="29" t="s">
        <v>92</v>
      </c>
      <c r="B25" s="3" t="s">
        <v>93</v>
      </c>
      <c r="C25" s="9" t="s">
        <v>90</v>
      </c>
      <c r="D25" s="3" t="s">
        <v>94</v>
      </c>
      <c r="E25" s="3" t="str">
        <f t="shared" si="0"/>
        <v>Direct</v>
      </c>
      <c r="F25" s="10" t="s">
        <v>59</v>
      </c>
      <c r="G25" s="1">
        <v>128</v>
      </c>
      <c r="H25" s="27">
        <v>26240</v>
      </c>
      <c r="I25" s="82" t="b">
        <v>1</v>
      </c>
      <c r="J25" s="116">
        <f t="shared" si="7"/>
        <v>0.61579909554507839</v>
      </c>
      <c r="K25" s="117">
        <f>16793.6/1.0393</f>
        <v>16158.568267102857</v>
      </c>
      <c r="L25" s="22">
        <f>1841/1.0393</f>
        <v>1771.3845857788899</v>
      </c>
      <c r="M25" s="22"/>
      <c r="N25" s="22"/>
      <c r="O25" s="22"/>
      <c r="P25" s="23"/>
      <c r="Q25" s="23"/>
      <c r="R25" s="23"/>
      <c r="S25" s="23"/>
      <c r="T25" s="23"/>
      <c r="U25" s="19">
        <f t="shared" si="5"/>
        <v>17929.952852881746</v>
      </c>
      <c r="V25" s="128">
        <f t="shared" si="2"/>
        <v>0.68330613006409091</v>
      </c>
      <c r="X25" s="29"/>
      <c r="Y25" s="28"/>
      <c r="AA25" s="2"/>
      <c r="AB25" s="2"/>
      <c r="AC25" s="132" t="str">
        <f t="shared" si="6"/>
        <v/>
      </c>
    </row>
    <row r="26" spans="1:29" ht="15.75">
      <c r="A26" s="29" t="s">
        <v>95</v>
      </c>
      <c r="B26" s="3" t="s">
        <v>82</v>
      </c>
      <c r="C26" s="3" t="s">
        <v>83</v>
      </c>
      <c r="D26" s="3" t="s">
        <v>73</v>
      </c>
      <c r="E26" s="3" t="str">
        <f t="shared" si="0"/>
        <v>Hiwa</v>
      </c>
      <c r="F26" s="3" t="s">
        <v>59</v>
      </c>
      <c r="G26" s="3">
        <v>128</v>
      </c>
      <c r="H26" s="28">
        <f>G26*204</f>
        <v>26112</v>
      </c>
      <c r="I26" s="82" t="b">
        <v>1</v>
      </c>
      <c r="J26" s="116">
        <f t="shared" si="7"/>
        <v>0.65397755002440217</v>
      </c>
      <c r="K26" s="117">
        <f>17495.04/1.0245</f>
        <v>17076.66178623719</v>
      </c>
      <c r="L26" s="22">
        <f>1546/1.0396</f>
        <v>1487.1104270873411</v>
      </c>
      <c r="M26" s="22">
        <v>2077.94</v>
      </c>
      <c r="N26" s="22">
        <v>170</v>
      </c>
      <c r="O26" s="22">
        <v>1298.76</v>
      </c>
      <c r="P26" s="23">
        <f>82.24+82.24+82.24</f>
        <v>246.71999999999997</v>
      </c>
      <c r="Q26" s="23">
        <f>8.78+5.56</f>
        <v>14.34</v>
      </c>
      <c r="R26" s="23">
        <f>57.04</f>
        <v>57.04</v>
      </c>
      <c r="S26" s="23">
        <f>((102+480.48)*(44/100))+(1013.44*84/(84+16))</f>
        <v>1107.5808000000002</v>
      </c>
      <c r="T26" s="23">
        <f>(1600*(44/(44+56)))+(1600*(84/(84+16)))</f>
        <v>2048</v>
      </c>
      <c r="U26" s="19">
        <f>IF(B26="","",K26+SUM(L26:Q26))</f>
        <v>22371.532213324532</v>
      </c>
      <c r="V26" s="128">
        <f t="shared" si="2"/>
        <v>0.8567529187088132</v>
      </c>
      <c r="X26" s="29">
        <v>368131</v>
      </c>
      <c r="Y26" s="42">
        <v>45706</v>
      </c>
      <c r="AA26" s="2"/>
      <c r="AB26" s="2"/>
      <c r="AC26" s="132" t="str">
        <f t="shared" si="6"/>
        <v/>
      </c>
    </row>
    <row r="27" spans="1:29" ht="15.75">
      <c r="A27" s="29" t="s">
        <v>96</v>
      </c>
      <c r="B27" s="3" t="s">
        <v>93</v>
      </c>
      <c r="C27" s="3" t="s">
        <v>90</v>
      </c>
      <c r="D27" s="3" t="s">
        <v>97</v>
      </c>
      <c r="E27" s="3" t="str">
        <f t="shared" si="0"/>
        <v>Direct</v>
      </c>
      <c r="F27" s="10" t="s">
        <v>59</v>
      </c>
      <c r="G27" s="3">
        <v>256</v>
      </c>
      <c r="H27" s="28">
        <f>G27*205</f>
        <v>52480</v>
      </c>
      <c r="I27" s="82" t="b">
        <v>1</v>
      </c>
      <c r="J27" s="116">
        <f t="shared" si="7"/>
        <v>0.59369912860289187</v>
      </c>
      <c r="K27" s="117">
        <f>32537.6/1.0443</f>
        <v>31157.330269079765</v>
      </c>
      <c r="L27" s="22">
        <f>(6653*2)/1.0465</f>
        <v>12714.763497372192</v>
      </c>
      <c r="M27" s="22"/>
      <c r="N27" s="22"/>
      <c r="O27" s="22"/>
      <c r="P27" s="23"/>
      <c r="Q27" s="23"/>
      <c r="R27" s="23"/>
      <c r="S27" s="23"/>
      <c r="T27" s="23"/>
      <c r="U27" s="19">
        <f t="shared" si="5"/>
        <v>43872.093766451959</v>
      </c>
      <c r="V27" s="128">
        <f t="shared" si="2"/>
        <v>0.83597739646440472</v>
      </c>
      <c r="X27" s="29"/>
      <c r="Y27" s="28"/>
      <c r="AA27" s="2"/>
      <c r="AB27" s="2"/>
      <c r="AC27" s="132" t="str">
        <f t="shared" si="6"/>
        <v/>
      </c>
    </row>
    <row r="28" spans="1:29" ht="15.75">
      <c r="A28" s="29" t="s">
        <v>98</v>
      </c>
      <c r="B28" s="3" t="s">
        <v>93</v>
      </c>
      <c r="C28" s="9" t="s">
        <v>90</v>
      </c>
      <c r="D28" s="3" t="s">
        <v>94</v>
      </c>
      <c r="E28" s="3" t="str">
        <f t="shared" si="0"/>
        <v>Direct</v>
      </c>
      <c r="F28" s="10" t="s">
        <v>59</v>
      </c>
      <c r="G28" s="1">
        <v>128</v>
      </c>
      <c r="H28" s="27">
        <v>26240</v>
      </c>
      <c r="I28" s="82" t="b">
        <v>1</v>
      </c>
      <c r="J28" s="116">
        <f t="shared" si="7"/>
        <v>0.6201550387596898</v>
      </c>
      <c r="K28" s="117">
        <f>16793.6/1.032</f>
        <v>16272.868217054262</v>
      </c>
      <c r="L28" s="22">
        <f>1920/1.0845</f>
        <v>1770.4011065006916</v>
      </c>
      <c r="M28" s="22"/>
      <c r="N28" s="22"/>
      <c r="O28" s="22"/>
      <c r="P28" s="23"/>
      <c r="Q28" s="23"/>
      <c r="R28" s="23"/>
      <c r="S28" s="23"/>
      <c r="T28" s="23"/>
      <c r="U28" s="19">
        <f t="shared" si="5"/>
        <v>18043.269323554952</v>
      </c>
      <c r="V28" s="128">
        <f t="shared" si="2"/>
        <v>0.68762459312328328</v>
      </c>
      <c r="X28" s="29"/>
      <c r="Y28" s="28"/>
      <c r="AA28" s="2"/>
      <c r="AB28" s="2"/>
      <c r="AC28" s="132" t="str">
        <f t="shared" si="6"/>
        <v/>
      </c>
    </row>
    <row r="29" spans="1:29" ht="15.75">
      <c r="A29" s="29" t="s">
        <v>99</v>
      </c>
      <c r="B29" s="3" t="s">
        <v>93</v>
      </c>
      <c r="C29" s="3" t="s">
        <v>90</v>
      </c>
      <c r="D29" s="3" t="s">
        <v>97</v>
      </c>
      <c r="E29" s="3" t="str">
        <f t="shared" si="0"/>
        <v>Direct</v>
      </c>
      <c r="F29" s="10" t="s">
        <v>59</v>
      </c>
      <c r="G29" s="3">
        <v>105</v>
      </c>
      <c r="H29" s="28">
        <f>G29*205</f>
        <v>21525</v>
      </c>
      <c r="I29" s="82" t="b">
        <v>1</v>
      </c>
      <c r="J29" s="116">
        <f t="shared" si="7"/>
        <v>0.59672762271414825</v>
      </c>
      <c r="K29" s="117">
        <f>13345.5/1.039</f>
        <v>12844.562078922041</v>
      </c>
      <c r="L29" s="22">
        <f>6522/1.0897</f>
        <v>5985.1335229879787</v>
      </c>
      <c r="M29" s="22"/>
      <c r="N29" s="22"/>
      <c r="O29" s="22"/>
      <c r="P29" s="23"/>
      <c r="Q29" s="23"/>
      <c r="R29" s="23"/>
      <c r="S29" s="23"/>
      <c r="T29" s="23"/>
      <c r="U29" s="19">
        <f t="shared" si="5"/>
        <v>18829.695601910018</v>
      </c>
      <c r="V29" s="128">
        <f t="shared" si="2"/>
        <v>0.87478260636051186</v>
      </c>
      <c r="X29" s="29"/>
      <c r="Y29" s="28"/>
      <c r="AA29" s="2"/>
      <c r="AB29" s="2"/>
      <c r="AC29" s="132" t="str">
        <f t="shared" si="6"/>
        <v/>
      </c>
    </row>
    <row r="30" spans="1:29" ht="15.75">
      <c r="A30" s="29" t="s">
        <v>100</v>
      </c>
      <c r="B30" s="3" t="s">
        <v>93</v>
      </c>
      <c r="C30" s="3" t="s">
        <v>90</v>
      </c>
      <c r="D30" s="3" t="s">
        <v>101</v>
      </c>
      <c r="E30" s="3" t="str">
        <f t="shared" si="0"/>
        <v>Direct</v>
      </c>
      <c r="F30" s="10" t="s">
        <v>59</v>
      </c>
      <c r="G30" s="3">
        <f>2*105</f>
        <v>210</v>
      </c>
      <c r="H30" s="28">
        <f>G30*205</f>
        <v>43050</v>
      </c>
      <c r="I30" s="82" t="b">
        <v>1</v>
      </c>
      <c r="J30" s="116">
        <f t="shared" si="7"/>
        <v>0.57976435384327663</v>
      </c>
      <c r="K30" s="117">
        <f>26691/1.0694</f>
        <v>24958.85543295306</v>
      </c>
      <c r="L30" s="22">
        <f>14284/1.0824</f>
        <v>13196.600147819659</v>
      </c>
      <c r="M30" s="22"/>
      <c r="N30" s="22"/>
      <c r="O30" s="22"/>
      <c r="P30" s="23"/>
      <c r="Q30" s="23"/>
      <c r="R30" s="23"/>
      <c r="S30" s="23"/>
      <c r="T30" s="23"/>
      <c r="U30" s="19">
        <f t="shared" si="5"/>
        <v>38155.455580772716</v>
      </c>
      <c r="V30" s="128">
        <f t="shared" si="2"/>
        <v>0.88630558840354745</v>
      </c>
      <c r="X30" s="79"/>
      <c r="Y30" s="42"/>
      <c r="AA30" s="2"/>
      <c r="AB30" s="2"/>
      <c r="AC30" s="132" t="str">
        <f t="shared" si="6"/>
        <v/>
      </c>
    </row>
    <row r="31" spans="1:29" ht="15.75">
      <c r="A31" s="29" t="s">
        <v>102</v>
      </c>
      <c r="B31" s="3" t="s">
        <v>103</v>
      </c>
      <c r="C31" s="9" t="s">
        <v>62</v>
      </c>
      <c r="D31" s="3" t="s">
        <v>104</v>
      </c>
      <c r="E31" s="3" t="str">
        <f t="shared" si="0"/>
        <v>Direct</v>
      </c>
      <c r="F31" s="10" t="s">
        <v>31</v>
      </c>
      <c r="G31" s="1">
        <v>112</v>
      </c>
      <c r="H31" s="27">
        <f>G31*210</f>
        <v>23520</v>
      </c>
      <c r="I31" s="82" t="b">
        <v>1</v>
      </c>
      <c r="J31" s="116">
        <f t="shared" si="7"/>
        <v>1.2156788487028971</v>
      </c>
      <c r="K31" s="117">
        <f>30199.68/1.0562</f>
        <v>28592.76652149214</v>
      </c>
      <c r="L31" s="22">
        <v>0</v>
      </c>
      <c r="M31" s="22">
        <v>98.14</v>
      </c>
      <c r="N31" s="22"/>
      <c r="O31" s="22"/>
      <c r="P31" s="23"/>
      <c r="Q31" s="23"/>
      <c r="R31" s="23"/>
      <c r="S31" s="23"/>
      <c r="T31" s="23"/>
      <c r="U31" s="19">
        <f t="shared" si="5"/>
        <v>28690.906521492139</v>
      </c>
      <c r="V31" s="128">
        <f t="shared" si="2"/>
        <v>1.2198514677505161</v>
      </c>
      <c r="X31" s="29">
        <v>366458</v>
      </c>
      <c r="Y31" s="42">
        <v>45671</v>
      </c>
      <c r="AA31" s="2"/>
      <c r="AB31" s="2"/>
      <c r="AC31" s="132" t="str">
        <f t="shared" si="6"/>
        <v/>
      </c>
    </row>
    <row r="32" spans="1:29" ht="15.75">
      <c r="A32" s="29" t="s">
        <v>105</v>
      </c>
      <c r="B32" s="3" t="s">
        <v>106</v>
      </c>
      <c r="C32" s="3" t="s">
        <v>62</v>
      </c>
      <c r="D32" s="3" t="s">
        <v>104</v>
      </c>
      <c r="E32" s="3" t="str">
        <f t="shared" si="0"/>
        <v>Direct</v>
      </c>
      <c r="F32" s="3" t="s">
        <v>31</v>
      </c>
      <c r="G32" s="3">
        <f>9*112</f>
        <v>1008</v>
      </c>
      <c r="H32" s="28">
        <f>G32*210</f>
        <v>211680</v>
      </c>
      <c r="I32" s="82" t="b">
        <v>1</v>
      </c>
      <c r="J32" s="116">
        <f t="shared" si="7"/>
        <v>1.2497650915023166</v>
      </c>
      <c r="K32" s="117">
        <f>279418/1.0562</f>
        <v>264550.27456921036</v>
      </c>
      <c r="L32" s="22">
        <v>0</v>
      </c>
      <c r="M32" s="22">
        <f>392.56</f>
        <v>392.56</v>
      </c>
      <c r="N32" s="22"/>
      <c r="O32" s="22"/>
      <c r="P32" s="23"/>
      <c r="Q32" s="23"/>
      <c r="R32" s="23">
        <v>57.04</v>
      </c>
      <c r="S32" s="23"/>
      <c r="T32" s="23"/>
      <c r="U32" s="19">
        <f t="shared" si="5"/>
        <v>264942.83456921036</v>
      </c>
      <c r="V32" s="128">
        <f t="shared" si="2"/>
        <v>1.2516195888568138</v>
      </c>
      <c r="X32" s="79" t="s">
        <v>107</v>
      </c>
      <c r="Y32" s="42">
        <v>45671</v>
      </c>
      <c r="AA32" s="2"/>
      <c r="AB32" s="2"/>
      <c r="AC32" s="132" t="str">
        <f t="shared" si="6"/>
        <v/>
      </c>
    </row>
    <row r="33" spans="1:29" ht="15.75">
      <c r="A33" s="29" t="s">
        <v>108</v>
      </c>
      <c r="B33" s="3" t="s">
        <v>61</v>
      </c>
      <c r="C33" s="3" t="s">
        <v>62</v>
      </c>
      <c r="D33" s="3" t="s">
        <v>30</v>
      </c>
      <c r="E33" s="3" t="str">
        <f t="shared" si="0"/>
        <v>Hiwa</v>
      </c>
      <c r="F33" s="3" t="s">
        <v>31</v>
      </c>
      <c r="G33" s="3">
        <v>112</v>
      </c>
      <c r="H33" s="28">
        <v>23520</v>
      </c>
      <c r="I33" s="82" t="b">
        <v>1</v>
      </c>
      <c r="J33" s="116">
        <f>IF(H33="","",+K33/H33)</f>
        <v>1.395</v>
      </c>
      <c r="K33" s="117">
        <v>32810.400000000001</v>
      </c>
      <c r="L33" s="22"/>
      <c r="M33" s="22">
        <v>98.14</v>
      </c>
      <c r="N33" s="22">
        <v>170</v>
      </c>
      <c r="O33" s="22">
        <v>1431.4</v>
      </c>
      <c r="P33" s="23">
        <f>163.85+128.74+128.74+52.67+52.67+52.67+52.67+52.67</f>
        <v>684.68</v>
      </c>
      <c r="Q33" s="23">
        <f>85+6.68+2.73+2.73</f>
        <v>97.140000000000015</v>
      </c>
      <c r="R33" s="23">
        <f>(57.04*(52/76))+57.04</f>
        <v>96.067368421052635</v>
      </c>
      <c r="S33" s="23">
        <f>(77.52*(13/19))</f>
        <v>53.04</v>
      </c>
      <c r="T33" s="23">
        <f>689+(1650*(52/76))+1000</f>
        <v>2817.9473684210525</v>
      </c>
      <c r="U33" s="19">
        <f t="shared" si="5"/>
        <v>35291.760000000002</v>
      </c>
      <c r="V33" s="128">
        <f t="shared" si="2"/>
        <v>1.5005000000000002</v>
      </c>
      <c r="X33" s="29">
        <v>366388</v>
      </c>
      <c r="Y33" s="42">
        <v>45671</v>
      </c>
      <c r="AA33" s="2"/>
      <c r="AB33" s="2"/>
      <c r="AC33" s="132" t="str">
        <f t="shared" si="6"/>
        <v/>
      </c>
    </row>
    <row r="34" spans="1:29" ht="15.75">
      <c r="A34" s="29" t="s">
        <v>109</v>
      </c>
      <c r="B34" s="3" t="s">
        <v>103</v>
      </c>
      <c r="C34" s="3" t="s">
        <v>62</v>
      </c>
      <c r="D34" s="3" t="s">
        <v>104</v>
      </c>
      <c r="E34" s="3" t="str">
        <f t="shared" si="0"/>
        <v>Direct</v>
      </c>
      <c r="F34" s="3" t="s">
        <v>31</v>
      </c>
      <c r="G34" s="3">
        <v>336</v>
      </c>
      <c r="H34" s="28">
        <f>G34*210</f>
        <v>70560</v>
      </c>
      <c r="I34" s="82" t="b">
        <v>1</v>
      </c>
      <c r="J34" s="116">
        <f t="shared" si="7"/>
        <v>1.2839999999999998</v>
      </c>
      <c r="K34" s="117">
        <v>90599.039999999994</v>
      </c>
      <c r="L34" s="22">
        <v>0</v>
      </c>
      <c r="M34" s="22">
        <f>(34.69+63.45)*2</f>
        <v>196.28</v>
      </c>
      <c r="N34" s="22"/>
      <c r="O34" s="22"/>
      <c r="P34" s="23"/>
      <c r="Q34" s="23"/>
      <c r="R34" s="23">
        <f>2*57.04</f>
        <v>114.08</v>
      </c>
      <c r="S34" s="23"/>
      <c r="T34" s="23"/>
      <c r="U34" s="19">
        <f t="shared" si="5"/>
        <v>90795.319999999992</v>
      </c>
      <c r="V34" s="128">
        <f t="shared" si="2"/>
        <v>1.2867817460317459</v>
      </c>
      <c r="X34" s="79" t="s">
        <v>110</v>
      </c>
      <c r="Y34" s="42">
        <v>45672</v>
      </c>
      <c r="AA34" s="2"/>
      <c r="AB34" s="2"/>
      <c r="AC34" s="132" t="str">
        <f t="shared" si="6"/>
        <v/>
      </c>
    </row>
    <row r="35" spans="1:29" ht="15.75">
      <c r="A35" s="29" t="s">
        <v>111</v>
      </c>
      <c r="B35" s="3" t="s">
        <v>93</v>
      </c>
      <c r="C35" s="3" t="s">
        <v>90</v>
      </c>
      <c r="D35" s="3" t="s">
        <v>112</v>
      </c>
      <c r="E35" s="3" t="str">
        <f t="shared" si="0"/>
        <v>Direct</v>
      </c>
      <c r="F35" s="3" t="s">
        <v>59</v>
      </c>
      <c r="G35" s="3">
        <v>112</v>
      </c>
      <c r="H35" s="28">
        <f>G35*205</f>
        <v>22960</v>
      </c>
      <c r="I35" s="82" t="b">
        <v>1</v>
      </c>
      <c r="J35" s="116">
        <f t="shared" si="7"/>
        <v>0.69424215943295464</v>
      </c>
      <c r="K35" s="117">
        <f>16416.4/1.0299</f>
        <v>15939.799980580639</v>
      </c>
      <c r="L35" s="22">
        <f>(1656/1.0198)+328+69.25+834+80+35+55</f>
        <v>3025.0978132967248</v>
      </c>
      <c r="M35" s="22">
        <f>1903.63+38.07+96</f>
        <v>2037.7</v>
      </c>
      <c r="N35" s="22">
        <f>300+227.5</f>
        <v>527.5</v>
      </c>
      <c r="O35" s="22"/>
      <c r="P35" s="23"/>
      <c r="Q35" s="23"/>
      <c r="R35" s="23"/>
      <c r="S35" s="23"/>
      <c r="T35" s="23"/>
      <c r="U35" s="19">
        <f t="shared" si="5"/>
        <v>21530.097793877365</v>
      </c>
      <c r="V35" s="128">
        <f t="shared" si="2"/>
        <v>0.93772202935005944</v>
      </c>
      <c r="X35" s="79"/>
      <c r="Y35" s="42"/>
      <c r="AA35" s="2"/>
      <c r="AB35" s="2"/>
      <c r="AC35" s="132" t="str">
        <f t="shared" si="6"/>
        <v/>
      </c>
    </row>
    <row r="36" spans="1:29" ht="15.75">
      <c r="A36" s="54" t="s">
        <v>113</v>
      </c>
      <c r="B36" s="3" t="s">
        <v>89</v>
      </c>
      <c r="C36" s="9" t="s">
        <v>90</v>
      </c>
      <c r="D36" s="3" t="s">
        <v>30</v>
      </c>
      <c r="E36" s="3" t="str">
        <f t="shared" si="0"/>
        <v>Hiwa</v>
      </c>
      <c r="F36" s="10" t="s">
        <v>59</v>
      </c>
      <c r="G36" s="1">
        <v>256</v>
      </c>
      <c r="H36" s="27">
        <f>G36*205</f>
        <v>52480</v>
      </c>
      <c r="I36" s="82" t="b">
        <v>1</v>
      </c>
      <c r="J36" s="116">
        <f t="shared" si="7"/>
        <v>0.62141955529663062</v>
      </c>
      <c r="K36" s="117">
        <f>33587.2/1.0299</f>
        <v>32612.098261967178</v>
      </c>
      <c r="L36" s="58">
        <f>3092/1.0198</f>
        <v>3031.9670523632085</v>
      </c>
      <c r="M36" s="58">
        <f>2003.73+1988.57</f>
        <v>3992.3</v>
      </c>
      <c r="N36" s="58">
        <v>120</v>
      </c>
      <c r="O36" s="58">
        <f>61.61+2584.52+712.22</f>
        <v>3358.3500000000004</v>
      </c>
      <c r="P36" s="59">
        <f>0.98+72.45</f>
        <v>73.430000000000007</v>
      </c>
      <c r="Q36" s="59">
        <f>4.68+4.72</f>
        <v>9.3999999999999986</v>
      </c>
      <c r="R36" s="59">
        <f>57.04+(57.04*(77/110))+57.04</f>
        <v>154.00799999999998</v>
      </c>
      <c r="S36" s="59"/>
      <c r="T36" s="59"/>
      <c r="U36" s="19">
        <f t="shared" si="5"/>
        <v>43197.545314330389</v>
      </c>
      <c r="V36" s="128">
        <f t="shared" si="2"/>
        <v>0.8231239579712345</v>
      </c>
      <c r="X36" s="80" t="s">
        <v>114</v>
      </c>
      <c r="Y36" s="72">
        <v>45705</v>
      </c>
      <c r="AA36" s="2"/>
      <c r="AB36" s="2"/>
      <c r="AC36" s="132" t="str">
        <f t="shared" si="6"/>
        <v/>
      </c>
    </row>
    <row r="37" spans="1:29" ht="15.75">
      <c r="A37" s="29" t="s">
        <v>115</v>
      </c>
      <c r="B37" s="3" t="s">
        <v>106</v>
      </c>
      <c r="C37" s="55" t="s">
        <v>62</v>
      </c>
      <c r="D37" s="55" t="s">
        <v>116</v>
      </c>
      <c r="E37" s="55" t="str">
        <f t="shared" si="0"/>
        <v>Direct</v>
      </c>
      <c r="F37" s="55" t="s">
        <v>31</v>
      </c>
      <c r="G37" s="55">
        <f>9*112</f>
        <v>1008</v>
      </c>
      <c r="H37" s="56">
        <f>G37*210</f>
        <v>211680</v>
      </c>
      <c r="I37" s="82" t="b">
        <v>1</v>
      </c>
      <c r="J37" s="116">
        <f t="shared" si="7"/>
        <v>1.41</v>
      </c>
      <c r="K37" s="119">
        <v>298468.8</v>
      </c>
      <c r="L37" s="58">
        <v>19739</v>
      </c>
      <c r="M37" s="58">
        <v>320</v>
      </c>
      <c r="N37" s="58">
        <v>500</v>
      </c>
      <c r="O37" s="58"/>
      <c r="P37" s="59"/>
      <c r="Q37" s="59"/>
      <c r="R37" s="59"/>
      <c r="S37" s="59"/>
      <c r="T37" s="59"/>
      <c r="U37" s="19">
        <f t="shared" si="5"/>
        <v>319027.8</v>
      </c>
      <c r="V37" s="128">
        <f t="shared" si="2"/>
        <v>1.5071230158730158</v>
      </c>
      <c r="X37" s="54"/>
      <c r="Y37" s="56"/>
      <c r="AA37" s="2"/>
      <c r="AB37" s="2"/>
      <c r="AC37" s="132" t="str">
        <f t="shared" si="6"/>
        <v/>
      </c>
    </row>
    <row r="38" spans="1:29" ht="15.75">
      <c r="A38" s="54" t="s">
        <v>117</v>
      </c>
      <c r="B38" s="3" t="s">
        <v>118</v>
      </c>
      <c r="C38" s="9" t="s">
        <v>119</v>
      </c>
      <c r="D38" s="13" t="s">
        <v>120</v>
      </c>
      <c r="E38" s="3" t="str">
        <f>IF(B38="","",IF(D38="Godfroy","Godfroy",(IF(LEFT(B38,1)="1","Hiwa","Direct"))))</f>
        <v>Direct</v>
      </c>
      <c r="F38" s="10" t="s">
        <v>121</v>
      </c>
      <c r="G38" s="1">
        <v>52</v>
      </c>
      <c r="H38" s="27">
        <v>10400</v>
      </c>
      <c r="I38" s="82" t="b">
        <v>1</v>
      </c>
      <c r="J38" s="116">
        <f t="shared" si="7"/>
        <v>1.54</v>
      </c>
      <c r="K38" s="119">
        <v>16016</v>
      </c>
      <c r="L38" s="58">
        <v>1750</v>
      </c>
      <c r="M38" s="58"/>
      <c r="N38" s="58"/>
      <c r="O38" s="58"/>
      <c r="P38" s="59"/>
      <c r="Q38" s="59"/>
      <c r="R38" s="59"/>
      <c r="S38" s="59"/>
      <c r="T38" s="59"/>
      <c r="U38" s="19">
        <f t="shared" si="5"/>
        <v>17766</v>
      </c>
      <c r="V38" s="128">
        <f t="shared" si="2"/>
        <v>1.7082692307692309</v>
      </c>
      <c r="X38" s="54"/>
      <c r="Y38" s="56"/>
      <c r="AA38" s="2"/>
      <c r="AB38" s="2"/>
      <c r="AC38" s="132" t="str">
        <f t="shared" si="6"/>
        <v/>
      </c>
    </row>
    <row r="39" spans="1:29" ht="15.75">
      <c r="A39" s="29" t="s">
        <v>122</v>
      </c>
      <c r="B39" s="3" t="s">
        <v>123</v>
      </c>
      <c r="C39" s="9" t="s">
        <v>52</v>
      </c>
      <c r="D39" s="13" t="s">
        <v>30</v>
      </c>
      <c r="E39" s="3" t="str">
        <f t="shared" ref="E39" si="8">IF(B39="","",IF(D39="Godfroy","Godfroy",(IF(LEFT(B39,1)="1","Hiwa","Direct"))))</f>
        <v>Hiwa</v>
      </c>
      <c r="F39" s="3" t="s">
        <v>46</v>
      </c>
      <c r="G39" s="1">
        <v>80</v>
      </c>
      <c r="H39" s="27">
        <v>16800</v>
      </c>
      <c r="I39" s="82" t="b">
        <v>1</v>
      </c>
      <c r="J39" s="116">
        <f t="shared" si="7"/>
        <v>3.705842718259698</v>
      </c>
      <c r="K39" s="119">
        <f>64680/1.0389</f>
        <v>62258.157666762927</v>
      </c>
      <c r="L39" s="58">
        <f>2425/1.0389</f>
        <v>2334.1996342285111</v>
      </c>
      <c r="M39" s="58">
        <v>98.14</v>
      </c>
      <c r="N39" s="58"/>
      <c r="O39" s="58">
        <v>1155.18</v>
      </c>
      <c r="P39" s="59">
        <f>78.68+55.07+55.07+55.07+31.47+31.47+15.74</f>
        <v>322.57000000000005</v>
      </c>
      <c r="Q39" s="59">
        <f>16.46+16.23+10.86+6.12</f>
        <v>49.669999999999995</v>
      </c>
      <c r="R39" s="59">
        <f>57.04+57.04+57.04</f>
        <v>171.12</v>
      </c>
      <c r="S39" s="59"/>
      <c r="T39" s="59"/>
      <c r="U39" s="19">
        <f t="shared" si="5"/>
        <v>66217.917300991438</v>
      </c>
      <c r="V39" s="128">
        <f t="shared" si="2"/>
        <v>3.9415426964875855</v>
      </c>
      <c r="X39" s="54">
        <v>367271</v>
      </c>
      <c r="Y39" s="72">
        <v>45691</v>
      </c>
      <c r="AA39" s="2">
        <v>16</v>
      </c>
      <c r="AB39" s="2">
        <v>3360</v>
      </c>
      <c r="AC39" s="132">
        <f t="shared" si="6"/>
        <v>13243.583460198288</v>
      </c>
    </row>
    <row r="40" spans="1:29" ht="15.75">
      <c r="A40" s="54" t="s">
        <v>124</v>
      </c>
      <c r="B40" s="3" t="s">
        <v>125</v>
      </c>
      <c r="C40" s="3" t="s">
        <v>126</v>
      </c>
      <c r="D40" s="3" t="s">
        <v>127</v>
      </c>
      <c r="E40" s="3" t="str">
        <f>IF(B40="","",IF(D40="Godfroy","Godfroy",(IF(LEFT(B40,1)="1","Hiwa","Direct"))))</f>
        <v>Direct</v>
      </c>
      <c r="F40" s="3" t="s">
        <v>128</v>
      </c>
      <c r="G40" s="3">
        <v>4</v>
      </c>
      <c r="H40" s="28">
        <v>880</v>
      </c>
      <c r="I40" s="82" t="b">
        <v>1</v>
      </c>
      <c r="J40" s="116">
        <f>IF(H40="","",+K40/H40)</f>
        <v>0.92045454545454541</v>
      </c>
      <c r="K40" s="119">
        <v>810</v>
      </c>
      <c r="L40" s="58">
        <v>294</v>
      </c>
      <c r="M40" s="58"/>
      <c r="N40" s="58"/>
      <c r="O40" s="58"/>
      <c r="P40" s="59"/>
      <c r="Q40" s="59"/>
      <c r="R40" s="59"/>
      <c r="S40" s="59"/>
      <c r="T40" s="59"/>
      <c r="U40" s="19">
        <f t="shared" si="5"/>
        <v>1104</v>
      </c>
      <c r="V40" s="128">
        <f>IF(J40="","",+U40/H40)</f>
        <v>1.2545454545454546</v>
      </c>
      <c r="X40" s="54"/>
      <c r="Y40" s="56"/>
      <c r="AA40" s="2"/>
      <c r="AB40" s="2"/>
      <c r="AC40" s="132" t="str">
        <f t="shared" si="6"/>
        <v/>
      </c>
    </row>
    <row r="41" spans="1:29" ht="15.75">
      <c r="A41" s="29" t="s">
        <v>129</v>
      </c>
      <c r="B41" s="3" t="s">
        <v>106</v>
      </c>
      <c r="C41" s="9" t="s">
        <v>62</v>
      </c>
      <c r="D41" s="3" t="s">
        <v>104</v>
      </c>
      <c r="E41" s="3" t="str">
        <f t="shared" ref="E41:E45" si="9">IF(B41="","",IF(D41="Godfroy","Godfroy",(IF(LEFT(B41,1)="1","Hiwa","Direct"))))</f>
        <v>Direct</v>
      </c>
      <c r="F41" s="10" t="s">
        <v>31</v>
      </c>
      <c r="G41" s="1">
        <f>6*112</f>
        <v>672</v>
      </c>
      <c r="H41" s="27">
        <f>G41*210</f>
        <v>141120</v>
      </c>
      <c r="I41" s="82" t="b">
        <v>1</v>
      </c>
      <c r="J41" s="116">
        <f>IF(H41="","",+K41/H41)</f>
        <v>1.32</v>
      </c>
      <c r="K41" s="119">
        <v>186278.39999999999</v>
      </c>
      <c r="L41" s="58">
        <v>0</v>
      </c>
      <c r="M41" s="22">
        <f>(34.69+63.45)*4</f>
        <v>392.56</v>
      </c>
      <c r="N41" s="58"/>
      <c r="O41" s="58"/>
      <c r="P41" s="59"/>
      <c r="Q41" s="59"/>
      <c r="R41" s="59">
        <f>3*57.04+57.04+57.04</f>
        <v>285.2</v>
      </c>
      <c r="S41" s="59"/>
      <c r="T41" s="59"/>
      <c r="U41" s="19">
        <f t="shared" si="5"/>
        <v>186670.96</v>
      </c>
      <c r="V41" s="128">
        <f>IF(J41="","",+U41/H41)</f>
        <v>1.3227817460317459</v>
      </c>
      <c r="X41" s="79" t="s">
        <v>130</v>
      </c>
      <c r="Y41" s="42">
        <v>45672</v>
      </c>
      <c r="AA41" s="2"/>
      <c r="AB41" s="2"/>
      <c r="AC41" s="132" t="str">
        <f t="shared" si="6"/>
        <v/>
      </c>
    </row>
    <row r="42" spans="1:29" ht="15.75">
      <c r="A42" s="54" t="s">
        <v>131</v>
      </c>
      <c r="B42" s="3" t="s">
        <v>132</v>
      </c>
      <c r="C42" s="3" t="s">
        <v>133</v>
      </c>
      <c r="D42" s="13" t="s">
        <v>134</v>
      </c>
      <c r="E42" s="3" t="str">
        <f t="shared" si="9"/>
        <v>Direct</v>
      </c>
      <c r="F42" s="3" t="s">
        <v>121</v>
      </c>
      <c r="G42" s="65">
        <v>32</v>
      </c>
      <c r="H42" s="53">
        <f>G42*220</f>
        <v>7040</v>
      </c>
      <c r="I42" s="82" t="b">
        <v>1</v>
      </c>
      <c r="J42" s="116">
        <f t="shared" ref="J42:J105" si="10">IF(H42="","",+K42/H42)</f>
        <v>1.45</v>
      </c>
      <c r="K42" s="119">
        <v>10208</v>
      </c>
      <c r="L42" s="58">
        <v>704</v>
      </c>
      <c r="M42" s="58"/>
      <c r="N42" s="58"/>
      <c r="O42" s="58"/>
      <c r="P42" s="59"/>
      <c r="Q42" s="59"/>
      <c r="R42" s="59"/>
      <c r="S42" s="59"/>
      <c r="T42" s="59"/>
      <c r="U42" s="19">
        <f t="shared" si="5"/>
        <v>10912</v>
      </c>
      <c r="V42" s="128">
        <f t="shared" ref="V42:V105" si="11">IF(J42="","",+U42/H42)</f>
        <v>1.55</v>
      </c>
      <c r="X42" s="54"/>
      <c r="Y42" s="56"/>
      <c r="AA42" s="2"/>
      <c r="AB42" s="2"/>
      <c r="AC42" s="132" t="str">
        <f t="shared" si="6"/>
        <v/>
      </c>
    </row>
    <row r="43" spans="1:29" ht="15.75">
      <c r="A43" s="29" t="s">
        <v>135</v>
      </c>
      <c r="B43" s="3" t="s">
        <v>136</v>
      </c>
      <c r="C43" s="3" t="s">
        <v>133</v>
      </c>
      <c r="D43" s="13" t="s">
        <v>134</v>
      </c>
      <c r="E43" s="3" t="str">
        <f t="shared" si="9"/>
        <v>Direct</v>
      </c>
      <c r="F43" s="3" t="s">
        <v>121</v>
      </c>
      <c r="G43" s="65">
        <v>8</v>
      </c>
      <c r="H43" s="53">
        <f>G43*220</f>
        <v>1760</v>
      </c>
      <c r="I43" s="82" t="b">
        <v>1</v>
      </c>
      <c r="J43" s="116">
        <f t="shared" si="10"/>
        <v>1.24</v>
      </c>
      <c r="K43" s="119">
        <v>2182.4</v>
      </c>
      <c r="L43" s="58">
        <v>176</v>
      </c>
      <c r="M43" s="58"/>
      <c r="N43" s="58"/>
      <c r="O43" s="58"/>
      <c r="P43" s="59"/>
      <c r="Q43" s="59"/>
      <c r="R43" s="59"/>
      <c r="S43" s="59"/>
      <c r="T43" s="59"/>
      <c r="U43" s="19">
        <f t="shared" si="5"/>
        <v>2358.4</v>
      </c>
      <c r="V43" s="128">
        <f t="shared" si="11"/>
        <v>1.34</v>
      </c>
      <c r="X43" s="54"/>
      <c r="Y43" s="56"/>
      <c r="AA43" s="2"/>
      <c r="AB43" s="2"/>
      <c r="AC43" s="132" t="str">
        <f t="shared" si="6"/>
        <v/>
      </c>
    </row>
    <row r="44" spans="1:29" ht="15.75">
      <c r="A44" s="54" t="s">
        <v>137</v>
      </c>
      <c r="B44" s="3" t="s">
        <v>103</v>
      </c>
      <c r="C44" s="9" t="s">
        <v>62</v>
      </c>
      <c r="D44" s="3" t="s">
        <v>104</v>
      </c>
      <c r="E44" s="3" t="str">
        <f t="shared" si="9"/>
        <v>Direct</v>
      </c>
      <c r="F44" s="10" t="s">
        <v>31</v>
      </c>
      <c r="G44" s="1">
        <f>6*112</f>
        <v>672</v>
      </c>
      <c r="H44" s="27">
        <f>G44*210</f>
        <v>141120</v>
      </c>
      <c r="I44" s="82" t="b">
        <v>1</v>
      </c>
      <c r="J44" s="116">
        <f t="shared" si="10"/>
        <v>1.2899999999999998</v>
      </c>
      <c r="K44" s="117">
        <v>182044.79999999999</v>
      </c>
      <c r="L44" s="22">
        <v>0</v>
      </c>
      <c r="M44" s="22">
        <f>(98.14*(6/18))+(98.14*(6/18))-(98.14*(6/18))</f>
        <v>32.713333333333331</v>
      </c>
      <c r="N44" s="22"/>
      <c r="O44" s="22"/>
      <c r="P44" s="23"/>
      <c r="Q44" s="23"/>
      <c r="R44" s="23"/>
      <c r="S44" s="23"/>
      <c r="T44" s="23"/>
      <c r="U44" s="19">
        <f t="shared" si="5"/>
        <v>182077.51333333334</v>
      </c>
      <c r="V44" s="128">
        <f t="shared" si="11"/>
        <v>1.2902318121693122</v>
      </c>
      <c r="X44" s="54"/>
      <c r="Y44" s="56"/>
      <c r="AA44" s="2"/>
      <c r="AB44" s="2"/>
      <c r="AC44" s="132" t="str">
        <f t="shared" si="6"/>
        <v/>
      </c>
    </row>
    <row r="45" spans="1:29" ht="15.75">
      <c r="A45" s="29" t="s">
        <v>138</v>
      </c>
      <c r="B45" s="3" t="s">
        <v>106</v>
      </c>
      <c r="C45" s="3" t="s">
        <v>62</v>
      </c>
      <c r="D45" s="3" t="s">
        <v>104</v>
      </c>
      <c r="E45" s="3" t="str">
        <f t="shared" si="9"/>
        <v>Direct</v>
      </c>
      <c r="F45" s="3" t="s">
        <v>31</v>
      </c>
      <c r="G45" s="3">
        <f>12*112</f>
        <v>1344</v>
      </c>
      <c r="H45" s="28">
        <f>G45*210</f>
        <v>282240</v>
      </c>
      <c r="I45" s="82" t="b">
        <v>1</v>
      </c>
      <c r="J45" s="116">
        <f t="shared" si="10"/>
        <v>1.33</v>
      </c>
      <c r="K45" s="117">
        <v>375379.20000000001</v>
      </c>
      <c r="L45" s="22">
        <v>0</v>
      </c>
      <c r="M45" s="22">
        <f>(98.14*(12/18))+(98.14*(12/18))-(98.14*(12/18))</f>
        <v>65.426666666666662</v>
      </c>
      <c r="N45" s="22"/>
      <c r="O45" s="22"/>
      <c r="P45" s="23"/>
      <c r="Q45" s="23"/>
      <c r="R45" s="23">
        <v>57.04</v>
      </c>
      <c r="S45" s="23"/>
      <c r="T45" s="23"/>
      <c r="U45" s="19">
        <f>IF(B45="","",K45+SUM(L45:Q45))</f>
        <v>375444.62666666671</v>
      </c>
      <c r="V45" s="128">
        <f t="shared" si="11"/>
        <v>1.3302318121693124</v>
      </c>
      <c r="X45" s="54"/>
      <c r="Y45" s="56"/>
      <c r="AA45" s="2"/>
      <c r="AB45" s="2"/>
      <c r="AC45" s="132" t="str">
        <f t="shared" si="6"/>
        <v/>
      </c>
    </row>
    <row r="46" spans="1:29" ht="15.75">
      <c r="A46" s="29" t="s">
        <v>139</v>
      </c>
      <c r="B46" s="3" t="s">
        <v>140</v>
      </c>
      <c r="C46" s="3" t="s">
        <v>62</v>
      </c>
      <c r="D46" s="3" t="s">
        <v>104</v>
      </c>
      <c r="E46" s="3" t="str">
        <f t="shared" si="0"/>
        <v>Direct</v>
      </c>
      <c r="F46" s="3" t="s">
        <v>31</v>
      </c>
      <c r="G46" s="3">
        <v>896</v>
      </c>
      <c r="H46" s="28">
        <f>+G46*210</f>
        <v>188160</v>
      </c>
      <c r="I46" s="82" t="b">
        <v>1</v>
      </c>
      <c r="J46" s="116">
        <f t="shared" si="10"/>
        <v>1.07</v>
      </c>
      <c r="K46" s="117">
        <v>201331.20000000001</v>
      </c>
      <c r="L46" s="22">
        <v>0</v>
      </c>
      <c r="M46" s="22">
        <v>686.98</v>
      </c>
      <c r="N46" s="22"/>
      <c r="O46" s="22"/>
      <c r="P46" s="23"/>
      <c r="Q46" s="23"/>
      <c r="R46" s="23">
        <f>57.04+57.04+57.04+57.04</f>
        <v>228.16</v>
      </c>
      <c r="S46" s="23"/>
      <c r="T46" s="23"/>
      <c r="U46" s="19">
        <f t="shared" si="5"/>
        <v>202018.18000000002</v>
      </c>
      <c r="V46" s="128">
        <f t="shared" si="11"/>
        <v>1.0736510416666667</v>
      </c>
      <c r="X46" s="80" t="s">
        <v>141</v>
      </c>
      <c r="Y46" s="72">
        <v>45726</v>
      </c>
      <c r="AA46" s="2"/>
      <c r="AB46" s="2"/>
      <c r="AC46" s="132" t="str">
        <f t="shared" si="6"/>
        <v/>
      </c>
    </row>
    <row r="47" spans="1:29" ht="15.75">
      <c r="A47" s="29" t="s">
        <v>142</v>
      </c>
      <c r="B47" s="3" t="s">
        <v>143</v>
      </c>
      <c r="C47" s="9" t="s">
        <v>119</v>
      </c>
      <c r="D47" s="3" t="s">
        <v>144</v>
      </c>
      <c r="E47" s="3" t="str">
        <f t="shared" si="0"/>
        <v>Direct</v>
      </c>
      <c r="F47" s="10" t="s">
        <v>121</v>
      </c>
      <c r="G47" s="1">
        <v>110</v>
      </c>
      <c r="H47" s="27">
        <v>1100</v>
      </c>
      <c r="I47" s="82" t="b">
        <v>1</v>
      </c>
      <c r="J47" s="116">
        <f t="shared" si="10"/>
        <v>1.085</v>
      </c>
      <c r="K47" s="117">
        <v>1193.5</v>
      </c>
      <c r="L47" s="22">
        <v>485</v>
      </c>
      <c r="M47" s="22"/>
      <c r="N47" s="22"/>
      <c r="O47" s="22"/>
      <c r="P47" s="23"/>
      <c r="Q47" s="23"/>
      <c r="R47" s="23"/>
      <c r="S47" s="23"/>
      <c r="T47" s="23"/>
      <c r="U47" s="19">
        <f t="shared" si="5"/>
        <v>1678.5</v>
      </c>
      <c r="V47" s="128">
        <f t="shared" si="11"/>
        <v>1.5259090909090909</v>
      </c>
      <c r="X47" s="54"/>
      <c r="Y47" s="56"/>
      <c r="AA47" s="2"/>
      <c r="AB47" s="2"/>
      <c r="AC47" s="132" t="str">
        <f t="shared" si="6"/>
        <v/>
      </c>
    </row>
    <row r="48" spans="1:29" ht="15.75">
      <c r="A48" s="29" t="s">
        <v>145</v>
      </c>
      <c r="B48" s="3" t="s">
        <v>93</v>
      </c>
      <c r="C48" s="3" t="s">
        <v>90</v>
      </c>
      <c r="D48" s="3" t="s">
        <v>112</v>
      </c>
      <c r="E48" s="3" t="str">
        <f t="shared" si="0"/>
        <v>Direct</v>
      </c>
      <c r="F48" s="3" t="s">
        <v>59</v>
      </c>
      <c r="G48" s="3">
        <v>112</v>
      </c>
      <c r="H48" s="28">
        <f>G48*205</f>
        <v>22960</v>
      </c>
      <c r="I48" s="82" t="b">
        <v>1</v>
      </c>
      <c r="J48" s="116">
        <f t="shared" si="10"/>
        <v>0.62488129154795824</v>
      </c>
      <c r="K48" s="117">
        <f>15107.68/1.053</f>
        <v>14347.274453941121</v>
      </c>
      <c r="L48" s="22">
        <f>(1798/1.037)+(528+69.25+450+80+35+1190+842.65)</f>
        <v>4928.7476374156222</v>
      </c>
      <c r="M48" s="22">
        <f>1782.27+35.65+96</f>
        <v>1913.92</v>
      </c>
      <c r="N48" s="22">
        <f>195+300+110</f>
        <v>605</v>
      </c>
      <c r="O48" s="22"/>
      <c r="P48" s="23"/>
      <c r="Q48" s="23"/>
      <c r="R48" s="23">
        <v>6.5</v>
      </c>
      <c r="S48" s="23"/>
      <c r="T48" s="23"/>
      <c r="U48" s="19">
        <f t="shared" si="5"/>
        <v>21794.942091356745</v>
      </c>
      <c r="V48" s="128">
        <f t="shared" si="11"/>
        <v>0.94925705972808117</v>
      </c>
      <c r="X48" s="54"/>
      <c r="Y48" s="56"/>
      <c r="AA48" s="2"/>
      <c r="AB48" s="2"/>
      <c r="AC48" s="132" t="str">
        <f t="shared" si="6"/>
        <v/>
      </c>
    </row>
    <row r="49" spans="1:29" ht="15.75">
      <c r="A49" s="29" t="s">
        <v>146</v>
      </c>
      <c r="B49" s="3" t="s">
        <v>147</v>
      </c>
      <c r="C49" s="3" t="s">
        <v>133</v>
      </c>
      <c r="D49" s="3" t="s">
        <v>148</v>
      </c>
      <c r="E49" s="3" t="str">
        <f t="shared" si="0"/>
        <v>Direct</v>
      </c>
      <c r="F49" s="3" t="s">
        <v>121</v>
      </c>
      <c r="G49" s="3">
        <v>12</v>
      </c>
      <c r="H49" s="28">
        <f>G49*220</f>
        <v>2640</v>
      </c>
      <c r="I49" s="82" t="b">
        <v>1</v>
      </c>
      <c r="J49" s="116">
        <f t="shared" si="10"/>
        <v>1.8099999999999998</v>
      </c>
      <c r="K49" s="117">
        <v>4778.3999999999996</v>
      </c>
      <c r="L49" s="22">
        <v>380</v>
      </c>
      <c r="M49" s="22"/>
      <c r="N49" s="22"/>
      <c r="O49" s="22"/>
      <c r="P49" s="23"/>
      <c r="Q49" s="23"/>
      <c r="R49" s="23"/>
      <c r="S49" s="23"/>
      <c r="T49" s="23"/>
      <c r="U49" s="19">
        <f t="shared" ref="U49:U112" si="12">IF(B49="","",K49+SUM(L49:Q49))</f>
        <v>5158.3999999999996</v>
      </c>
      <c r="V49" s="128">
        <f t="shared" si="11"/>
        <v>1.9539393939393939</v>
      </c>
      <c r="X49" s="54"/>
      <c r="Y49" s="56"/>
      <c r="AA49" s="2"/>
      <c r="AB49" s="2"/>
      <c r="AC49" s="132" t="str">
        <f t="shared" si="6"/>
        <v/>
      </c>
    </row>
    <row r="50" spans="1:29" ht="15.75">
      <c r="A50" s="29" t="s">
        <v>149</v>
      </c>
      <c r="B50" s="3" t="s">
        <v>143</v>
      </c>
      <c r="C50" s="9" t="s">
        <v>119</v>
      </c>
      <c r="D50" s="3" t="s">
        <v>150</v>
      </c>
      <c r="E50" s="3" t="str">
        <f t="shared" si="0"/>
        <v>Direct</v>
      </c>
      <c r="F50" s="10" t="s">
        <v>121</v>
      </c>
      <c r="G50" s="1">
        <v>110</v>
      </c>
      <c r="H50" s="27">
        <v>1100</v>
      </c>
      <c r="I50" s="82" t="b">
        <v>1</v>
      </c>
      <c r="J50" s="116">
        <f t="shared" si="10"/>
        <v>1.085</v>
      </c>
      <c r="K50" s="117">
        <v>1193.5</v>
      </c>
      <c r="L50" s="22">
        <v>480</v>
      </c>
      <c r="M50" s="22"/>
      <c r="N50" s="22"/>
      <c r="O50" s="22"/>
      <c r="P50" s="23"/>
      <c r="Q50" s="23"/>
      <c r="R50" s="23"/>
      <c r="S50" s="23"/>
      <c r="T50" s="23"/>
      <c r="U50" s="19">
        <f t="shared" si="12"/>
        <v>1673.5</v>
      </c>
      <c r="V50" s="128">
        <f t="shared" si="11"/>
        <v>1.5213636363636365</v>
      </c>
      <c r="X50" s="54"/>
      <c r="Y50" s="56"/>
      <c r="AA50" s="2"/>
      <c r="AB50" s="2"/>
      <c r="AC50" s="132" t="str">
        <f t="shared" si="6"/>
        <v/>
      </c>
    </row>
    <row r="51" spans="1:29" ht="15.75">
      <c r="A51" s="29" t="s">
        <v>151</v>
      </c>
      <c r="B51" s="3" t="s">
        <v>143</v>
      </c>
      <c r="C51" s="9" t="s">
        <v>119</v>
      </c>
      <c r="D51" s="3" t="s">
        <v>144</v>
      </c>
      <c r="E51" s="3" t="str">
        <f t="shared" si="0"/>
        <v>Direct</v>
      </c>
      <c r="F51" s="10" t="s">
        <v>121</v>
      </c>
      <c r="G51" s="1">
        <v>110</v>
      </c>
      <c r="H51" s="27">
        <v>1100</v>
      </c>
      <c r="I51" s="82" t="b">
        <v>1</v>
      </c>
      <c r="J51" s="116">
        <f t="shared" si="10"/>
        <v>1.085</v>
      </c>
      <c r="K51" s="117">
        <v>1193.5</v>
      </c>
      <c r="L51" s="22">
        <v>485</v>
      </c>
      <c r="M51" s="22"/>
      <c r="N51" s="22"/>
      <c r="O51" s="22"/>
      <c r="P51" s="23"/>
      <c r="Q51" s="23"/>
      <c r="R51" s="23"/>
      <c r="S51" s="23"/>
      <c r="T51" s="23"/>
      <c r="U51" s="19">
        <f t="shared" si="12"/>
        <v>1678.5</v>
      </c>
      <c r="V51" s="128">
        <f t="shared" si="11"/>
        <v>1.5259090909090909</v>
      </c>
      <c r="X51" s="54"/>
      <c r="Y51" s="56"/>
      <c r="AA51" s="2"/>
      <c r="AB51" s="2"/>
      <c r="AC51" s="132" t="str">
        <f t="shared" si="6"/>
        <v/>
      </c>
    </row>
    <row r="52" spans="1:29" ht="15.75">
      <c r="A52" s="29" t="s">
        <v>152</v>
      </c>
      <c r="B52" s="3" t="s">
        <v>125</v>
      </c>
      <c r="C52" s="3" t="s">
        <v>126</v>
      </c>
      <c r="D52" s="3" t="s">
        <v>127</v>
      </c>
      <c r="E52" s="3" t="str">
        <f>IF(B52="","",IF(D52="Godfroy","Godfroy",(IF(LEFT(B52,1)="1","Hiwa","Direct"))))</f>
        <v>Direct</v>
      </c>
      <c r="F52" s="3" t="s">
        <v>128</v>
      </c>
      <c r="G52" s="3">
        <v>4</v>
      </c>
      <c r="H52" s="28">
        <v>880</v>
      </c>
      <c r="I52" s="82" t="b">
        <v>1</v>
      </c>
      <c r="J52" s="116">
        <f t="shared" si="10"/>
        <v>0.92999999999999994</v>
      </c>
      <c r="K52" s="117">
        <v>818.4</v>
      </c>
      <c r="L52" s="22">
        <v>197.29</v>
      </c>
      <c r="M52" s="22"/>
      <c r="N52" s="22"/>
      <c r="O52" s="22"/>
      <c r="P52" s="23"/>
      <c r="Q52" s="23"/>
      <c r="R52" s="23"/>
      <c r="S52" s="23"/>
      <c r="T52" s="23"/>
      <c r="U52" s="19">
        <f t="shared" si="12"/>
        <v>1015.6899999999999</v>
      </c>
      <c r="V52" s="128">
        <f t="shared" si="11"/>
        <v>1.1541931818181816</v>
      </c>
      <c r="X52" s="54"/>
      <c r="Y52" s="56"/>
      <c r="AA52" s="2"/>
      <c r="AB52" s="2"/>
      <c r="AC52" s="132" t="str">
        <f t="shared" si="6"/>
        <v/>
      </c>
    </row>
    <row r="53" spans="1:29" ht="15.75">
      <c r="A53" s="29" t="s">
        <v>154</v>
      </c>
      <c r="B53" s="3" t="s">
        <v>89</v>
      </c>
      <c r="C53" s="9" t="s">
        <v>90</v>
      </c>
      <c r="D53" s="3" t="s">
        <v>30</v>
      </c>
      <c r="E53" s="3" t="str">
        <f t="shared" ref="E53" si="13">IF(B53="","",IF(D53="Godfroy","Godfroy",(IF(LEFT(B53,1)="1","Hiwa","Direct"))))</f>
        <v>Hiwa</v>
      </c>
      <c r="F53" s="10" t="s">
        <v>59</v>
      </c>
      <c r="G53" s="1">
        <v>512</v>
      </c>
      <c r="H53" s="27">
        <f>G53*205</f>
        <v>104960</v>
      </c>
      <c r="I53" s="82" t="b">
        <v>1</v>
      </c>
      <c r="J53" s="116">
        <f t="shared" si="10"/>
        <v>0.6457739791073126</v>
      </c>
      <c r="K53" s="117">
        <f>71372.8/1.053</f>
        <v>67780.436847103527</v>
      </c>
      <c r="L53" s="22">
        <f>6184/1.037</f>
        <v>5963.3558341369335</v>
      </c>
      <c r="M53" s="22">
        <f>2116.54+2116.54+4233.08</f>
        <v>8466.16</v>
      </c>
      <c r="N53" s="22"/>
      <c r="O53" s="22">
        <v>5051.28</v>
      </c>
      <c r="P53" s="23">
        <f>125.31+48.95+125.31+48.95+47.97+47.97+47.97</f>
        <v>492.43000000000006</v>
      </c>
      <c r="Q53" s="23">
        <f>(4.95*4)+1.85+1.78</f>
        <v>23.430000000000003</v>
      </c>
      <c r="R53" s="23">
        <f>57.04+(2*57.04)+114.08+57.04+57.04+57.04</f>
        <v>456.32000000000005</v>
      </c>
      <c r="S53" s="23"/>
      <c r="T53" s="23"/>
      <c r="U53" s="19">
        <f>IF(B53="","",K53+SUM(L53:Q53))</f>
        <v>87777.092681240465</v>
      </c>
      <c r="V53" s="128">
        <f>IF(J53="","",+U53/H53)</f>
        <v>0.83629089825876968</v>
      </c>
      <c r="X53" s="80" t="s">
        <v>155</v>
      </c>
      <c r="Y53" s="72">
        <v>45719</v>
      </c>
      <c r="AA53" s="2"/>
      <c r="AB53" s="2"/>
      <c r="AC53" s="132" t="str">
        <f t="shared" si="6"/>
        <v/>
      </c>
    </row>
    <row r="54" spans="1:29" ht="15.75">
      <c r="A54" s="29" t="s">
        <v>156</v>
      </c>
      <c r="B54" s="3" t="s">
        <v>157</v>
      </c>
      <c r="C54" s="3" t="s">
        <v>126</v>
      </c>
      <c r="D54" s="3" t="s">
        <v>158</v>
      </c>
      <c r="E54" s="3" t="str">
        <f>IF(B54="","",IF(D54="Godfroy","Godfroy",(IF(LEFT(B54,1)="1","Hiwa","Direct"))))</f>
        <v>Direct</v>
      </c>
      <c r="F54" s="3" t="s">
        <v>128</v>
      </c>
      <c r="G54" s="3">
        <v>24</v>
      </c>
      <c r="H54" s="28">
        <f>G54*21</f>
        <v>504</v>
      </c>
      <c r="I54" s="82" t="b">
        <v>1</v>
      </c>
      <c r="J54" s="116">
        <f t="shared" si="10"/>
        <v>1</v>
      </c>
      <c r="K54" s="117">
        <v>504</v>
      </c>
      <c r="L54" s="22">
        <v>270</v>
      </c>
      <c r="M54" s="22"/>
      <c r="N54" s="22"/>
      <c r="O54" s="22"/>
      <c r="P54" s="23"/>
      <c r="Q54" s="23"/>
      <c r="R54" s="23"/>
      <c r="S54" s="23"/>
      <c r="T54" s="23"/>
      <c r="U54" s="19">
        <f t="shared" si="12"/>
        <v>774</v>
      </c>
      <c r="V54" s="128">
        <f t="shared" si="11"/>
        <v>1.5357142857142858</v>
      </c>
      <c r="X54" s="54"/>
      <c r="Y54" s="56"/>
      <c r="AA54" s="2"/>
      <c r="AB54" s="2"/>
      <c r="AC54" s="132" t="str">
        <f t="shared" si="6"/>
        <v/>
      </c>
    </row>
    <row r="55" spans="1:29" ht="15.75">
      <c r="A55" s="29" t="s">
        <v>159</v>
      </c>
      <c r="B55" s="3" t="s">
        <v>157</v>
      </c>
      <c r="C55" s="3" t="s">
        <v>126</v>
      </c>
      <c r="D55" s="3" t="s">
        <v>158</v>
      </c>
      <c r="E55" s="3" t="str">
        <f>IF(B55="","",IF(D55="Godfroy","Godfroy",(IF(LEFT(B55,1)="1","Hiwa","Direct"))))</f>
        <v>Direct</v>
      </c>
      <c r="F55" s="3" t="s">
        <v>128</v>
      </c>
      <c r="G55" s="3">
        <v>24</v>
      </c>
      <c r="H55" s="28">
        <f>G55*21</f>
        <v>504</v>
      </c>
      <c r="I55" s="82" t="b">
        <v>1</v>
      </c>
      <c r="J55" s="116">
        <f t="shared" si="10"/>
        <v>1</v>
      </c>
      <c r="K55" s="117">
        <v>504</v>
      </c>
      <c r="L55" s="22">
        <v>265</v>
      </c>
      <c r="M55" s="22"/>
      <c r="N55" s="22"/>
      <c r="O55" s="22"/>
      <c r="P55" s="23"/>
      <c r="Q55" s="23"/>
      <c r="R55" s="23"/>
      <c r="S55" s="23"/>
      <c r="T55" s="23"/>
      <c r="U55" s="19">
        <f t="shared" si="12"/>
        <v>769</v>
      </c>
      <c r="V55" s="128">
        <f t="shared" si="11"/>
        <v>1.5257936507936507</v>
      </c>
      <c r="X55" s="54"/>
      <c r="Y55" s="56"/>
      <c r="AA55" s="2"/>
      <c r="AB55" s="2"/>
      <c r="AC55" s="132" t="str">
        <f t="shared" si="6"/>
        <v/>
      </c>
    </row>
    <row r="56" spans="1:29" ht="15.75">
      <c r="A56" s="29" t="s">
        <v>160</v>
      </c>
      <c r="B56" s="3" t="s">
        <v>103</v>
      </c>
      <c r="C56" s="9" t="s">
        <v>62</v>
      </c>
      <c r="D56" s="3" t="s">
        <v>104</v>
      </c>
      <c r="E56" s="3" t="str">
        <f t="shared" ref="E56:E60" si="14">IF(B56="","",IF(D56="Godfroy","Godfroy",(IF(LEFT(B56,1)="1","Hiwa","Direct"))))</f>
        <v>Direct</v>
      </c>
      <c r="F56" s="10" t="s">
        <v>31</v>
      </c>
      <c r="G56" s="1">
        <f>3*112</f>
        <v>336</v>
      </c>
      <c r="H56" s="27">
        <f>G56*210</f>
        <v>70560</v>
      </c>
      <c r="I56" s="82" t="b">
        <v>1</v>
      </c>
      <c r="J56" s="116">
        <f t="shared" si="10"/>
        <v>1.3009999999999999</v>
      </c>
      <c r="K56" s="117">
        <v>91798.56</v>
      </c>
      <c r="L56" s="22">
        <v>0</v>
      </c>
      <c r="M56" s="22">
        <f>(2*34.69)+(2*63.45)</f>
        <v>196.28</v>
      </c>
      <c r="N56" s="22"/>
      <c r="O56" s="22"/>
      <c r="P56" s="23"/>
      <c r="Q56" s="23"/>
      <c r="R56" s="23"/>
      <c r="S56" s="23"/>
      <c r="T56" s="23"/>
      <c r="U56" s="19">
        <f t="shared" si="12"/>
        <v>91994.84</v>
      </c>
      <c r="V56" s="128">
        <f t="shared" si="11"/>
        <v>1.303781746031746</v>
      </c>
      <c r="X56" s="80" t="s">
        <v>162</v>
      </c>
      <c r="Y56" s="72">
        <v>45762</v>
      </c>
      <c r="AA56" s="2"/>
      <c r="AB56" s="2"/>
      <c r="AC56" s="132" t="str">
        <f t="shared" si="6"/>
        <v/>
      </c>
    </row>
    <row r="57" spans="1:29" ht="15.75">
      <c r="A57" s="29" t="s">
        <v>163</v>
      </c>
      <c r="B57" s="3" t="s">
        <v>106</v>
      </c>
      <c r="C57" s="3" t="s">
        <v>62</v>
      </c>
      <c r="D57" s="3" t="s">
        <v>104</v>
      </c>
      <c r="E57" s="3" t="str">
        <f t="shared" si="14"/>
        <v>Direct</v>
      </c>
      <c r="F57" s="3" t="s">
        <v>31</v>
      </c>
      <c r="G57" s="3">
        <f>5*112</f>
        <v>560</v>
      </c>
      <c r="H57" s="28">
        <f>G57*210</f>
        <v>117600</v>
      </c>
      <c r="I57" s="82" t="b">
        <v>1</v>
      </c>
      <c r="J57" s="116">
        <f t="shared" si="10"/>
        <v>1.34</v>
      </c>
      <c r="K57" s="117">
        <v>157584</v>
      </c>
      <c r="L57" s="22">
        <v>0</v>
      </c>
      <c r="M57" s="22">
        <f>(3*34.69)+(3*63.45)</f>
        <v>294.42</v>
      </c>
      <c r="N57" s="22"/>
      <c r="O57" s="22"/>
      <c r="P57" s="23"/>
      <c r="Q57" s="23"/>
      <c r="R57" s="23">
        <f>57.14+57.14</f>
        <v>114.28</v>
      </c>
      <c r="S57" s="23"/>
      <c r="T57" s="23"/>
      <c r="U57" s="19">
        <f t="shared" si="12"/>
        <v>157878.42000000001</v>
      </c>
      <c r="V57" s="128">
        <f t="shared" si="11"/>
        <v>1.3425035714285716</v>
      </c>
      <c r="X57" s="80" t="s">
        <v>164</v>
      </c>
      <c r="Y57" s="72">
        <v>45762</v>
      </c>
      <c r="AA57" s="2"/>
      <c r="AB57" s="2"/>
      <c r="AC57" s="132" t="str">
        <f t="shared" si="6"/>
        <v/>
      </c>
    </row>
    <row r="58" spans="1:29" ht="15.75">
      <c r="A58" s="29" t="s">
        <v>165</v>
      </c>
      <c r="B58" s="3" t="s">
        <v>86</v>
      </c>
      <c r="C58" s="3" t="s">
        <v>80</v>
      </c>
      <c r="D58" s="13" t="s">
        <v>87</v>
      </c>
      <c r="E58" s="3" t="str">
        <f t="shared" si="14"/>
        <v>Direct</v>
      </c>
      <c r="F58" s="3" t="s">
        <v>46</v>
      </c>
      <c r="G58" s="3">
        <v>112</v>
      </c>
      <c r="H58" s="28">
        <v>24080</v>
      </c>
      <c r="I58" s="82" t="b">
        <v>1</v>
      </c>
      <c r="J58" s="116">
        <f t="shared" si="10"/>
        <v>1.5890613451589062</v>
      </c>
      <c r="K58" s="117">
        <f>41417.6/1.0824</f>
        <v>38264.597191426459</v>
      </c>
      <c r="L58" s="22"/>
      <c r="M58" s="22"/>
      <c r="N58" s="22"/>
      <c r="O58" s="22"/>
      <c r="P58" s="23"/>
      <c r="Q58" s="23"/>
      <c r="R58" s="23"/>
      <c r="S58" s="23"/>
      <c r="T58" s="23"/>
      <c r="U58" s="19">
        <f t="shared" si="12"/>
        <v>38264.597191426459</v>
      </c>
      <c r="V58" s="128">
        <f t="shared" si="11"/>
        <v>1.5890613451589062</v>
      </c>
      <c r="X58" s="54"/>
      <c r="Y58" s="56"/>
      <c r="AA58" s="2"/>
      <c r="AB58" s="2"/>
      <c r="AC58" s="132" t="str">
        <f t="shared" si="6"/>
        <v/>
      </c>
    </row>
    <row r="59" spans="1:29" ht="15.75">
      <c r="A59" s="29" t="s">
        <v>166</v>
      </c>
      <c r="B59" s="3" t="s">
        <v>89</v>
      </c>
      <c r="C59" s="9" t="s">
        <v>90</v>
      </c>
      <c r="D59" s="3" t="s">
        <v>30</v>
      </c>
      <c r="E59" s="3" t="str">
        <f t="shared" si="14"/>
        <v>Hiwa</v>
      </c>
      <c r="F59" s="10" t="s">
        <v>59</v>
      </c>
      <c r="G59" s="1">
        <v>512</v>
      </c>
      <c r="H59" s="27">
        <f>G59*205</f>
        <v>104960</v>
      </c>
      <c r="I59" s="82" t="b">
        <v>1</v>
      </c>
      <c r="J59" s="116">
        <f t="shared" si="10"/>
        <v>0.6509045659040873</v>
      </c>
      <c r="K59" s="117">
        <f>71372.8/1.0447</f>
        <v>68318.943237293002</v>
      </c>
      <c r="L59" s="22">
        <f>6184/1.0845</f>
        <v>5702.1668971876443</v>
      </c>
      <c r="M59" s="22">
        <f>6087.93+(1876.65+63.45)</f>
        <v>8028.0300000000007</v>
      </c>
      <c r="N59" s="22"/>
      <c r="O59" s="22">
        <v>4996.12</v>
      </c>
      <c r="P59" s="23">
        <f>125.31+125.31</f>
        <v>250.62</v>
      </c>
      <c r="Q59" s="23">
        <f>4.73+4.73+4.73+4.73+4.66</f>
        <v>23.580000000000002</v>
      </c>
      <c r="R59" s="23">
        <f>(57.04*3)+57.04</f>
        <v>228.16</v>
      </c>
      <c r="S59" s="23"/>
      <c r="T59" s="23"/>
      <c r="U59" s="19">
        <f t="shared" si="12"/>
        <v>87319.460134480643</v>
      </c>
      <c r="V59" s="128">
        <f t="shared" si="11"/>
        <v>0.83193083207393903</v>
      </c>
      <c r="X59" s="80" t="s">
        <v>167</v>
      </c>
      <c r="Y59" s="72">
        <v>45750</v>
      </c>
      <c r="AA59" s="2"/>
      <c r="AB59" s="2"/>
      <c r="AC59" s="132" t="str">
        <f t="shared" si="6"/>
        <v/>
      </c>
    </row>
    <row r="60" spans="1:29" ht="15.75">
      <c r="A60" s="29" t="s">
        <v>168</v>
      </c>
      <c r="B60" s="3" t="s">
        <v>89</v>
      </c>
      <c r="C60" s="9" t="s">
        <v>90</v>
      </c>
      <c r="D60" s="3" t="s">
        <v>30</v>
      </c>
      <c r="E60" s="3" t="str">
        <f t="shared" si="14"/>
        <v>Hiwa</v>
      </c>
      <c r="F60" s="10" t="s">
        <v>59</v>
      </c>
      <c r="G60" s="1">
        <v>256</v>
      </c>
      <c r="H60" s="27">
        <f>G60*205</f>
        <v>52480</v>
      </c>
      <c r="I60" s="82" t="b">
        <v>1</v>
      </c>
      <c r="J60" s="116">
        <f t="shared" si="10"/>
        <v>0.64972291228740686</v>
      </c>
      <c r="K60" s="117">
        <f>35686.4/1.0466</f>
        <v>34097.45843684311</v>
      </c>
      <c r="L60" s="22">
        <f>3092/1.0845</f>
        <v>2851.0834485938221</v>
      </c>
      <c r="M60" s="22">
        <f>2*(1876.65+63.45)</f>
        <v>3880.2000000000003</v>
      </c>
      <c r="N60" s="22"/>
      <c r="O60" s="22">
        <v>2573.06</v>
      </c>
      <c r="P60" s="23">
        <f>125.31+125.31+125.31+125.31</f>
        <v>501.24</v>
      </c>
      <c r="Q60" s="23">
        <f>4.73+4.73+4.66+4.66</f>
        <v>18.78</v>
      </c>
      <c r="R60" s="23">
        <f>57.04+57.04</f>
        <v>114.08</v>
      </c>
      <c r="S60" s="23"/>
      <c r="T60" s="23"/>
      <c r="U60" s="19">
        <f t="shared" si="12"/>
        <v>43921.821885436933</v>
      </c>
      <c r="V60" s="128">
        <f t="shared" si="11"/>
        <v>0.83692495970725866</v>
      </c>
      <c r="X60" s="80" t="s">
        <v>169</v>
      </c>
      <c r="Y60" s="72">
        <v>45750</v>
      </c>
      <c r="AA60" s="2"/>
      <c r="AB60" s="2"/>
      <c r="AC60" s="132" t="str">
        <f t="shared" si="6"/>
        <v/>
      </c>
    </row>
    <row r="61" spans="1:29" ht="15.75">
      <c r="A61" s="29" t="s">
        <v>170</v>
      </c>
      <c r="B61" s="3" t="s">
        <v>171</v>
      </c>
      <c r="C61" s="3" t="s">
        <v>34</v>
      </c>
      <c r="D61" s="3" t="s">
        <v>172</v>
      </c>
      <c r="E61" s="3" t="s">
        <v>173</v>
      </c>
      <c r="F61" s="3" t="s">
        <v>36</v>
      </c>
      <c r="G61" s="3">
        <v>10</v>
      </c>
      <c r="H61" s="28">
        <v>250</v>
      </c>
      <c r="I61" s="82" t="b">
        <v>1</v>
      </c>
      <c r="J61" s="116">
        <f t="shared" si="10"/>
        <v>12.13</v>
      </c>
      <c r="K61" s="117">
        <v>3032.5</v>
      </c>
      <c r="L61" s="22">
        <f>180+(180*9%)</f>
        <v>196.2</v>
      </c>
      <c r="M61" s="22"/>
      <c r="N61" s="22"/>
      <c r="O61" s="22"/>
      <c r="P61" s="23"/>
      <c r="Q61" s="23"/>
      <c r="R61" s="23"/>
      <c r="S61" s="23"/>
      <c r="T61" s="23"/>
      <c r="U61" s="19">
        <f t="shared" si="12"/>
        <v>3228.7</v>
      </c>
      <c r="V61" s="128">
        <f t="shared" si="11"/>
        <v>12.9148</v>
      </c>
      <c r="X61" s="54"/>
      <c r="Y61" s="56"/>
      <c r="AA61" s="2"/>
      <c r="AB61" s="2"/>
      <c r="AC61" s="132" t="str">
        <f t="shared" si="6"/>
        <v/>
      </c>
    </row>
    <row r="62" spans="1:29" ht="15.75">
      <c r="A62" s="29" t="s">
        <v>174</v>
      </c>
      <c r="B62" s="3" t="s">
        <v>175</v>
      </c>
      <c r="C62" s="9" t="s">
        <v>176</v>
      </c>
      <c r="D62" s="3" t="s">
        <v>177</v>
      </c>
      <c r="E62" s="3" t="str">
        <f t="shared" ref="E62:E76" si="15">IF(B62="","",IF(D62="Godfroy","Godfroy",(IF(LEFT(B62,1)="1","Hiwa","Direct"))))</f>
        <v>Direct</v>
      </c>
      <c r="F62" s="10" t="s">
        <v>128</v>
      </c>
      <c r="G62" s="1">
        <v>14</v>
      </c>
      <c r="H62" s="27">
        <f>G62*24</f>
        <v>336</v>
      </c>
      <c r="I62" s="82" t="b">
        <v>1</v>
      </c>
      <c r="J62" s="116">
        <f>IF(H62="","",+K62/H62)</f>
        <v>2.2000000000000002</v>
      </c>
      <c r="K62" s="117">
        <v>739.2</v>
      </c>
      <c r="L62" s="22">
        <f>560*(14/(10+14))</f>
        <v>326.66666666666669</v>
      </c>
      <c r="M62" s="22"/>
      <c r="N62" s="22"/>
      <c r="O62" s="22"/>
      <c r="P62" s="23"/>
      <c r="Q62" s="23"/>
      <c r="R62" s="23"/>
      <c r="S62" s="23"/>
      <c r="T62" s="23"/>
      <c r="U62" s="19">
        <f>IF(B62="","",K62+SUM(L62:Q62))</f>
        <v>1065.8666666666668</v>
      </c>
      <c r="V62" s="128">
        <f>IF(J62="","",+U62/H62)</f>
        <v>3.1722222222222225</v>
      </c>
      <c r="X62" s="54"/>
      <c r="Y62" s="56"/>
      <c r="AA62" s="2"/>
      <c r="AB62" s="2"/>
      <c r="AC62" s="132" t="str">
        <f t="shared" si="6"/>
        <v/>
      </c>
    </row>
    <row r="63" spans="1:29" ht="15.75">
      <c r="A63" s="29" t="s">
        <v>178</v>
      </c>
      <c r="B63" s="3" t="s">
        <v>179</v>
      </c>
      <c r="C63" s="9" t="s">
        <v>176</v>
      </c>
      <c r="D63" s="3" t="s">
        <v>177</v>
      </c>
      <c r="E63" s="3" t="str">
        <f t="shared" si="15"/>
        <v>Direct</v>
      </c>
      <c r="F63" s="10" t="s">
        <v>128</v>
      </c>
      <c r="G63" s="1">
        <v>10</v>
      </c>
      <c r="H63" s="27">
        <f>G63*24</f>
        <v>240</v>
      </c>
      <c r="I63" s="82" t="b">
        <v>1</v>
      </c>
      <c r="J63" s="116">
        <f>IF(H63="","",+K63/H63)</f>
        <v>2.8</v>
      </c>
      <c r="K63" s="117">
        <v>672</v>
      </c>
      <c r="L63" s="22">
        <f>560*(10/(10+14))</f>
        <v>233.33333333333334</v>
      </c>
      <c r="M63" s="22"/>
      <c r="N63" s="22"/>
      <c r="O63" s="22"/>
      <c r="P63" s="23"/>
      <c r="Q63" s="23"/>
      <c r="R63" s="23"/>
      <c r="S63" s="23"/>
      <c r="T63" s="23"/>
      <c r="U63" s="19">
        <f>IF(B63="","",K63+SUM(L63:Q63))</f>
        <v>905.33333333333337</v>
      </c>
      <c r="V63" s="128">
        <f>IF(J63="","",+U63/H63)</f>
        <v>3.7722222222222226</v>
      </c>
      <c r="X63" s="54"/>
      <c r="Y63" s="56"/>
      <c r="AA63" s="2"/>
      <c r="AB63" s="2"/>
      <c r="AC63" s="132" t="str">
        <f t="shared" si="6"/>
        <v/>
      </c>
    </row>
    <row r="64" spans="1:29" ht="15.75">
      <c r="A64" s="29" t="s">
        <v>180</v>
      </c>
      <c r="B64" s="3" t="s">
        <v>103</v>
      </c>
      <c r="C64" s="9" t="s">
        <v>62</v>
      </c>
      <c r="D64" s="3" t="s">
        <v>177</v>
      </c>
      <c r="E64" s="3" t="str">
        <f t="shared" si="15"/>
        <v>Direct</v>
      </c>
      <c r="F64" s="10" t="s">
        <v>46</v>
      </c>
      <c r="G64" s="1">
        <v>112</v>
      </c>
      <c r="H64" s="27">
        <f>G64*210</f>
        <v>23520</v>
      </c>
      <c r="I64" s="82" t="b">
        <v>1</v>
      </c>
      <c r="J64" s="116">
        <f>IF(H64="","",+K64/H64)</f>
        <v>1.35</v>
      </c>
      <c r="K64" s="117">
        <v>31752</v>
      </c>
      <c r="L64" s="22">
        <v>2028.25</v>
      </c>
      <c r="M64" s="22">
        <v>90</v>
      </c>
      <c r="N64" s="22">
        <f>355+653</f>
        <v>1008</v>
      </c>
      <c r="O64" s="22"/>
      <c r="P64" s="23"/>
      <c r="Q64" s="23"/>
      <c r="R64" s="23"/>
      <c r="S64" s="23"/>
      <c r="T64" s="23"/>
      <c r="U64" s="19">
        <f>IF(B64="","",K64+SUM(L64:Q64))</f>
        <v>34878.25</v>
      </c>
      <c r="V64" s="128">
        <f>IF(J64="","",+U64/H64)</f>
        <v>1.4829187925170069</v>
      </c>
      <c r="X64" s="54"/>
      <c r="Y64" s="56"/>
      <c r="AA64" s="2"/>
      <c r="AB64" s="2"/>
      <c r="AC64" s="132" t="str">
        <f t="shared" si="6"/>
        <v/>
      </c>
    </row>
    <row r="65" spans="1:29" ht="15.75">
      <c r="A65" s="29" t="s">
        <v>181</v>
      </c>
      <c r="B65" s="3" t="s">
        <v>143</v>
      </c>
      <c r="C65" s="9" t="s">
        <v>119</v>
      </c>
      <c r="D65" s="3" t="s">
        <v>144</v>
      </c>
      <c r="E65" s="3" t="str">
        <f t="shared" si="15"/>
        <v>Direct</v>
      </c>
      <c r="F65" s="10" t="s">
        <v>121</v>
      </c>
      <c r="G65" s="1">
        <v>110</v>
      </c>
      <c r="H65" s="27">
        <v>1100</v>
      </c>
      <c r="I65" s="82" t="b">
        <v>1</v>
      </c>
      <c r="J65" s="116">
        <f t="shared" si="10"/>
        <v>1.085</v>
      </c>
      <c r="K65" s="117">
        <v>1193.5</v>
      </c>
      <c r="L65" s="22">
        <v>485</v>
      </c>
      <c r="M65" s="22"/>
      <c r="N65" s="22"/>
      <c r="O65" s="22"/>
      <c r="P65" s="23"/>
      <c r="Q65" s="23"/>
      <c r="R65" s="23"/>
      <c r="S65" s="23"/>
      <c r="T65" s="23"/>
      <c r="U65" s="19">
        <f t="shared" si="12"/>
        <v>1678.5</v>
      </c>
      <c r="V65" s="128">
        <f t="shared" si="11"/>
        <v>1.5259090909090909</v>
      </c>
      <c r="X65" s="54"/>
      <c r="Y65" s="56"/>
      <c r="AA65" s="2"/>
      <c r="AB65" s="2"/>
      <c r="AC65" s="132" t="str">
        <f t="shared" si="6"/>
        <v/>
      </c>
    </row>
    <row r="66" spans="1:29" ht="15.75">
      <c r="A66" s="29" t="s">
        <v>182</v>
      </c>
      <c r="B66" s="3" t="s">
        <v>183</v>
      </c>
      <c r="C66" s="3" t="s">
        <v>119</v>
      </c>
      <c r="D66" s="13" t="s">
        <v>184</v>
      </c>
      <c r="E66" s="3" t="str">
        <f t="shared" si="15"/>
        <v>Direct</v>
      </c>
      <c r="F66" s="3" t="s">
        <v>121</v>
      </c>
      <c r="G66" s="3">
        <v>4</v>
      </c>
      <c r="H66" s="28">
        <v>840</v>
      </c>
      <c r="I66" s="82" t="b">
        <v>1</v>
      </c>
      <c r="J66" s="116">
        <f t="shared" si="10"/>
        <v>2.1</v>
      </c>
      <c r="K66" s="117">
        <v>1764</v>
      </c>
      <c r="L66" s="22">
        <v>342.43</v>
      </c>
      <c r="M66" s="22"/>
      <c r="N66" s="22"/>
      <c r="O66" s="22"/>
      <c r="P66" s="23"/>
      <c r="Q66" s="23"/>
      <c r="R66" s="23"/>
      <c r="S66" s="23"/>
      <c r="T66" s="23"/>
      <c r="U66" s="19">
        <f t="shared" si="12"/>
        <v>2106.4299999999998</v>
      </c>
      <c r="V66" s="128">
        <f t="shared" si="11"/>
        <v>2.5076547619047616</v>
      </c>
      <c r="X66" s="54"/>
      <c r="Y66" s="56"/>
      <c r="AA66" s="2"/>
      <c r="AB66" s="2"/>
      <c r="AC66" s="132" t="str">
        <f t="shared" si="6"/>
        <v/>
      </c>
    </row>
    <row r="67" spans="1:29" s="98" customFormat="1" ht="15.75">
      <c r="A67" s="84" t="s">
        <v>185</v>
      </c>
      <c r="B67" s="85" t="s">
        <v>186</v>
      </c>
      <c r="C67" s="86" t="s">
        <v>29</v>
      </c>
      <c r="D67" s="87" t="s">
        <v>97</v>
      </c>
      <c r="E67" s="85" t="str">
        <f t="shared" si="15"/>
        <v>Direct</v>
      </c>
      <c r="F67" s="88" t="s">
        <v>46</v>
      </c>
      <c r="G67" s="89">
        <v>80</v>
      </c>
      <c r="H67" s="90">
        <f>G67*215</f>
        <v>17200</v>
      </c>
      <c r="I67" s="91" t="b">
        <v>0</v>
      </c>
      <c r="J67" s="120">
        <f t="shared" si="10"/>
        <v>0</v>
      </c>
      <c r="K67" s="121"/>
      <c r="L67" s="94"/>
      <c r="M67" s="94"/>
      <c r="N67" s="94"/>
      <c r="O67" s="94"/>
      <c r="P67" s="95"/>
      <c r="Q67" s="95"/>
      <c r="R67" s="95"/>
      <c r="S67" s="95"/>
      <c r="T67" s="95"/>
      <c r="U67" s="96">
        <f t="shared" si="12"/>
        <v>0</v>
      </c>
      <c r="V67" s="129">
        <f t="shared" si="11"/>
        <v>0</v>
      </c>
      <c r="X67" s="99"/>
      <c r="Y67" s="100"/>
      <c r="AA67" s="101"/>
      <c r="AB67" s="101"/>
      <c r="AC67" s="133" t="str">
        <f t="shared" si="6"/>
        <v/>
      </c>
    </row>
    <row r="68" spans="1:29" ht="15.75">
      <c r="A68" s="29" t="s">
        <v>187</v>
      </c>
      <c r="B68" s="3" t="s">
        <v>186</v>
      </c>
      <c r="C68" s="9" t="s">
        <v>29</v>
      </c>
      <c r="D68" s="3" t="s">
        <v>188</v>
      </c>
      <c r="E68" s="3" t="str">
        <f t="shared" si="15"/>
        <v>Direct</v>
      </c>
      <c r="F68" s="3" t="s">
        <v>46</v>
      </c>
      <c r="G68" s="3">
        <v>80</v>
      </c>
      <c r="H68" s="28">
        <v>17200</v>
      </c>
      <c r="I68" s="82" t="b">
        <v>1</v>
      </c>
      <c r="J68" s="116">
        <f t="shared" si="10"/>
        <v>0.94934398419549493</v>
      </c>
      <c r="K68" s="117">
        <f>17684/1.083</f>
        <v>16328.716528162513</v>
      </c>
      <c r="L68" s="22"/>
      <c r="M68" s="22"/>
      <c r="N68" s="22"/>
      <c r="O68" s="22"/>
      <c r="P68" s="23"/>
      <c r="Q68" s="23"/>
      <c r="R68" s="23"/>
      <c r="S68" s="23"/>
      <c r="T68" s="23"/>
      <c r="U68" s="19">
        <f t="shared" si="12"/>
        <v>16328.716528162513</v>
      </c>
      <c r="V68" s="128">
        <f t="shared" si="11"/>
        <v>0.94934398419549493</v>
      </c>
      <c r="X68" s="54"/>
      <c r="Y68" s="56"/>
      <c r="AA68" s="2"/>
      <c r="AB68" s="2"/>
      <c r="AC68" s="132" t="str">
        <f t="shared" si="6"/>
        <v/>
      </c>
    </row>
    <row r="69" spans="1:29" ht="15.75">
      <c r="A69" s="29" t="s">
        <v>189</v>
      </c>
      <c r="B69" s="3" t="s">
        <v>186</v>
      </c>
      <c r="C69" s="9" t="s">
        <v>29</v>
      </c>
      <c r="D69" s="3" t="s">
        <v>188</v>
      </c>
      <c r="E69" s="3" t="str">
        <f t="shared" si="15"/>
        <v>Direct</v>
      </c>
      <c r="F69" s="3" t="s">
        <v>46</v>
      </c>
      <c r="G69" s="3">
        <v>80</v>
      </c>
      <c r="H69" s="28">
        <v>17200</v>
      </c>
      <c r="I69" s="82" t="b">
        <v>1</v>
      </c>
      <c r="J69" s="116">
        <f t="shared" si="10"/>
        <v>0.91080641145154873</v>
      </c>
      <c r="K69" s="117">
        <f>17704/1.1301</f>
        <v>15665.870276966638</v>
      </c>
      <c r="L69" s="106"/>
      <c r="M69" s="22"/>
      <c r="N69" s="22"/>
      <c r="O69" s="22"/>
      <c r="P69" s="23"/>
      <c r="Q69" s="23"/>
      <c r="R69" s="23"/>
      <c r="S69" s="23"/>
      <c r="T69" s="23"/>
      <c r="U69" s="19">
        <f t="shared" si="12"/>
        <v>15665.870276966638</v>
      </c>
      <c r="V69" s="128">
        <f t="shared" si="11"/>
        <v>0.91080641145154873</v>
      </c>
      <c r="X69" s="54"/>
      <c r="Y69" s="56"/>
      <c r="AA69" s="2"/>
      <c r="AB69" s="2"/>
      <c r="AC69" s="132" t="str">
        <f t="shared" si="6"/>
        <v/>
      </c>
    </row>
    <row r="70" spans="1:29" ht="15.75">
      <c r="A70" s="29" t="s">
        <v>190</v>
      </c>
      <c r="B70" s="3" t="s">
        <v>93</v>
      </c>
      <c r="C70" s="3" t="s">
        <v>90</v>
      </c>
      <c r="D70" s="3" t="s">
        <v>104</v>
      </c>
      <c r="E70" s="3" t="str">
        <f t="shared" si="15"/>
        <v>Direct</v>
      </c>
      <c r="F70" s="3" t="s">
        <v>46</v>
      </c>
      <c r="G70" s="3">
        <f>7*128</f>
        <v>896</v>
      </c>
      <c r="H70" s="28">
        <f>G70*205</f>
        <v>183680</v>
      </c>
      <c r="I70" s="82" t="b">
        <v>1</v>
      </c>
      <c r="J70" s="116">
        <f t="shared" si="10"/>
        <v>0.61366550650302254</v>
      </c>
      <c r="K70" s="117">
        <f>123065.6/1.0918</f>
        <v>112718.08023447517</v>
      </c>
      <c r="L70" s="22">
        <v>0</v>
      </c>
      <c r="M70" s="22"/>
      <c r="N70" s="22"/>
      <c r="O70" s="22"/>
      <c r="P70" s="23"/>
      <c r="Q70" s="23"/>
      <c r="R70" s="23"/>
      <c r="S70" s="23"/>
      <c r="T70" s="23"/>
      <c r="U70" s="19">
        <f t="shared" si="12"/>
        <v>112718.08023447517</v>
      </c>
      <c r="V70" s="128">
        <f t="shared" si="11"/>
        <v>0.61366550650302254</v>
      </c>
      <c r="X70" s="54"/>
      <c r="Y70" s="56"/>
      <c r="AA70" s="2"/>
      <c r="AB70" s="2"/>
      <c r="AC70" s="132" t="str">
        <f t="shared" si="6"/>
        <v/>
      </c>
    </row>
    <row r="71" spans="1:29" ht="15.75">
      <c r="A71" s="29" t="s">
        <v>191</v>
      </c>
      <c r="B71" s="3" t="s">
        <v>93</v>
      </c>
      <c r="C71" s="3" t="s">
        <v>90</v>
      </c>
      <c r="D71" s="3" t="s">
        <v>104</v>
      </c>
      <c r="E71" s="3" t="str">
        <f t="shared" si="15"/>
        <v>Direct</v>
      </c>
      <c r="F71" s="3" t="s">
        <v>46</v>
      </c>
      <c r="G71" s="3">
        <f>14*128</f>
        <v>1792</v>
      </c>
      <c r="H71" s="28">
        <f>G71*205</f>
        <v>367360</v>
      </c>
      <c r="I71" s="82" t="b">
        <v>1</v>
      </c>
      <c r="J71" s="116">
        <f t="shared" si="10"/>
        <v>0.60327750765352062</v>
      </c>
      <c r="K71" s="117">
        <f>(123065.6/1.1106)+(123065.6/1.1106)</f>
        <v>221620.02521159733</v>
      </c>
      <c r="L71" s="22">
        <v>0</v>
      </c>
      <c r="M71" s="22"/>
      <c r="N71" s="22"/>
      <c r="O71" s="22"/>
      <c r="P71" s="23"/>
      <c r="Q71" s="23"/>
      <c r="R71" s="23"/>
      <c r="S71" s="23"/>
      <c r="T71" s="23"/>
      <c r="U71" s="19">
        <f t="shared" si="12"/>
        <v>221620.02521159733</v>
      </c>
      <c r="V71" s="128">
        <f t="shared" si="11"/>
        <v>0.60327750765352062</v>
      </c>
      <c r="X71" s="54"/>
      <c r="Y71" s="56"/>
      <c r="AA71" s="2"/>
      <c r="AB71" s="2"/>
      <c r="AC71" s="132" t="str">
        <f t="shared" si="6"/>
        <v/>
      </c>
    </row>
    <row r="72" spans="1:29" ht="15.75">
      <c r="A72" s="29" t="s">
        <v>192</v>
      </c>
      <c r="B72" s="3" t="s">
        <v>193</v>
      </c>
      <c r="C72" s="3" t="s">
        <v>34</v>
      </c>
      <c r="D72" s="3" t="s">
        <v>194</v>
      </c>
      <c r="E72" s="3" t="str">
        <f t="shared" si="15"/>
        <v>Direct</v>
      </c>
      <c r="F72" s="3" t="s">
        <v>36</v>
      </c>
      <c r="G72" s="3">
        <v>1</v>
      </c>
      <c r="H72" s="28">
        <v>20</v>
      </c>
      <c r="I72" s="82" t="b">
        <v>1</v>
      </c>
      <c r="J72" s="116">
        <f t="shared" si="10"/>
        <v>2.68</v>
      </c>
      <c r="K72" s="117">
        <v>53.6</v>
      </c>
      <c r="L72" s="22">
        <v>225</v>
      </c>
      <c r="M72" s="22"/>
      <c r="N72" s="22"/>
      <c r="O72" s="22"/>
      <c r="P72" s="23"/>
      <c r="Q72" s="23"/>
      <c r="R72" s="23"/>
      <c r="S72" s="23"/>
      <c r="T72" s="23"/>
      <c r="U72" s="19">
        <f t="shared" si="12"/>
        <v>278.60000000000002</v>
      </c>
      <c r="V72" s="128">
        <f t="shared" si="11"/>
        <v>13.930000000000001</v>
      </c>
      <c r="X72" s="54"/>
      <c r="Y72" s="56"/>
      <c r="AA72" s="2"/>
      <c r="AB72" s="2"/>
      <c r="AC72" s="132" t="str">
        <f t="shared" ref="AC72:AC135" si="16">IF(AB72&gt;0,((AB72)*V72),"")</f>
        <v/>
      </c>
    </row>
    <row r="73" spans="1:29" ht="15.75">
      <c r="A73" s="29" t="s">
        <v>195</v>
      </c>
      <c r="B73" s="3" t="s">
        <v>196</v>
      </c>
      <c r="C73" s="9" t="s">
        <v>176</v>
      </c>
      <c r="D73" s="3" t="s">
        <v>197</v>
      </c>
      <c r="E73" s="3" t="str">
        <f t="shared" si="15"/>
        <v>Direct</v>
      </c>
      <c r="F73" s="10" t="s">
        <v>128</v>
      </c>
      <c r="G73" s="14">
        <v>96</v>
      </c>
      <c r="H73" s="81">
        <f>G73*24</f>
        <v>2304</v>
      </c>
      <c r="I73" s="82" t="b">
        <v>1</v>
      </c>
      <c r="J73" s="116">
        <f t="shared" si="10"/>
        <v>2.0999999999999996</v>
      </c>
      <c r="K73" s="117">
        <v>4838.3999999999996</v>
      </c>
      <c r="L73" s="22">
        <f>2*520</f>
        <v>1040</v>
      </c>
      <c r="M73" s="22"/>
      <c r="N73" s="22"/>
      <c r="O73" s="22"/>
      <c r="P73" s="23"/>
      <c r="Q73" s="23"/>
      <c r="R73" s="23"/>
      <c r="S73" s="23"/>
      <c r="T73" s="23"/>
      <c r="U73" s="19">
        <f t="shared" si="12"/>
        <v>5878.4</v>
      </c>
      <c r="V73" s="128">
        <f t="shared" si="11"/>
        <v>2.5513888888888889</v>
      </c>
      <c r="X73" s="54"/>
      <c r="Y73" s="56"/>
      <c r="AA73" s="2"/>
      <c r="AB73" s="2"/>
      <c r="AC73" s="132" t="str">
        <f t="shared" si="16"/>
        <v/>
      </c>
    </row>
    <row r="74" spans="1:29" ht="15.75">
      <c r="A74" s="29" t="s">
        <v>198</v>
      </c>
      <c r="B74" s="3" t="s">
        <v>132</v>
      </c>
      <c r="C74" s="3" t="s">
        <v>133</v>
      </c>
      <c r="D74" s="13" t="s">
        <v>134</v>
      </c>
      <c r="E74" s="3" t="str">
        <f t="shared" si="15"/>
        <v>Direct</v>
      </c>
      <c r="F74" s="3" t="s">
        <v>121</v>
      </c>
      <c r="G74" s="65">
        <v>32</v>
      </c>
      <c r="H74" s="53">
        <f>G74*220</f>
        <v>7040</v>
      </c>
      <c r="I74" s="82" t="b">
        <v>1</v>
      </c>
      <c r="J74" s="116">
        <f t="shared" si="10"/>
        <v>1.45</v>
      </c>
      <c r="K74" s="117">
        <v>10208</v>
      </c>
      <c r="L74" s="22">
        <f>950*(32/52)</f>
        <v>584.61538461538464</v>
      </c>
      <c r="M74" s="22"/>
      <c r="N74" s="22"/>
      <c r="O74" s="22"/>
      <c r="P74" s="23"/>
      <c r="Q74" s="23"/>
      <c r="R74" s="23"/>
      <c r="S74" s="23"/>
      <c r="T74" s="23"/>
      <c r="U74" s="19">
        <f t="shared" si="12"/>
        <v>10792.615384615385</v>
      </c>
      <c r="V74" s="128">
        <f t="shared" si="11"/>
        <v>1.5330419580419581</v>
      </c>
      <c r="X74" s="54"/>
      <c r="Y74" s="56"/>
      <c r="AA74" s="2"/>
      <c r="AB74" s="2"/>
      <c r="AC74" s="132" t="str">
        <f t="shared" si="16"/>
        <v/>
      </c>
    </row>
    <row r="75" spans="1:29" ht="15.75">
      <c r="A75" s="29" t="s">
        <v>199</v>
      </c>
      <c r="B75" s="3" t="s">
        <v>136</v>
      </c>
      <c r="C75" s="3" t="s">
        <v>133</v>
      </c>
      <c r="D75" s="13" t="s">
        <v>134</v>
      </c>
      <c r="E75" s="3" t="str">
        <f t="shared" si="15"/>
        <v>Direct</v>
      </c>
      <c r="F75" s="3" t="s">
        <v>121</v>
      </c>
      <c r="G75" s="65">
        <v>20</v>
      </c>
      <c r="H75" s="53">
        <f>G75*220</f>
        <v>4400</v>
      </c>
      <c r="I75" s="82" t="b">
        <v>1</v>
      </c>
      <c r="J75" s="116">
        <f t="shared" si="10"/>
        <v>1.24</v>
      </c>
      <c r="K75" s="117">
        <v>5456</v>
      </c>
      <c r="L75" s="22">
        <f>950*(20/52)</f>
        <v>365.38461538461542</v>
      </c>
      <c r="M75" s="22"/>
      <c r="N75" s="22"/>
      <c r="O75" s="22"/>
      <c r="P75" s="23"/>
      <c r="Q75" s="23"/>
      <c r="R75" s="23"/>
      <c r="S75" s="23"/>
      <c r="T75" s="23"/>
      <c r="U75" s="19">
        <f t="shared" si="12"/>
        <v>5821.3846153846152</v>
      </c>
      <c r="V75" s="128">
        <f t="shared" si="11"/>
        <v>1.3230419580419579</v>
      </c>
      <c r="X75" s="54"/>
      <c r="Y75" s="56"/>
      <c r="AA75" s="2"/>
      <c r="AB75" s="2"/>
      <c r="AC75" s="132" t="str">
        <f t="shared" si="16"/>
        <v/>
      </c>
    </row>
    <row r="76" spans="1:29" ht="15.75">
      <c r="A76" s="29" t="s">
        <v>200</v>
      </c>
      <c r="B76" s="3" t="s">
        <v>143</v>
      </c>
      <c r="C76" s="9" t="s">
        <v>119</v>
      </c>
      <c r="D76" s="3" t="s">
        <v>144</v>
      </c>
      <c r="E76" s="3" t="str">
        <f t="shared" si="15"/>
        <v>Direct</v>
      </c>
      <c r="F76" s="10" t="s">
        <v>121</v>
      </c>
      <c r="G76" s="1">
        <v>110</v>
      </c>
      <c r="H76" s="27">
        <v>1100</v>
      </c>
      <c r="I76" s="82" t="b">
        <v>1</v>
      </c>
      <c r="J76" s="116">
        <f t="shared" si="10"/>
        <v>1.085</v>
      </c>
      <c r="K76" s="117">
        <v>1193.5</v>
      </c>
      <c r="L76" s="22">
        <v>485</v>
      </c>
      <c r="M76" s="22"/>
      <c r="N76" s="22"/>
      <c r="O76" s="22"/>
      <c r="P76" s="23"/>
      <c r="Q76" s="23"/>
      <c r="R76" s="23"/>
      <c r="S76" s="23"/>
      <c r="T76" s="23"/>
      <c r="U76" s="19">
        <f t="shared" si="12"/>
        <v>1678.5</v>
      </c>
      <c r="V76" s="128">
        <f t="shared" si="11"/>
        <v>1.5259090909090909</v>
      </c>
      <c r="X76" s="54"/>
      <c r="Y76" s="56"/>
      <c r="AA76" s="2"/>
      <c r="AB76" s="2"/>
      <c r="AC76" s="132" t="str">
        <f t="shared" si="16"/>
        <v/>
      </c>
    </row>
    <row r="77" spans="1:29" ht="15.75">
      <c r="A77" s="29" t="s">
        <v>201</v>
      </c>
      <c r="B77" s="3" t="s">
        <v>193</v>
      </c>
      <c r="C77" s="3" t="s">
        <v>34</v>
      </c>
      <c r="D77" s="3" t="s">
        <v>194</v>
      </c>
      <c r="E77" s="3" t="str">
        <f>IF(B77="","",IF(D77="Godfroy","Godfroy",(IF(LEFT(B77,1)="1","Hiwa","Direct"))))</f>
        <v>Direct</v>
      </c>
      <c r="F77" s="3" t="s">
        <v>36</v>
      </c>
      <c r="G77" s="3">
        <v>1</v>
      </c>
      <c r="H77" s="28">
        <v>20</v>
      </c>
      <c r="I77" s="82" t="b">
        <v>1</v>
      </c>
      <c r="J77" s="116">
        <f t="shared" si="10"/>
        <v>2.68</v>
      </c>
      <c r="K77" s="117">
        <v>53.6</v>
      </c>
      <c r="L77" s="22">
        <v>46</v>
      </c>
      <c r="M77" s="22"/>
      <c r="N77" s="22"/>
      <c r="O77" s="22"/>
      <c r="P77" s="23"/>
      <c r="Q77" s="23"/>
      <c r="R77" s="23"/>
      <c r="S77" s="23"/>
      <c r="T77" s="23"/>
      <c r="U77" s="19">
        <f t="shared" si="12"/>
        <v>99.6</v>
      </c>
      <c r="V77" s="128">
        <f t="shared" si="11"/>
        <v>4.9799999999999995</v>
      </c>
      <c r="X77" s="54"/>
      <c r="Y77" s="56"/>
      <c r="AA77" s="2"/>
      <c r="AB77" s="2"/>
      <c r="AC77" s="132" t="str">
        <f t="shared" si="16"/>
        <v/>
      </c>
    </row>
    <row r="78" spans="1:29" ht="15.75">
      <c r="A78" s="29" t="s">
        <v>202</v>
      </c>
      <c r="B78" s="3" t="s">
        <v>377</v>
      </c>
      <c r="C78" s="3" t="s">
        <v>126</v>
      </c>
      <c r="D78" s="3" t="s">
        <v>127</v>
      </c>
      <c r="E78" s="3" t="str">
        <f>IF(B78="","",IF(D78="Godfroy","Godfroy",(IF(LEFT(B78,1)="1","Hiwa","Direct"))))</f>
        <v>Direct</v>
      </c>
      <c r="F78" s="3" t="s">
        <v>128</v>
      </c>
      <c r="G78" s="3">
        <v>4</v>
      </c>
      <c r="H78" s="28">
        <v>880</v>
      </c>
      <c r="I78" s="82" t="b">
        <v>1</v>
      </c>
      <c r="J78" s="116">
        <f t="shared" si="10"/>
        <v>0.95</v>
      </c>
      <c r="K78" s="117">
        <v>836</v>
      </c>
      <c r="L78" s="22">
        <f>181*1.09</f>
        <v>197.29000000000002</v>
      </c>
      <c r="M78" s="22"/>
      <c r="N78" s="22"/>
      <c r="O78" s="22"/>
      <c r="P78" s="23"/>
      <c r="Q78" s="23"/>
      <c r="R78" s="23"/>
      <c r="S78" s="23"/>
      <c r="T78" s="23"/>
      <c r="U78" s="19">
        <f t="shared" si="12"/>
        <v>1033.29</v>
      </c>
      <c r="V78" s="128">
        <f t="shared" si="11"/>
        <v>1.1741931818181819</v>
      </c>
      <c r="X78" s="54"/>
      <c r="Y78" s="56"/>
      <c r="AA78" s="2"/>
      <c r="AB78" s="2"/>
      <c r="AC78" s="132" t="str">
        <f t="shared" si="16"/>
        <v/>
      </c>
    </row>
    <row r="79" spans="1:29" ht="15.75">
      <c r="A79" s="29" t="s">
        <v>203</v>
      </c>
      <c r="B79" s="3" t="s">
        <v>123</v>
      </c>
      <c r="C79" s="9" t="s">
        <v>52</v>
      </c>
      <c r="D79" s="13" t="s">
        <v>30</v>
      </c>
      <c r="E79" s="3" t="str">
        <f t="shared" ref="E79:E92" si="17">IF(B79="","",IF(D79="Godfroy","Godfroy",(IF(LEFT(B79,1)="1","Hiwa","Direct"))))</f>
        <v>Hiwa</v>
      </c>
      <c r="F79" s="3" t="s">
        <v>46</v>
      </c>
      <c r="G79" s="1">
        <v>80</v>
      </c>
      <c r="H79" s="27">
        <f>G79*220</f>
        <v>17600</v>
      </c>
      <c r="I79" s="82" t="b">
        <v>1</v>
      </c>
      <c r="J79" s="116">
        <f t="shared" si="10"/>
        <v>3.5159466266285659</v>
      </c>
      <c r="K79" s="122">
        <f>69690/1.1262</f>
        <v>61880.660628662758</v>
      </c>
      <c r="L79" s="22"/>
      <c r="M79" s="22"/>
      <c r="N79" s="22"/>
      <c r="O79" s="22"/>
      <c r="P79" s="23"/>
      <c r="Q79" s="23"/>
      <c r="R79" s="23"/>
      <c r="S79" s="23"/>
      <c r="T79" s="23"/>
      <c r="U79" s="19">
        <f t="shared" si="12"/>
        <v>61880.660628662758</v>
      </c>
      <c r="V79" s="128">
        <f t="shared" si="11"/>
        <v>3.5159466266285659</v>
      </c>
      <c r="X79" s="54"/>
      <c r="Y79" s="56"/>
      <c r="AA79" s="2"/>
      <c r="AB79" s="2"/>
      <c r="AC79" s="132" t="str">
        <f t="shared" si="16"/>
        <v/>
      </c>
    </row>
    <row r="80" spans="1:29" ht="15.75">
      <c r="A80" s="29" t="s">
        <v>204</v>
      </c>
      <c r="B80" s="3" t="s">
        <v>89</v>
      </c>
      <c r="C80" s="9" t="s">
        <v>90</v>
      </c>
      <c r="D80" s="3" t="s">
        <v>30</v>
      </c>
      <c r="E80" s="3" t="str">
        <f t="shared" si="17"/>
        <v>Hiwa</v>
      </c>
      <c r="F80" s="10" t="s">
        <v>59</v>
      </c>
      <c r="G80" s="1">
        <v>512</v>
      </c>
      <c r="H80" s="27">
        <f t="shared" ref="H80:H81" si="18">G80*205</f>
        <v>104960</v>
      </c>
      <c r="I80" s="82" t="b">
        <v>1</v>
      </c>
      <c r="J80" s="116">
        <f t="shared" si="10"/>
        <v>0.62945478107932984</v>
      </c>
      <c r="K80" s="123">
        <f>71372.8/1.0803</f>
        <v>66067.573822086459</v>
      </c>
      <c r="L80" s="22">
        <f>6184/1.1324</f>
        <v>5460.9678558813139</v>
      </c>
      <c r="M80" s="22">
        <f>3*(1876.65+63.45)</f>
        <v>5820.3</v>
      </c>
      <c r="N80" s="22">
        <f>680+100+300</f>
        <v>1080</v>
      </c>
      <c r="O80" s="22">
        <v>5026.6400000000003</v>
      </c>
      <c r="P80" s="23">
        <f>125.31+125.31+125.31+27.41+125.31+125.31</f>
        <v>653.96</v>
      </c>
      <c r="Q80" s="23">
        <f>4.66+4.66+4.66+4.66</f>
        <v>18.64</v>
      </c>
      <c r="R80" s="23">
        <f>57.04+5704</f>
        <v>5761.04</v>
      </c>
      <c r="S80" s="23"/>
      <c r="T80" s="23"/>
      <c r="U80" s="19">
        <f t="shared" si="12"/>
        <v>84128.08167796777</v>
      </c>
      <c r="V80" s="128">
        <f t="shared" si="11"/>
        <v>0.80152516842576005</v>
      </c>
      <c r="X80" s="80" t="s">
        <v>205</v>
      </c>
      <c r="Y80" s="72">
        <v>45786</v>
      </c>
      <c r="AA80" s="2">
        <f>28+128+128</f>
        <v>284</v>
      </c>
      <c r="AB80" s="2">
        <f>5740+26240+26240</f>
        <v>58220</v>
      </c>
      <c r="AC80" s="132">
        <f t="shared" si="16"/>
        <v>46664.79530574775</v>
      </c>
    </row>
    <row r="81" spans="1:29" ht="15.75">
      <c r="A81" s="29" t="s">
        <v>206</v>
      </c>
      <c r="B81" s="3" t="s">
        <v>89</v>
      </c>
      <c r="C81" s="9" t="s">
        <v>90</v>
      </c>
      <c r="D81" s="3" t="s">
        <v>30</v>
      </c>
      <c r="E81" s="3" t="str">
        <f t="shared" si="17"/>
        <v>Hiwa</v>
      </c>
      <c r="F81" s="10" t="s">
        <v>59</v>
      </c>
      <c r="G81" s="1">
        <v>512</v>
      </c>
      <c r="H81" s="27">
        <f t="shared" si="18"/>
        <v>104960</v>
      </c>
      <c r="I81" s="82" t="b">
        <v>1</v>
      </c>
      <c r="J81" s="116">
        <f t="shared" si="10"/>
        <v>0.61228164955879705</v>
      </c>
      <c r="K81" s="122">
        <f>71372.8/1.1106</f>
        <v>64265.081937691342</v>
      </c>
      <c r="L81" s="17">
        <f>6184/1.1214</f>
        <v>5514.5354021758521</v>
      </c>
      <c r="M81" s="22"/>
      <c r="N81" s="22"/>
      <c r="O81" s="22"/>
      <c r="P81" s="22"/>
      <c r="Q81" s="23"/>
      <c r="R81" s="23"/>
      <c r="S81" s="23"/>
      <c r="T81" s="23"/>
      <c r="U81" s="19">
        <f t="shared" si="12"/>
        <v>69779.617339867196</v>
      </c>
      <c r="V81" s="128">
        <f t="shared" si="11"/>
        <v>0.66482104935086883</v>
      </c>
      <c r="X81" s="80" t="s">
        <v>207</v>
      </c>
      <c r="Y81" s="72">
        <v>45810</v>
      </c>
      <c r="AA81" s="2"/>
      <c r="AB81" s="2"/>
      <c r="AC81" s="132" t="str">
        <f t="shared" si="16"/>
        <v/>
      </c>
    </row>
    <row r="82" spans="1:29" ht="15.75">
      <c r="A82" s="29" t="s">
        <v>208</v>
      </c>
      <c r="B82" s="3" t="s">
        <v>106</v>
      </c>
      <c r="C82" s="3" t="s">
        <v>62</v>
      </c>
      <c r="D82" s="3" t="s">
        <v>104</v>
      </c>
      <c r="E82" s="3" t="str">
        <f t="shared" si="17"/>
        <v>Direct</v>
      </c>
      <c r="F82" s="3" t="s">
        <v>31</v>
      </c>
      <c r="G82" s="3">
        <f>(4*112)+(2*114)</f>
        <v>676</v>
      </c>
      <c r="H82" s="28">
        <f>G82*210</f>
        <v>141960</v>
      </c>
      <c r="I82" s="82" t="b">
        <v>1</v>
      </c>
      <c r="J82" s="116">
        <f t="shared" si="10"/>
        <v>1.3399999999999999</v>
      </c>
      <c r="K82" s="123">
        <v>190226.4</v>
      </c>
      <c r="L82" s="22">
        <v>0</v>
      </c>
      <c r="M82" s="22">
        <v>196.28</v>
      </c>
      <c r="N82" s="22"/>
      <c r="O82" s="22"/>
      <c r="P82" s="23"/>
      <c r="Q82" s="23"/>
      <c r="R82" s="23"/>
      <c r="S82" s="23"/>
      <c r="T82" s="23"/>
      <c r="U82" s="19">
        <f t="shared" si="12"/>
        <v>190422.68</v>
      </c>
      <c r="V82" s="128">
        <f t="shared" si="11"/>
        <v>1.3413826429980276</v>
      </c>
      <c r="X82" s="80" t="s">
        <v>209</v>
      </c>
      <c r="Y82" s="56"/>
      <c r="AA82" s="2"/>
      <c r="AB82" s="2"/>
      <c r="AC82" s="132" t="str">
        <f t="shared" si="16"/>
        <v/>
      </c>
    </row>
    <row r="83" spans="1:29" ht="15.75">
      <c r="A83" s="29" t="s">
        <v>210</v>
      </c>
      <c r="B83" s="3" t="s">
        <v>93</v>
      </c>
      <c r="C83" s="3" t="s">
        <v>90</v>
      </c>
      <c r="D83" s="3" t="s">
        <v>112</v>
      </c>
      <c r="E83" s="3" t="str">
        <f t="shared" si="17"/>
        <v>Direct</v>
      </c>
      <c r="F83" s="3" t="s">
        <v>59</v>
      </c>
      <c r="G83" s="3">
        <v>112</v>
      </c>
      <c r="H83" s="28">
        <f>G83*205</f>
        <v>22960</v>
      </c>
      <c r="I83" s="82" t="b">
        <v>1</v>
      </c>
      <c r="J83" s="116">
        <f t="shared" si="10"/>
        <v>0.631402331331685</v>
      </c>
      <c r="K83" s="122">
        <f>16416.4/1.1324</f>
        <v>14496.997527375486</v>
      </c>
      <c r="L83" s="22">
        <f>1868/1.1376</f>
        <v>1642.0534458509144</v>
      </c>
      <c r="M83" s="22"/>
      <c r="N83" s="22"/>
      <c r="O83" s="22"/>
      <c r="P83" s="23"/>
      <c r="Q83" s="23"/>
      <c r="R83" s="23"/>
      <c r="S83" s="23"/>
      <c r="T83" s="23"/>
      <c r="U83" s="19">
        <f t="shared" si="12"/>
        <v>16139.0509732264</v>
      </c>
      <c r="V83" s="128">
        <f t="shared" si="11"/>
        <v>0.70292033855515679</v>
      </c>
      <c r="X83" s="54"/>
      <c r="Y83" s="56"/>
      <c r="AA83" s="2"/>
      <c r="AB83" s="2"/>
      <c r="AC83" s="132" t="str">
        <f t="shared" si="16"/>
        <v/>
      </c>
    </row>
    <row r="84" spans="1:29" ht="15.75">
      <c r="A84" s="29" t="s">
        <v>211</v>
      </c>
      <c r="B84" s="3" t="s">
        <v>93</v>
      </c>
      <c r="C84" s="3" t="s">
        <v>90</v>
      </c>
      <c r="D84" s="3" t="s">
        <v>112</v>
      </c>
      <c r="E84" s="3" t="str">
        <f t="shared" si="17"/>
        <v>Direct</v>
      </c>
      <c r="F84" s="3" t="s">
        <v>59</v>
      </c>
      <c r="G84" s="3">
        <v>112</v>
      </c>
      <c r="H84" s="28">
        <f>G84*205</f>
        <v>22960</v>
      </c>
      <c r="I84" s="82" t="b">
        <v>1</v>
      </c>
      <c r="J84" s="116">
        <f t="shared" si="10"/>
        <v>0.64379614622726455</v>
      </c>
      <c r="K84" s="122">
        <f>16416.4/1.1106</f>
        <v>14781.559517377995</v>
      </c>
      <c r="L84" s="22">
        <f>(1868+117)/1.1376</f>
        <v>1744.901547116737</v>
      </c>
      <c r="M84" s="22"/>
      <c r="N84" s="22"/>
      <c r="O84" s="22"/>
      <c r="P84" s="23"/>
      <c r="Q84" s="23"/>
      <c r="R84" s="23"/>
      <c r="S84" s="23"/>
      <c r="T84" s="23"/>
      <c r="U84" s="19">
        <f t="shared" si="12"/>
        <v>16526.461064494732</v>
      </c>
      <c r="V84" s="128">
        <f t="shared" si="11"/>
        <v>0.71979360036997964</v>
      </c>
      <c r="X84" s="54"/>
      <c r="Y84" s="56"/>
      <c r="AA84" s="2"/>
      <c r="AB84" s="2"/>
      <c r="AC84" s="132" t="str">
        <f t="shared" si="16"/>
        <v/>
      </c>
    </row>
    <row r="85" spans="1:29" ht="15.75">
      <c r="A85" s="29" t="s">
        <v>212</v>
      </c>
      <c r="B85" s="3" t="s">
        <v>143</v>
      </c>
      <c r="C85" s="9" t="s">
        <v>119</v>
      </c>
      <c r="D85" s="3" t="s">
        <v>144</v>
      </c>
      <c r="E85" s="3" t="str">
        <f t="shared" si="17"/>
        <v>Direct</v>
      </c>
      <c r="F85" s="10" t="s">
        <v>121</v>
      </c>
      <c r="G85" s="1">
        <v>110</v>
      </c>
      <c r="H85" s="27">
        <v>1100</v>
      </c>
      <c r="I85" s="82" t="b">
        <v>1</v>
      </c>
      <c r="J85" s="116">
        <f t="shared" si="10"/>
        <v>1.085</v>
      </c>
      <c r="K85" s="117">
        <v>1193.5</v>
      </c>
      <c r="L85" s="22">
        <v>485</v>
      </c>
      <c r="M85" s="22"/>
      <c r="N85" s="22"/>
      <c r="O85" s="22"/>
      <c r="P85" s="23"/>
      <c r="Q85" s="23"/>
      <c r="R85" s="23"/>
      <c r="S85" s="23"/>
      <c r="T85" s="23"/>
      <c r="U85" s="19">
        <f t="shared" si="12"/>
        <v>1678.5</v>
      </c>
      <c r="V85" s="128">
        <f t="shared" si="11"/>
        <v>1.5259090909090909</v>
      </c>
      <c r="X85" s="54"/>
      <c r="Y85" s="56"/>
      <c r="AA85" s="2"/>
      <c r="AB85" s="2"/>
      <c r="AC85" s="132" t="str">
        <f t="shared" si="16"/>
        <v/>
      </c>
    </row>
    <row r="86" spans="1:29" ht="15.75">
      <c r="A86" s="29" t="s">
        <v>213</v>
      </c>
      <c r="B86" s="3" t="s">
        <v>214</v>
      </c>
      <c r="C86" s="9" t="s">
        <v>119</v>
      </c>
      <c r="D86" s="3" t="s">
        <v>215</v>
      </c>
      <c r="E86" s="3" t="str">
        <f t="shared" si="17"/>
        <v>Direct</v>
      </c>
      <c r="F86" s="10" t="s">
        <v>121</v>
      </c>
      <c r="G86" s="1">
        <v>4</v>
      </c>
      <c r="H86" s="27">
        <f>+G86*200</f>
        <v>800</v>
      </c>
      <c r="I86" s="82" t="b">
        <v>1</v>
      </c>
      <c r="J86" s="116">
        <f t="shared" si="10"/>
        <v>1.73</v>
      </c>
      <c r="K86" s="117">
        <v>1384</v>
      </c>
      <c r="L86" s="22">
        <v>260</v>
      </c>
      <c r="M86" s="22"/>
      <c r="N86" s="22"/>
      <c r="O86" s="22"/>
      <c r="P86" s="23"/>
      <c r="Q86" s="23"/>
      <c r="R86" s="23"/>
      <c r="S86" s="23"/>
      <c r="T86" s="23"/>
      <c r="U86" s="19">
        <f t="shared" si="12"/>
        <v>1644</v>
      </c>
      <c r="V86" s="128">
        <f t="shared" si="11"/>
        <v>2.0550000000000002</v>
      </c>
      <c r="X86" s="54"/>
      <c r="Y86" s="56"/>
      <c r="AA86" s="2"/>
      <c r="AB86" s="2"/>
      <c r="AC86" s="132" t="str">
        <f t="shared" si="16"/>
        <v/>
      </c>
    </row>
    <row r="87" spans="1:29" ht="15.75">
      <c r="A87" s="29" t="s">
        <v>216</v>
      </c>
      <c r="B87" s="3" t="s">
        <v>217</v>
      </c>
      <c r="C87" s="9" t="s">
        <v>119</v>
      </c>
      <c r="D87" s="3" t="s">
        <v>215</v>
      </c>
      <c r="E87" s="3" t="str">
        <f t="shared" si="17"/>
        <v>Direct</v>
      </c>
      <c r="F87" s="10" t="s">
        <v>121</v>
      </c>
      <c r="G87" s="1">
        <v>7</v>
      </c>
      <c r="H87" s="27">
        <f>+G87*5</f>
        <v>35</v>
      </c>
      <c r="I87" s="82" t="b">
        <v>1</v>
      </c>
      <c r="J87" s="116">
        <f t="shared" si="10"/>
        <v>4.7</v>
      </c>
      <c r="K87" s="117">
        <v>164.5</v>
      </c>
      <c r="L87" s="22">
        <v>0</v>
      </c>
      <c r="M87" s="22"/>
      <c r="N87" s="22"/>
      <c r="O87" s="22"/>
      <c r="P87" s="23"/>
      <c r="Q87" s="23"/>
      <c r="R87" s="23"/>
      <c r="S87" s="23"/>
      <c r="T87" s="23"/>
      <c r="U87" s="19">
        <f>IF(B87="","",K87+SUM(L87:Q87))</f>
        <v>164.5</v>
      </c>
      <c r="V87" s="128">
        <f t="shared" si="11"/>
        <v>4.7</v>
      </c>
      <c r="X87" s="54"/>
      <c r="Y87" s="56"/>
      <c r="AA87" s="2"/>
      <c r="AB87" s="2"/>
      <c r="AC87" s="132" t="str">
        <f t="shared" si="16"/>
        <v/>
      </c>
    </row>
    <row r="88" spans="1:29" ht="15.75">
      <c r="A88" s="29" t="s">
        <v>218</v>
      </c>
      <c r="B88" s="3" t="s">
        <v>93</v>
      </c>
      <c r="C88" s="3" t="s">
        <v>90</v>
      </c>
      <c r="D88" s="3" t="s">
        <v>104</v>
      </c>
      <c r="E88" s="3" t="str">
        <f t="shared" si="17"/>
        <v>Direct</v>
      </c>
      <c r="F88" s="3" t="s">
        <v>46</v>
      </c>
      <c r="G88" s="3">
        <f>7*128</f>
        <v>896</v>
      </c>
      <c r="H88" s="28">
        <f>G88*205</f>
        <v>183680</v>
      </c>
      <c r="I88" s="82" t="b">
        <v>1</v>
      </c>
      <c r="J88" s="116">
        <f t="shared" si="10"/>
        <v>0.60595098127882796</v>
      </c>
      <c r="K88" s="117">
        <f>123065.6/1.1057</f>
        <v>111301.07624129512</v>
      </c>
      <c r="L88" s="22">
        <v>0</v>
      </c>
      <c r="M88" s="22"/>
      <c r="N88" s="22"/>
      <c r="O88" s="22"/>
      <c r="P88" s="23"/>
      <c r="Q88" s="23"/>
      <c r="R88" s="23"/>
      <c r="S88" s="23"/>
      <c r="T88" s="23"/>
      <c r="U88" s="19">
        <f t="shared" si="12"/>
        <v>111301.07624129512</v>
      </c>
      <c r="V88" s="128">
        <f t="shared" si="11"/>
        <v>0.60595098127882796</v>
      </c>
      <c r="X88" s="54"/>
      <c r="Y88" s="56"/>
      <c r="AA88" s="2"/>
      <c r="AB88" s="2"/>
      <c r="AC88" s="132" t="str">
        <f t="shared" si="16"/>
        <v/>
      </c>
    </row>
    <row r="89" spans="1:29" ht="15.75">
      <c r="A89" s="29" t="s">
        <v>219</v>
      </c>
      <c r="B89" s="3" t="s">
        <v>93</v>
      </c>
      <c r="C89" s="3" t="s">
        <v>90</v>
      </c>
      <c r="D89" s="3" t="s">
        <v>104</v>
      </c>
      <c r="E89" s="3" t="str">
        <f t="shared" si="17"/>
        <v>Direct</v>
      </c>
      <c r="F89" s="3" t="s">
        <v>46</v>
      </c>
      <c r="G89" s="3">
        <f>1*128</f>
        <v>128</v>
      </c>
      <c r="H89" s="28">
        <f>G89*205</f>
        <v>26240</v>
      </c>
      <c r="I89" s="82" t="b">
        <v>1</v>
      </c>
      <c r="J89" s="116">
        <f t="shared" si="10"/>
        <v>0.61092368013130294</v>
      </c>
      <c r="K89" s="124">
        <f>17580.8/1.0967</f>
        <v>16030.637366645389</v>
      </c>
      <c r="L89" s="22">
        <v>0</v>
      </c>
      <c r="M89" s="22"/>
      <c r="N89" s="22"/>
      <c r="O89" s="22"/>
      <c r="P89" s="23"/>
      <c r="Q89" s="23"/>
      <c r="R89" s="23"/>
      <c r="S89" s="23"/>
      <c r="T89" s="23"/>
      <c r="U89" s="19">
        <f t="shared" si="12"/>
        <v>16030.637366645389</v>
      </c>
      <c r="V89" s="128">
        <f t="shared" si="11"/>
        <v>0.61092368013130294</v>
      </c>
      <c r="X89" s="54"/>
      <c r="Y89" s="56"/>
      <c r="AA89" s="2"/>
      <c r="AB89" s="2"/>
      <c r="AC89" s="132" t="str">
        <f t="shared" si="16"/>
        <v/>
      </c>
    </row>
    <row r="90" spans="1:29" ht="15.75">
      <c r="A90" s="29" t="s">
        <v>220</v>
      </c>
      <c r="B90" s="3" t="s">
        <v>186</v>
      </c>
      <c r="C90" s="9" t="s">
        <v>29</v>
      </c>
      <c r="D90" s="3" t="s">
        <v>112</v>
      </c>
      <c r="E90" s="3" t="str">
        <f t="shared" si="17"/>
        <v>Direct</v>
      </c>
      <c r="F90" s="3" t="s">
        <v>46</v>
      </c>
      <c r="G90" s="3">
        <f>2*80</f>
        <v>160</v>
      </c>
      <c r="H90" s="28">
        <f>G90*215</f>
        <v>34400</v>
      </c>
      <c r="I90" s="82" t="b">
        <v>1</v>
      </c>
      <c r="J90" s="116">
        <f t="shared" si="10"/>
        <v>0.89265784274010207</v>
      </c>
      <c r="K90" s="124">
        <f>(17276+17276)/1.1252</f>
        <v>30707.42979025951</v>
      </c>
      <c r="L90" s="106"/>
      <c r="M90" s="22"/>
      <c r="N90" s="22"/>
      <c r="O90" s="22"/>
      <c r="P90" s="23"/>
      <c r="Q90" s="23"/>
      <c r="R90" s="23"/>
      <c r="S90" s="23"/>
      <c r="T90" s="23"/>
      <c r="U90" s="19">
        <f t="shared" si="12"/>
        <v>30707.42979025951</v>
      </c>
      <c r="V90" s="128">
        <f t="shared" si="11"/>
        <v>0.89265784274010207</v>
      </c>
      <c r="X90" s="54"/>
      <c r="Y90" s="56"/>
      <c r="AA90" s="2"/>
      <c r="AB90" s="2"/>
      <c r="AC90" s="132" t="str">
        <f t="shared" si="16"/>
        <v/>
      </c>
    </row>
    <row r="91" spans="1:29" ht="15.75">
      <c r="A91" s="29" t="s">
        <v>221</v>
      </c>
      <c r="B91" s="3" t="s">
        <v>132</v>
      </c>
      <c r="C91" s="3" t="s">
        <v>133</v>
      </c>
      <c r="D91" s="3" t="s">
        <v>222</v>
      </c>
      <c r="E91" s="3" t="str">
        <f t="shared" si="17"/>
        <v>Direct</v>
      </c>
      <c r="F91" s="3" t="s">
        <v>121</v>
      </c>
      <c r="G91" s="3">
        <v>4</v>
      </c>
      <c r="H91" s="28">
        <f>G91*220</f>
        <v>880</v>
      </c>
      <c r="I91" s="82" t="b">
        <v>1</v>
      </c>
      <c r="J91" s="116">
        <f t="shared" si="10"/>
        <v>1.46</v>
      </c>
      <c r="K91" s="124">
        <v>1284.8</v>
      </c>
      <c r="L91" s="22">
        <f>595*(880/(4000+880))</f>
        <v>107.29508196721312</v>
      </c>
      <c r="M91" s="22"/>
      <c r="N91" s="22"/>
      <c r="O91" s="22"/>
      <c r="P91" s="23"/>
      <c r="Q91" s="23"/>
      <c r="R91" s="23"/>
      <c r="S91" s="23"/>
      <c r="T91" s="23"/>
      <c r="U91" s="19">
        <f t="shared" si="12"/>
        <v>1392.095081967213</v>
      </c>
      <c r="V91" s="128">
        <f t="shared" si="11"/>
        <v>1.5819262295081966</v>
      </c>
      <c r="X91" s="54"/>
      <c r="Y91" s="56"/>
      <c r="AA91" s="2"/>
      <c r="AB91" s="2"/>
      <c r="AC91" s="132" t="str">
        <f t="shared" si="16"/>
        <v/>
      </c>
    </row>
    <row r="92" spans="1:29" ht="15.75">
      <c r="A92" s="29" t="s">
        <v>223</v>
      </c>
      <c r="B92" s="3" t="s">
        <v>224</v>
      </c>
      <c r="C92" s="3" t="s">
        <v>133</v>
      </c>
      <c r="D92" s="3" t="s">
        <v>222</v>
      </c>
      <c r="E92" s="3" t="str">
        <f t="shared" si="17"/>
        <v>Direct</v>
      </c>
      <c r="F92" s="3" t="s">
        <v>121</v>
      </c>
      <c r="G92" s="3">
        <v>4</v>
      </c>
      <c r="H92" s="28">
        <v>4000</v>
      </c>
      <c r="I92" s="82" t="b">
        <v>1</v>
      </c>
      <c r="J92" s="116">
        <f t="shared" si="10"/>
        <v>1.43</v>
      </c>
      <c r="K92" s="124">
        <v>5720</v>
      </c>
      <c r="L92" s="22">
        <f>595*(4000/(4000+880))</f>
        <v>487.70491803278691</v>
      </c>
      <c r="M92" s="22"/>
      <c r="N92" s="22"/>
      <c r="O92" s="22"/>
      <c r="P92" s="23"/>
      <c r="Q92" s="23"/>
      <c r="R92" s="23"/>
      <c r="S92" s="23"/>
      <c r="T92" s="23"/>
      <c r="U92" s="19">
        <f t="shared" si="12"/>
        <v>6207.7049180327867</v>
      </c>
      <c r="V92" s="128">
        <f t="shared" si="11"/>
        <v>1.5519262295081966</v>
      </c>
      <c r="X92" s="54"/>
      <c r="Y92" s="56"/>
      <c r="AA92" s="2"/>
      <c r="AB92" s="2"/>
      <c r="AC92" s="132" t="str">
        <f t="shared" si="16"/>
        <v/>
      </c>
    </row>
    <row r="93" spans="1:29" ht="15.75">
      <c r="A93" s="29" t="s">
        <v>225</v>
      </c>
      <c r="B93" s="3" t="s">
        <v>157</v>
      </c>
      <c r="C93" s="3" t="s">
        <v>126</v>
      </c>
      <c r="D93" s="3" t="s">
        <v>226</v>
      </c>
      <c r="E93" s="3" t="str">
        <f>IF(B93="","",IF(D93="Godfroy","Godfroy",(IF(LEFT(B93,1)="1","Hiwa","Direct"))))</f>
        <v>Direct</v>
      </c>
      <c r="F93" s="3" t="s">
        <v>128</v>
      </c>
      <c r="G93" s="3">
        <v>10</v>
      </c>
      <c r="H93" s="28">
        <f>G93*21</f>
        <v>210</v>
      </c>
      <c r="I93" s="82" t="b">
        <v>1</v>
      </c>
      <c r="J93" s="116">
        <f t="shared" si="10"/>
        <v>1</v>
      </c>
      <c r="K93" s="124">
        <v>210</v>
      </c>
      <c r="L93" s="22">
        <v>145.44</v>
      </c>
      <c r="M93" s="22"/>
      <c r="N93" s="22"/>
      <c r="O93" s="22"/>
      <c r="P93" s="23"/>
      <c r="Q93" s="23"/>
      <c r="R93" s="23"/>
      <c r="S93" s="23"/>
      <c r="T93" s="23"/>
      <c r="U93" s="19">
        <f t="shared" si="12"/>
        <v>355.44</v>
      </c>
      <c r="V93" s="128">
        <f t="shared" si="11"/>
        <v>1.6925714285714286</v>
      </c>
      <c r="X93" s="54"/>
      <c r="Y93" s="56"/>
      <c r="AA93" s="2"/>
      <c r="AB93" s="2"/>
      <c r="AC93" s="132" t="str">
        <f t="shared" si="16"/>
        <v/>
      </c>
    </row>
    <row r="94" spans="1:29" ht="15.75">
      <c r="A94" s="29" t="s">
        <v>227</v>
      </c>
      <c r="B94" s="3" t="s">
        <v>57</v>
      </c>
      <c r="C94" s="3" t="s">
        <v>58</v>
      </c>
      <c r="D94" s="3" t="s">
        <v>73</v>
      </c>
      <c r="E94" s="3" t="str">
        <f t="shared" ref="E94:E99" si="19">IF(B94="","",IF(D94="Godfroy","Godfroy",(IF(LEFT(B94,1)="1","Hiwa","Direct"))))</f>
        <v>Hiwa</v>
      </c>
      <c r="F94" s="3" t="s">
        <v>59</v>
      </c>
      <c r="G94" s="3">
        <v>140</v>
      </c>
      <c r="H94" s="28">
        <f>G94*190</f>
        <v>26600</v>
      </c>
      <c r="I94" s="82" t="b">
        <v>0</v>
      </c>
      <c r="J94" s="116">
        <f t="shared" si="10"/>
        <v>0</v>
      </c>
      <c r="K94" s="124"/>
      <c r="L94" s="22"/>
      <c r="M94" s="22"/>
      <c r="N94" s="22"/>
      <c r="O94" s="22"/>
      <c r="P94" s="23"/>
      <c r="Q94" s="23"/>
      <c r="R94" s="23"/>
      <c r="S94" s="23"/>
      <c r="T94" s="23"/>
      <c r="U94" s="19">
        <f t="shared" si="12"/>
        <v>0</v>
      </c>
      <c r="V94" s="128">
        <f t="shared" si="11"/>
        <v>0</v>
      </c>
      <c r="X94" s="54"/>
      <c r="Y94" s="56"/>
      <c r="AA94" s="2"/>
      <c r="AB94" s="2"/>
      <c r="AC94" s="132" t="str">
        <f t="shared" si="16"/>
        <v/>
      </c>
    </row>
    <row r="95" spans="1:29" ht="15.75">
      <c r="A95" s="29" t="s">
        <v>228</v>
      </c>
      <c r="B95" s="3" t="s">
        <v>57</v>
      </c>
      <c r="C95" s="3" t="s">
        <v>229</v>
      </c>
      <c r="D95" s="3" t="s">
        <v>73</v>
      </c>
      <c r="E95" s="3" t="str">
        <f t="shared" si="19"/>
        <v>Hiwa</v>
      </c>
      <c r="F95" s="3" t="s">
        <v>59</v>
      </c>
      <c r="G95" s="3">
        <v>140</v>
      </c>
      <c r="H95" s="28">
        <f>G95*190</f>
        <v>26600</v>
      </c>
      <c r="I95" s="82" t="b">
        <v>0</v>
      </c>
      <c r="J95" s="116">
        <f t="shared" si="10"/>
        <v>0</v>
      </c>
      <c r="K95" s="124"/>
      <c r="L95" s="22"/>
      <c r="M95" s="22"/>
      <c r="N95" s="22"/>
      <c r="O95" s="22"/>
      <c r="P95" s="23"/>
      <c r="Q95" s="23"/>
      <c r="R95" s="23"/>
      <c r="S95" s="23"/>
      <c r="T95" s="23"/>
      <c r="U95" s="19">
        <f t="shared" si="12"/>
        <v>0</v>
      </c>
      <c r="V95" s="128">
        <f t="shared" si="11"/>
        <v>0</v>
      </c>
      <c r="X95" s="54"/>
      <c r="Y95" s="56"/>
      <c r="AA95" s="2"/>
      <c r="AB95" s="2"/>
      <c r="AC95" s="132" t="str">
        <f t="shared" si="16"/>
        <v/>
      </c>
    </row>
    <row r="96" spans="1:29" ht="15.75">
      <c r="A96" s="29" t="s">
        <v>230</v>
      </c>
      <c r="B96" s="3" t="s">
        <v>82</v>
      </c>
      <c r="C96" s="3" t="s">
        <v>83</v>
      </c>
      <c r="D96" s="3" t="s">
        <v>73</v>
      </c>
      <c r="E96" s="3" t="str">
        <f t="shared" si="19"/>
        <v>Hiwa</v>
      </c>
      <c r="F96" s="3" t="s">
        <v>59</v>
      </c>
      <c r="G96" s="3">
        <v>128</v>
      </c>
      <c r="H96" s="28">
        <f>G96*204</f>
        <v>26112</v>
      </c>
      <c r="I96" s="82" t="b">
        <v>0</v>
      </c>
      <c r="J96" s="116">
        <f t="shared" si="10"/>
        <v>0</v>
      </c>
      <c r="K96" s="124"/>
      <c r="L96" s="22"/>
      <c r="M96" s="22"/>
      <c r="N96" s="22"/>
      <c r="O96" s="22"/>
      <c r="P96" s="23"/>
      <c r="Q96" s="23"/>
      <c r="R96" s="23"/>
      <c r="S96" s="23"/>
      <c r="T96" s="23"/>
      <c r="U96" s="19">
        <f t="shared" si="12"/>
        <v>0</v>
      </c>
      <c r="V96" s="128">
        <f t="shared" si="11"/>
        <v>0</v>
      </c>
      <c r="X96" s="54"/>
      <c r="Y96" s="72"/>
      <c r="AA96" s="2"/>
      <c r="AB96" s="2"/>
      <c r="AC96" s="132" t="str">
        <f t="shared" si="16"/>
        <v/>
      </c>
    </row>
    <row r="97" spans="1:29" ht="15.75">
      <c r="A97" s="29" t="s">
        <v>231</v>
      </c>
      <c r="B97" s="3" t="s">
        <v>82</v>
      </c>
      <c r="C97" s="3" t="s">
        <v>83</v>
      </c>
      <c r="D97" s="3" t="s">
        <v>73</v>
      </c>
      <c r="E97" s="3" t="str">
        <f t="shared" si="19"/>
        <v>Hiwa</v>
      </c>
      <c r="F97" s="3" t="s">
        <v>59</v>
      </c>
      <c r="G97" s="3">
        <v>128</v>
      </c>
      <c r="H97" s="28">
        <f>G97*204</f>
        <v>26112</v>
      </c>
      <c r="I97" s="82" t="b">
        <v>0</v>
      </c>
      <c r="J97" s="116">
        <f t="shared" si="10"/>
        <v>0</v>
      </c>
      <c r="K97" s="124"/>
      <c r="L97" s="22"/>
      <c r="M97" s="22"/>
      <c r="N97" s="22"/>
      <c r="O97" s="22"/>
      <c r="P97" s="23"/>
      <c r="Q97" s="23"/>
      <c r="R97" s="23"/>
      <c r="S97" s="23"/>
      <c r="T97" s="23"/>
      <c r="U97" s="19">
        <f t="shared" si="12"/>
        <v>0</v>
      </c>
      <c r="V97" s="128">
        <f t="shared" si="11"/>
        <v>0</v>
      </c>
      <c r="X97" s="54"/>
      <c r="Y97" s="56"/>
      <c r="AA97" s="2"/>
      <c r="AB97" s="2"/>
      <c r="AC97" s="132" t="str">
        <f t="shared" si="16"/>
        <v/>
      </c>
    </row>
    <row r="98" spans="1:29" ht="15.75">
      <c r="A98" s="29" t="s">
        <v>232</v>
      </c>
      <c r="B98" s="3" t="s">
        <v>143</v>
      </c>
      <c r="C98" s="9" t="s">
        <v>119</v>
      </c>
      <c r="D98" s="3" t="s">
        <v>144</v>
      </c>
      <c r="E98" s="3" t="str">
        <f t="shared" si="19"/>
        <v>Direct</v>
      </c>
      <c r="F98" s="10" t="s">
        <v>121</v>
      </c>
      <c r="G98" s="1">
        <v>110</v>
      </c>
      <c r="H98" s="27">
        <v>1100</v>
      </c>
      <c r="I98" s="82" t="b">
        <v>1</v>
      </c>
      <c r="J98" s="116">
        <f t="shared" si="10"/>
        <v>0</v>
      </c>
      <c r="K98" s="124"/>
      <c r="L98" s="22"/>
      <c r="M98" s="22"/>
      <c r="N98" s="22"/>
      <c r="O98" s="22"/>
      <c r="P98" s="23"/>
      <c r="Q98" s="23"/>
      <c r="R98" s="23"/>
      <c r="S98" s="23"/>
      <c r="T98" s="23"/>
      <c r="U98" s="19">
        <f t="shared" si="12"/>
        <v>0</v>
      </c>
      <c r="V98" s="128">
        <f t="shared" si="11"/>
        <v>0</v>
      </c>
      <c r="X98" s="54"/>
      <c r="Y98" s="56"/>
      <c r="AA98" s="2"/>
      <c r="AB98" s="2"/>
      <c r="AC98" s="132" t="str">
        <f t="shared" si="16"/>
        <v/>
      </c>
    </row>
    <row r="99" spans="1:29" ht="15.75">
      <c r="A99" s="29" t="s">
        <v>233</v>
      </c>
      <c r="B99" s="3" t="s">
        <v>234</v>
      </c>
      <c r="C99" s="3" t="s">
        <v>119</v>
      </c>
      <c r="D99" s="3" t="s">
        <v>235</v>
      </c>
      <c r="E99" s="3" t="str">
        <f t="shared" si="19"/>
        <v>Direct</v>
      </c>
      <c r="F99" s="3" t="s">
        <v>121</v>
      </c>
      <c r="G99" s="3">
        <v>8</v>
      </c>
      <c r="H99" s="28">
        <v>240</v>
      </c>
      <c r="I99" s="82" t="b">
        <v>1</v>
      </c>
      <c r="J99" s="116">
        <f t="shared" si="10"/>
        <v>1.6</v>
      </c>
      <c r="K99" s="124">
        <v>384</v>
      </c>
      <c r="L99" s="22"/>
      <c r="M99" s="22"/>
      <c r="N99" s="22"/>
      <c r="O99" s="22"/>
      <c r="P99" s="23"/>
      <c r="Q99" s="23"/>
      <c r="R99" s="23"/>
      <c r="S99" s="23"/>
      <c r="T99" s="23"/>
      <c r="U99" s="19">
        <f t="shared" si="12"/>
        <v>384</v>
      </c>
      <c r="V99" s="128">
        <f t="shared" si="11"/>
        <v>1.6</v>
      </c>
      <c r="X99" s="54"/>
      <c r="Y99" s="56"/>
      <c r="AA99" s="2"/>
      <c r="AB99" s="2"/>
      <c r="AC99" s="132" t="str">
        <f t="shared" si="16"/>
        <v/>
      </c>
    </row>
    <row r="100" spans="1:29" ht="15.75">
      <c r="A100" s="29" t="s">
        <v>236</v>
      </c>
      <c r="B100" s="3" t="s">
        <v>377</v>
      </c>
      <c r="C100" s="3" t="s">
        <v>126</v>
      </c>
      <c r="D100" s="3" t="s">
        <v>127</v>
      </c>
      <c r="E100" s="3" t="str">
        <f>IF(B100="","",IF(D100="Godfroy","Godfroy",(IF(LEFT(B100,1)="1","Hiwa","Direct"))))</f>
        <v>Direct</v>
      </c>
      <c r="F100" s="3" t="s">
        <v>128</v>
      </c>
      <c r="G100" s="3">
        <v>2</v>
      </c>
      <c r="H100" s="28">
        <f>G100*220</f>
        <v>440</v>
      </c>
      <c r="I100" s="82" t="b">
        <v>1</v>
      </c>
      <c r="J100" s="116">
        <f t="shared" si="10"/>
        <v>0.97</v>
      </c>
      <c r="K100" s="124">
        <v>426.8</v>
      </c>
      <c r="L100" s="22">
        <f>(181*1.09)/2</f>
        <v>98.64500000000001</v>
      </c>
      <c r="M100" s="22"/>
      <c r="N100" s="22"/>
      <c r="O100" s="22"/>
      <c r="P100" s="23"/>
      <c r="Q100" s="23"/>
      <c r="R100" s="23"/>
      <c r="S100" s="23"/>
      <c r="T100" s="23"/>
      <c r="U100" s="19">
        <f t="shared" si="12"/>
        <v>525.44500000000005</v>
      </c>
      <c r="V100" s="128">
        <f t="shared" si="11"/>
        <v>1.1941931818181819</v>
      </c>
      <c r="X100" s="54"/>
      <c r="Y100" s="56"/>
      <c r="AA100" s="2"/>
      <c r="AB100" s="2"/>
      <c r="AC100" s="132" t="str">
        <f t="shared" si="16"/>
        <v/>
      </c>
    </row>
    <row r="101" spans="1:29" ht="16.5" customHeight="1">
      <c r="A101" s="29" t="s">
        <v>237</v>
      </c>
      <c r="B101" s="3" t="s">
        <v>377</v>
      </c>
      <c r="C101" s="3" t="s">
        <v>126</v>
      </c>
      <c r="D101" s="3" t="s">
        <v>127</v>
      </c>
      <c r="E101" s="3" t="str">
        <f>IF(B101="","",IF(D101="Godfroy","Godfroy",(IF(LEFT(B101,1)="1","Hiwa","Direct"))))</f>
        <v>Direct</v>
      </c>
      <c r="F101" s="3" t="s">
        <v>128</v>
      </c>
      <c r="G101" s="3">
        <v>2</v>
      </c>
      <c r="H101" s="28">
        <f>G101*220</f>
        <v>440</v>
      </c>
      <c r="I101" s="82" t="b">
        <v>1</v>
      </c>
      <c r="J101" s="116">
        <f t="shared" si="10"/>
        <v>0.78</v>
      </c>
      <c r="K101" s="124">
        <f>2*171.6</f>
        <v>343.2</v>
      </c>
      <c r="L101" s="22">
        <v>98</v>
      </c>
      <c r="M101" s="22"/>
      <c r="N101" s="22"/>
      <c r="O101" s="22"/>
      <c r="P101" s="23"/>
      <c r="Q101" s="23"/>
      <c r="R101" s="23"/>
      <c r="S101" s="23"/>
      <c r="T101" s="23"/>
      <c r="U101" s="19">
        <f>IF(B101="","",K101+SUM(L101:Q101))</f>
        <v>441.2</v>
      </c>
      <c r="V101" s="128">
        <f t="shared" si="11"/>
        <v>1.0027272727272727</v>
      </c>
      <c r="X101" s="54"/>
      <c r="Y101" s="56"/>
      <c r="AA101" s="2"/>
      <c r="AB101" s="2"/>
      <c r="AC101" s="132" t="str">
        <f t="shared" si="16"/>
        <v/>
      </c>
    </row>
    <row r="102" spans="1:29" ht="15.75">
      <c r="A102" s="29" t="s">
        <v>238</v>
      </c>
      <c r="B102" s="3" t="s">
        <v>239</v>
      </c>
      <c r="C102" s="3" t="s">
        <v>44</v>
      </c>
      <c r="D102" s="3" t="s">
        <v>240</v>
      </c>
      <c r="E102" s="3" t="str">
        <f>IF(B102="","",IF(D102="Godfroy","Godfroy",(IF(LEFT(B102,1)="1","Hiwa","Direct"))))</f>
        <v>Direct</v>
      </c>
      <c r="F102" s="3" t="s">
        <v>241</v>
      </c>
      <c r="G102" s="3">
        <v>2</v>
      </c>
      <c r="H102" s="28">
        <f>G102*215</f>
        <v>430</v>
      </c>
      <c r="I102" s="82" t="b">
        <v>1</v>
      </c>
      <c r="J102" s="116">
        <f t="shared" si="10"/>
        <v>1.7998560115190785</v>
      </c>
      <c r="K102" s="124">
        <f>860/1.1112</f>
        <v>773.93808495320377</v>
      </c>
      <c r="L102" s="22">
        <v>427</v>
      </c>
      <c r="M102" s="22">
        <f>85+56</f>
        <v>141</v>
      </c>
      <c r="N102" s="22"/>
      <c r="O102" s="22"/>
      <c r="P102" s="23"/>
      <c r="Q102" s="23"/>
      <c r="R102" s="23"/>
      <c r="S102" s="23"/>
      <c r="T102" s="23"/>
      <c r="U102" s="19">
        <f t="shared" si="12"/>
        <v>1341.9380849532038</v>
      </c>
      <c r="V102" s="128">
        <f t="shared" si="11"/>
        <v>3.1207862440772183</v>
      </c>
      <c r="X102" s="54"/>
      <c r="Y102" s="56"/>
      <c r="AA102" s="2"/>
      <c r="AB102" s="2"/>
      <c r="AC102" s="132" t="str">
        <f t="shared" si="16"/>
        <v/>
      </c>
    </row>
    <row r="103" spans="1:29" ht="15.75">
      <c r="A103" s="29" t="s">
        <v>242</v>
      </c>
      <c r="B103" s="3" t="s">
        <v>186</v>
      </c>
      <c r="C103" s="9" t="s">
        <v>29</v>
      </c>
      <c r="D103" s="3" t="s">
        <v>112</v>
      </c>
      <c r="E103" s="3" t="str">
        <f t="shared" ref="E103" si="20">IF(B103="","",IF(D103="Godfroy","Godfroy",(IF(LEFT(B103,1)="1","Hiwa","Direct"))))</f>
        <v>Direct</v>
      </c>
      <c r="F103" s="3" t="s">
        <v>46</v>
      </c>
      <c r="G103" s="3">
        <v>320</v>
      </c>
      <c r="H103" s="28">
        <f>G103*215</f>
        <v>68800</v>
      </c>
      <c r="I103" s="82" t="b">
        <v>0</v>
      </c>
      <c r="J103" s="116">
        <f t="shared" si="10"/>
        <v>0</v>
      </c>
      <c r="K103" s="124"/>
      <c r="L103" s="106"/>
      <c r="M103" s="22"/>
      <c r="N103" s="22"/>
      <c r="O103" s="22"/>
      <c r="P103" s="23"/>
      <c r="Q103" s="23"/>
      <c r="R103" s="23"/>
      <c r="S103" s="23"/>
      <c r="T103" s="23"/>
      <c r="U103" s="19">
        <f t="shared" si="12"/>
        <v>0</v>
      </c>
      <c r="V103" s="128">
        <f t="shared" si="11"/>
        <v>0</v>
      </c>
      <c r="X103" s="54"/>
      <c r="Y103" s="56"/>
      <c r="AA103" s="2"/>
      <c r="AB103" s="2"/>
      <c r="AC103" s="132" t="str">
        <f t="shared" si="16"/>
        <v/>
      </c>
    </row>
    <row r="104" spans="1:29" ht="15.75">
      <c r="A104" s="29" t="s">
        <v>243</v>
      </c>
      <c r="B104" s="3" t="s">
        <v>378</v>
      </c>
      <c r="C104" s="9"/>
      <c r="D104" s="3"/>
      <c r="E104" s="3"/>
      <c r="F104" s="10"/>
      <c r="G104" s="1"/>
      <c r="H104" s="27"/>
      <c r="I104" s="82" t="b">
        <v>0</v>
      </c>
      <c r="J104" s="116" t="str">
        <f t="shared" si="10"/>
        <v/>
      </c>
      <c r="K104" s="124"/>
      <c r="L104" s="22"/>
      <c r="M104" s="22"/>
      <c r="N104" s="22"/>
      <c r="O104" s="22"/>
      <c r="P104" s="23"/>
      <c r="Q104" s="23"/>
      <c r="R104" s="23"/>
      <c r="S104" s="23"/>
      <c r="T104" s="23"/>
      <c r="U104" s="19">
        <f t="shared" si="12"/>
        <v>0</v>
      </c>
      <c r="V104" s="128" t="str">
        <f t="shared" si="11"/>
        <v/>
      </c>
      <c r="X104" s="54"/>
      <c r="Y104" s="56"/>
      <c r="AA104" s="2"/>
      <c r="AB104" s="2"/>
      <c r="AC104" s="132" t="str">
        <f t="shared" si="16"/>
        <v/>
      </c>
    </row>
    <row r="105" spans="1:29" ht="15.75">
      <c r="A105" s="29" t="s">
        <v>244</v>
      </c>
      <c r="B105" s="3" t="s">
        <v>186</v>
      </c>
      <c r="C105" s="9" t="s">
        <v>29</v>
      </c>
      <c r="D105" s="3" t="s">
        <v>112</v>
      </c>
      <c r="E105" s="3" t="str">
        <f t="shared" ref="E105:E107" si="21">IF(B105="","",IF(D105="Godfroy","Godfroy",(IF(LEFT(B105,1)="1","Hiwa","Direct"))))</f>
        <v>Direct</v>
      </c>
      <c r="F105" s="3" t="s">
        <v>46</v>
      </c>
      <c r="G105" s="3">
        <v>80</v>
      </c>
      <c r="H105" s="28">
        <f>G105*215</f>
        <v>17200</v>
      </c>
      <c r="I105" s="82" t="b">
        <v>0</v>
      </c>
      <c r="J105" s="116">
        <f t="shared" si="10"/>
        <v>0</v>
      </c>
      <c r="K105" s="124"/>
      <c r="L105" s="22"/>
      <c r="M105" s="22"/>
      <c r="N105" s="22"/>
      <c r="O105" s="22"/>
      <c r="P105" s="23"/>
      <c r="Q105" s="23"/>
      <c r="R105" s="23"/>
      <c r="S105" s="23"/>
      <c r="T105" s="23"/>
      <c r="U105" s="19">
        <f t="shared" si="12"/>
        <v>0</v>
      </c>
      <c r="V105" s="128">
        <f t="shared" si="11"/>
        <v>0</v>
      </c>
      <c r="X105" s="54"/>
      <c r="Y105" s="56"/>
      <c r="AA105" s="2"/>
      <c r="AB105" s="2"/>
      <c r="AC105" s="132" t="str">
        <f t="shared" si="16"/>
        <v/>
      </c>
    </row>
    <row r="106" spans="1:29" ht="15.75">
      <c r="A106" s="29" t="s">
        <v>245</v>
      </c>
      <c r="B106" s="3" t="s">
        <v>246</v>
      </c>
      <c r="C106" s="3" t="s">
        <v>176</v>
      </c>
      <c r="D106" s="3" t="s">
        <v>247</v>
      </c>
      <c r="E106" s="3" t="str">
        <f t="shared" si="21"/>
        <v>Direct</v>
      </c>
      <c r="F106" s="3" t="s">
        <v>121</v>
      </c>
      <c r="G106" s="3">
        <v>4</v>
      </c>
      <c r="H106" s="28">
        <v>800</v>
      </c>
      <c r="I106" s="82" t="b">
        <v>1</v>
      </c>
      <c r="J106" s="116">
        <f t="shared" ref="J106:J145" si="22">IF(H106="","",+K106/H106)</f>
        <v>1.85</v>
      </c>
      <c r="K106" s="124">
        <v>1480</v>
      </c>
      <c r="L106" s="22">
        <v>435</v>
      </c>
      <c r="M106" s="22"/>
      <c r="N106" s="22"/>
      <c r="O106" s="22"/>
      <c r="P106" s="23"/>
      <c r="Q106" s="23"/>
      <c r="R106" s="23"/>
      <c r="S106" s="23"/>
      <c r="T106" s="23"/>
      <c r="U106" s="19">
        <f t="shared" si="12"/>
        <v>1915</v>
      </c>
      <c r="V106" s="128">
        <f t="shared" ref="V106:V146" si="23">IF(J106="","",+U106/H106)</f>
        <v>2.3937499999999998</v>
      </c>
      <c r="X106" s="54"/>
      <c r="Y106" s="56"/>
      <c r="AA106" s="2"/>
      <c r="AB106" s="2"/>
      <c r="AC106" s="132" t="str">
        <f t="shared" si="16"/>
        <v/>
      </c>
    </row>
    <row r="107" spans="1:29" ht="15.75">
      <c r="A107" s="29" t="s">
        <v>248</v>
      </c>
      <c r="B107" s="3" t="s">
        <v>186</v>
      </c>
      <c r="C107" s="9" t="s">
        <v>29</v>
      </c>
      <c r="D107" s="3" t="s">
        <v>112</v>
      </c>
      <c r="E107" s="3" t="str">
        <f t="shared" si="21"/>
        <v>Direct</v>
      </c>
      <c r="F107" s="3" t="s">
        <v>46</v>
      </c>
      <c r="G107" s="3">
        <v>80</v>
      </c>
      <c r="H107" s="28">
        <f>G107*215</f>
        <v>17200</v>
      </c>
      <c r="I107" s="82" t="b">
        <v>0</v>
      </c>
      <c r="J107" s="116">
        <f t="shared" si="22"/>
        <v>0</v>
      </c>
      <c r="K107" s="124"/>
      <c r="L107" s="22"/>
      <c r="M107" s="22"/>
      <c r="N107" s="22"/>
      <c r="O107" s="22"/>
      <c r="P107" s="23"/>
      <c r="Q107" s="23"/>
      <c r="R107" s="23"/>
      <c r="S107" s="23"/>
      <c r="T107" s="23"/>
      <c r="U107" s="19">
        <f t="shared" si="12"/>
        <v>0</v>
      </c>
      <c r="V107" s="128">
        <f t="shared" si="23"/>
        <v>0</v>
      </c>
      <c r="X107" s="54"/>
      <c r="Y107" s="56"/>
      <c r="AA107" s="2"/>
      <c r="AB107" s="2"/>
      <c r="AC107" s="132" t="str">
        <f t="shared" si="16"/>
        <v/>
      </c>
    </row>
    <row r="108" spans="1:29" ht="15.75">
      <c r="A108" s="29" t="s">
        <v>249</v>
      </c>
      <c r="B108" s="3" t="s">
        <v>377</v>
      </c>
      <c r="C108" s="3" t="s">
        <v>126</v>
      </c>
      <c r="D108" s="3" t="s">
        <v>127</v>
      </c>
      <c r="E108" s="3" t="str">
        <f>IF(B108="","",IF(D108="Godfroy","Godfroy",(IF(LEFT(B108,1)="1","Hiwa","Direct"))))</f>
        <v>Direct</v>
      </c>
      <c r="F108" s="3" t="s">
        <v>128</v>
      </c>
      <c r="G108" s="3">
        <v>4</v>
      </c>
      <c r="H108" s="28">
        <f>G108*220</f>
        <v>880</v>
      </c>
      <c r="I108" s="82" t="b">
        <v>1</v>
      </c>
      <c r="J108" s="116">
        <f t="shared" si="22"/>
        <v>0.78</v>
      </c>
      <c r="K108" s="124">
        <v>686.4</v>
      </c>
      <c r="L108" s="22">
        <f>181*1.09</f>
        <v>197.29000000000002</v>
      </c>
      <c r="M108" s="22"/>
      <c r="N108" s="22"/>
      <c r="O108" s="22"/>
      <c r="P108" s="23"/>
      <c r="Q108" s="23"/>
      <c r="R108" s="23"/>
      <c r="S108" s="23"/>
      <c r="T108" s="23"/>
      <c r="U108" s="19">
        <f t="shared" si="12"/>
        <v>883.69</v>
      </c>
      <c r="V108" s="128">
        <f t="shared" si="23"/>
        <v>1.004193181818182</v>
      </c>
      <c r="X108" s="54"/>
      <c r="Y108" s="56"/>
      <c r="AA108" s="2"/>
      <c r="AB108" s="2"/>
      <c r="AC108" s="132" t="str">
        <f t="shared" si="16"/>
        <v/>
      </c>
    </row>
    <row r="109" spans="1:29" ht="15.75">
      <c r="A109" s="29" t="s">
        <v>250</v>
      </c>
      <c r="B109" s="3" t="s">
        <v>175</v>
      </c>
      <c r="C109" s="9" t="s">
        <v>176</v>
      </c>
      <c r="D109" s="3" t="s">
        <v>177</v>
      </c>
      <c r="E109" s="3" t="str">
        <f t="shared" ref="E109:E110" si="24">IF(B109="","",IF(D109="Godfroy","Godfroy",(IF(LEFT(B109,1)="1","Hiwa","Direct"))))</f>
        <v>Direct</v>
      </c>
      <c r="F109" s="10" t="s">
        <v>128</v>
      </c>
      <c r="G109" s="1">
        <v>19</v>
      </c>
      <c r="H109" s="27">
        <f>G109*24</f>
        <v>456</v>
      </c>
      <c r="I109" s="82" t="b">
        <v>1</v>
      </c>
      <c r="J109" s="116">
        <f t="shared" si="22"/>
        <v>2.2000000000000002</v>
      </c>
      <c r="K109" s="124">
        <v>1003.2</v>
      </c>
      <c r="L109" s="22">
        <v>280</v>
      </c>
      <c r="M109" s="22"/>
      <c r="N109" s="22"/>
      <c r="O109" s="22"/>
      <c r="P109" s="23"/>
      <c r="Q109" s="23"/>
      <c r="R109" s="23"/>
      <c r="S109" s="23"/>
      <c r="T109" s="23"/>
      <c r="U109" s="19">
        <f t="shared" si="12"/>
        <v>1283.2</v>
      </c>
      <c r="V109" s="128">
        <f t="shared" si="23"/>
        <v>2.8140350877192986</v>
      </c>
      <c r="X109" s="54"/>
      <c r="Y109" s="56"/>
      <c r="AA109" s="2"/>
      <c r="AB109" s="2"/>
      <c r="AC109" s="132" t="str">
        <f t="shared" si="16"/>
        <v/>
      </c>
    </row>
    <row r="110" spans="1:29" ht="15.75">
      <c r="A110" s="29" t="s">
        <v>251</v>
      </c>
      <c r="B110" s="3" t="s">
        <v>252</v>
      </c>
      <c r="C110" s="9" t="s">
        <v>176</v>
      </c>
      <c r="D110" s="3" t="s">
        <v>177</v>
      </c>
      <c r="E110" s="3" t="str">
        <f t="shared" si="24"/>
        <v>Direct</v>
      </c>
      <c r="F110" s="10" t="s">
        <v>128</v>
      </c>
      <c r="G110" s="1">
        <v>36</v>
      </c>
      <c r="H110" s="27">
        <f>+G110*12</f>
        <v>432</v>
      </c>
      <c r="I110" s="82" t="b">
        <v>1</v>
      </c>
      <c r="J110" s="116">
        <f t="shared" si="22"/>
        <v>2.9</v>
      </c>
      <c r="K110" s="124">
        <v>1252.8</v>
      </c>
      <c r="L110" s="22">
        <v>280</v>
      </c>
      <c r="M110" s="22"/>
      <c r="N110" s="22"/>
      <c r="O110" s="22"/>
      <c r="P110" s="23"/>
      <c r="Q110" s="23"/>
      <c r="R110" s="23"/>
      <c r="S110" s="23"/>
      <c r="T110" s="23"/>
      <c r="U110" s="19">
        <f t="shared" si="12"/>
        <v>1532.8</v>
      </c>
      <c r="V110" s="128">
        <f t="shared" si="23"/>
        <v>3.5481481481481478</v>
      </c>
      <c r="X110" s="54"/>
      <c r="Y110" s="56"/>
      <c r="AA110" s="2"/>
      <c r="AB110" s="2"/>
      <c r="AC110" s="132" t="str">
        <f t="shared" si="16"/>
        <v/>
      </c>
    </row>
    <row r="111" spans="1:29" ht="15.75">
      <c r="A111" s="29" t="s">
        <v>253</v>
      </c>
      <c r="B111" s="3" t="s">
        <v>254</v>
      </c>
      <c r="C111" s="9" t="s">
        <v>66</v>
      </c>
      <c r="D111" s="3" t="s">
        <v>116</v>
      </c>
      <c r="E111" s="3" t="s">
        <v>255</v>
      </c>
      <c r="F111" s="10" t="s">
        <v>59</v>
      </c>
      <c r="G111" s="1">
        <v>120</v>
      </c>
      <c r="H111" s="27">
        <f>+G111*200</f>
        <v>24000</v>
      </c>
      <c r="I111" s="82" t="b">
        <v>0</v>
      </c>
      <c r="J111" s="116">
        <f t="shared" si="22"/>
        <v>0</v>
      </c>
      <c r="K111" s="124"/>
      <c r="L111" s="22"/>
      <c r="M111" s="22"/>
      <c r="N111" s="22"/>
      <c r="O111" s="22"/>
      <c r="P111" s="23"/>
      <c r="Q111" s="23"/>
      <c r="R111" s="23"/>
      <c r="S111" s="23"/>
      <c r="T111" s="23"/>
      <c r="U111" s="19">
        <f t="shared" si="12"/>
        <v>0</v>
      </c>
      <c r="V111" s="128">
        <f t="shared" si="23"/>
        <v>0</v>
      </c>
      <c r="X111" s="54"/>
      <c r="Y111" s="56"/>
      <c r="AA111" s="2"/>
      <c r="AB111" s="2"/>
      <c r="AC111" s="132" t="str">
        <f t="shared" si="16"/>
        <v/>
      </c>
    </row>
    <row r="112" spans="1:29" ht="15.75">
      <c r="A112" s="29" t="s">
        <v>256</v>
      </c>
      <c r="B112" s="3" t="s">
        <v>93</v>
      </c>
      <c r="C112" s="9" t="s">
        <v>90</v>
      </c>
      <c r="D112" s="3" t="s">
        <v>94</v>
      </c>
      <c r="E112" s="3" t="str">
        <f t="shared" ref="E112" si="25">IF(B112="","",IF(D112="Godfroy","Godfroy",(IF(LEFT(B112,1)="1","Hiwa","Direct"))))</f>
        <v>Direct</v>
      </c>
      <c r="F112" s="10" t="s">
        <v>59</v>
      </c>
      <c r="G112" s="1">
        <v>124</v>
      </c>
      <c r="H112" s="27">
        <f>G112*205</f>
        <v>25420</v>
      </c>
      <c r="I112" s="82" t="b">
        <v>0</v>
      </c>
      <c r="J112" s="116">
        <f t="shared" si="22"/>
        <v>0</v>
      </c>
      <c r="K112" s="124"/>
      <c r="L112" s="22"/>
      <c r="M112" s="22"/>
      <c r="N112" s="22"/>
      <c r="O112" s="22"/>
      <c r="P112" s="23"/>
      <c r="Q112" s="23"/>
      <c r="R112" s="23"/>
      <c r="S112" s="23"/>
      <c r="T112" s="23"/>
      <c r="U112" s="19">
        <f t="shared" si="12"/>
        <v>0</v>
      </c>
      <c r="V112" s="128">
        <f t="shared" si="23"/>
        <v>0</v>
      </c>
      <c r="X112" s="54"/>
      <c r="Y112" s="56"/>
      <c r="AA112" s="2"/>
      <c r="AB112" s="2"/>
      <c r="AC112" s="132" t="str">
        <f t="shared" si="16"/>
        <v/>
      </c>
    </row>
    <row r="113" spans="1:29" ht="15.75">
      <c r="A113" s="29" t="s">
        <v>257</v>
      </c>
      <c r="B113" s="3" t="s">
        <v>254</v>
      </c>
      <c r="C113" s="9" t="s">
        <v>66</v>
      </c>
      <c r="D113" s="3" t="s">
        <v>116</v>
      </c>
      <c r="E113" s="3" t="s">
        <v>255</v>
      </c>
      <c r="F113" s="10" t="s">
        <v>59</v>
      </c>
      <c r="G113" s="1">
        <v>120</v>
      </c>
      <c r="H113" s="27">
        <f>+G113*200</f>
        <v>24000</v>
      </c>
      <c r="I113" s="82" t="b">
        <v>0</v>
      </c>
      <c r="J113" s="116">
        <f t="shared" si="22"/>
        <v>0</v>
      </c>
      <c r="K113" s="124"/>
      <c r="L113" s="22"/>
      <c r="M113" s="22"/>
      <c r="N113" s="22"/>
      <c r="O113" s="22"/>
      <c r="P113" s="23"/>
      <c r="Q113" s="23"/>
      <c r="R113" s="23"/>
      <c r="S113" s="23"/>
      <c r="T113" s="23"/>
      <c r="U113" s="19">
        <f t="shared" ref="U113:U146" si="26">IF(B113="","",K113+SUM(L113:Q113))</f>
        <v>0</v>
      </c>
      <c r="V113" s="128">
        <f t="shared" si="23"/>
        <v>0</v>
      </c>
      <c r="X113" s="54"/>
      <c r="Y113" s="56"/>
      <c r="AA113" s="2"/>
      <c r="AB113" s="2"/>
      <c r="AC113" s="132" t="str">
        <f t="shared" si="16"/>
        <v/>
      </c>
    </row>
    <row r="114" spans="1:29" ht="15.75">
      <c r="A114" s="29" t="s">
        <v>258</v>
      </c>
      <c r="B114" s="3" t="s">
        <v>143</v>
      </c>
      <c r="C114" s="9" t="s">
        <v>119</v>
      </c>
      <c r="D114" s="3" t="s">
        <v>144</v>
      </c>
      <c r="E114" s="3" t="str">
        <f t="shared" ref="E114:E122" si="27">IF(B114="","",IF(D114="Godfroy","Godfroy",(IF(LEFT(B114,1)="1","Hiwa","Direct"))))</f>
        <v>Direct</v>
      </c>
      <c r="F114" s="10" t="s">
        <v>121</v>
      </c>
      <c r="G114" s="1">
        <v>110</v>
      </c>
      <c r="H114" s="27">
        <v>1100</v>
      </c>
      <c r="I114" s="82" t="b">
        <v>0</v>
      </c>
      <c r="J114" s="116">
        <f t="shared" si="22"/>
        <v>0</v>
      </c>
      <c r="K114" s="124"/>
      <c r="L114" s="106"/>
      <c r="M114" s="22"/>
      <c r="N114" s="22"/>
      <c r="O114" s="22"/>
      <c r="P114" s="23"/>
      <c r="Q114" s="23"/>
      <c r="R114" s="23"/>
      <c r="S114" s="23"/>
      <c r="T114" s="23"/>
      <c r="U114" s="19">
        <f t="shared" si="26"/>
        <v>0</v>
      </c>
      <c r="V114" s="128">
        <f t="shared" si="23"/>
        <v>0</v>
      </c>
      <c r="X114" s="54"/>
      <c r="Y114" s="56"/>
      <c r="AA114" s="2"/>
      <c r="AB114" s="2"/>
      <c r="AC114" s="132" t="str">
        <f t="shared" si="16"/>
        <v/>
      </c>
    </row>
    <row r="115" spans="1:29" ht="15.75">
      <c r="A115" s="29" t="s">
        <v>259</v>
      </c>
      <c r="B115" s="3" t="s">
        <v>89</v>
      </c>
      <c r="C115" s="9" t="s">
        <v>90</v>
      </c>
      <c r="D115" s="3" t="s">
        <v>30</v>
      </c>
      <c r="E115" s="3" t="str">
        <f t="shared" si="27"/>
        <v>Hiwa</v>
      </c>
      <c r="F115" s="10" t="s">
        <v>59</v>
      </c>
      <c r="G115" s="1">
        <v>512</v>
      </c>
      <c r="H115" s="27">
        <f t="shared" ref="H115" si="28">G115*205</f>
        <v>104960</v>
      </c>
      <c r="I115" s="82" t="b">
        <v>1</v>
      </c>
      <c r="J115" s="116">
        <f t="shared" si="22"/>
        <v>0.59748703980318085</v>
      </c>
      <c r="K115" s="124">
        <f>71372.8/1.1381</f>
        <v>62712.239697741861</v>
      </c>
      <c r="L115" s="22">
        <f>6184/1.1384</f>
        <v>5432.1855235418125</v>
      </c>
      <c r="M115" s="22"/>
      <c r="N115" s="22"/>
      <c r="O115" s="22"/>
      <c r="P115" s="23"/>
      <c r="Q115" s="23"/>
      <c r="R115" s="23"/>
      <c r="S115" s="23"/>
      <c r="T115" s="23"/>
      <c r="U115" s="19">
        <f t="shared" si="26"/>
        <v>68144.425221283673</v>
      </c>
      <c r="V115" s="128">
        <f t="shared" si="23"/>
        <v>0.64924185614790086</v>
      </c>
      <c r="X115" s="80"/>
      <c r="Y115" s="72"/>
      <c r="AA115" s="2"/>
      <c r="AB115" s="2"/>
      <c r="AC115" s="132" t="str">
        <f t="shared" si="16"/>
        <v/>
      </c>
    </row>
    <row r="116" spans="1:29" ht="15.75">
      <c r="A116" s="29" t="s">
        <v>261</v>
      </c>
      <c r="B116" s="3" t="s">
        <v>224</v>
      </c>
      <c r="C116" s="3" t="s">
        <v>133</v>
      </c>
      <c r="D116" s="3" t="s">
        <v>222</v>
      </c>
      <c r="E116" s="3" t="str">
        <f t="shared" si="27"/>
        <v>Direct</v>
      </c>
      <c r="F116" s="3" t="s">
        <v>121</v>
      </c>
      <c r="G116" s="3">
        <v>4</v>
      </c>
      <c r="H116" s="28">
        <v>4000</v>
      </c>
      <c r="I116" s="82" t="b">
        <v>1</v>
      </c>
      <c r="J116" s="116">
        <f t="shared" si="22"/>
        <v>1.43</v>
      </c>
      <c r="K116" s="124">
        <v>5720</v>
      </c>
      <c r="L116" s="22">
        <v>480</v>
      </c>
      <c r="M116" s="22"/>
      <c r="N116" s="22"/>
      <c r="O116" s="22"/>
      <c r="P116" s="23"/>
      <c r="Q116" s="23"/>
      <c r="R116" s="23"/>
      <c r="S116" s="23"/>
      <c r="T116" s="23"/>
      <c r="U116" s="19">
        <f t="shared" si="26"/>
        <v>6200</v>
      </c>
      <c r="V116" s="128">
        <f t="shared" si="23"/>
        <v>1.55</v>
      </c>
      <c r="X116" s="54"/>
      <c r="Y116" s="56"/>
      <c r="AA116" s="2"/>
      <c r="AB116" s="2"/>
      <c r="AC116" s="132" t="str">
        <f t="shared" si="16"/>
        <v/>
      </c>
    </row>
    <row r="117" spans="1:29" ht="15.75">
      <c r="A117" s="29" t="s">
        <v>262</v>
      </c>
      <c r="B117" s="3" t="s">
        <v>263</v>
      </c>
      <c r="C117" s="3" t="s">
        <v>55</v>
      </c>
      <c r="D117" s="3" t="s">
        <v>73</v>
      </c>
      <c r="E117" s="3" t="str">
        <f t="shared" si="27"/>
        <v>Direct</v>
      </c>
      <c r="F117" s="3" t="s">
        <v>46</v>
      </c>
      <c r="G117" s="3">
        <v>124</v>
      </c>
      <c r="H117" s="28">
        <f>G117*190</f>
        <v>23560</v>
      </c>
      <c r="I117" s="82" t="b">
        <v>0</v>
      </c>
      <c r="J117" s="116">
        <f t="shared" si="22"/>
        <v>0</v>
      </c>
      <c r="K117" s="124"/>
      <c r="L117" s="22"/>
      <c r="M117" s="22"/>
      <c r="N117" s="22"/>
      <c r="O117" s="22"/>
      <c r="P117" s="23"/>
      <c r="Q117" s="23"/>
      <c r="R117" s="23"/>
      <c r="S117" s="23"/>
      <c r="T117" s="23"/>
      <c r="U117" s="19">
        <f t="shared" si="26"/>
        <v>0</v>
      </c>
      <c r="V117" s="128">
        <f t="shared" si="23"/>
        <v>0</v>
      </c>
      <c r="X117" s="54"/>
      <c r="Y117" s="56"/>
      <c r="AA117" s="2"/>
      <c r="AB117" s="2"/>
      <c r="AC117" s="132" t="str">
        <f t="shared" si="16"/>
        <v/>
      </c>
    </row>
    <row r="118" spans="1:29" ht="15.75">
      <c r="A118" s="29" t="s">
        <v>264</v>
      </c>
      <c r="B118" s="3" t="s">
        <v>263</v>
      </c>
      <c r="C118" s="3" t="s">
        <v>55</v>
      </c>
      <c r="D118" s="3" t="s">
        <v>73</v>
      </c>
      <c r="E118" s="3" t="str">
        <f t="shared" si="27"/>
        <v>Direct</v>
      </c>
      <c r="F118" s="3" t="s">
        <v>46</v>
      </c>
      <c r="G118" s="3">
        <v>124</v>
      </c>
      <c r="H118" s="28">
        <f>G118*190</f>
        <v>23560</v>
      </c>
      <c r="I118" s="82" t="b">
        <v>0</v>
      </c>
      <c r="J118" s="116">
        <f t="shared" si="22"/>
        <v>0</v>
      </c>
      <c r="K118" s="124"/>
      <c r="L118" s="22"/>
      <c r="M118" s="22"/>
      <c r="N118" s="22"/>
      <c r="O118" s="22"/>
      <c r="P118" s="23"/>
      <c r="Q118" s="23"/>
      <c r="R118" s="23"/>
      <c r="S118" s="23"/>
      <c r="T118" s="23"/>
      <c r="U118" s="19">
        <f t="shared" si="26"/>
        <v>0</v>
      </c>
      <c r="V118" s="128">
        <f t="shared" si="23"/>
        <v>0</v>
      </c>
      <c r="X118" s="54"/>
      <c r="Y118" s="56"/>
      <c r="AA118" s="2"/>
      <c r="AB118" s="2"/>
      <c r="AC118" s="132" t="str">
        <f t="shared" si="16"/>
        <v/>
      </c>
    </row>
    <row r="119" spans="1:29" ht="15.75">
      <c r="A119" s="29" t="s">
        <v>265</v>
      </c>
      <c r="B119" s="3" t="s">
        <v>266</v>
      </c>
      <c r="C119" s="3" t="s">
        <v>119</v>
      </c>
      <c r="D119" s="3" t="s">
        <v>267</v>
      </c>
      <c r="E119" s="3" t="str">
        <f t="shared" si="27"/>
        <v>Direct</v>
      </c>
      <c r="F119" s="3" t="s">
        <v>121</v>
      </c>
      <c r="G119" s="3">
        <v>29</v>
      </c>
      <c r="H119" s="28">
        <f>G119*7</f>
        <v>203</v>
      </c>
      <c r="I119" s="82" t="b">
        <v>0</v>
      </c>
      <c r="J119" s="116">
        <f t="shared" si="22"/>
        <v>0</v>
      </c>
      <c r="K119" s="124"/>
      <c r="L119" s="22"/>
      <c r="M119" s="22"/>
      <c r="N119" s="22"/>
      <c r="O119" s="22"/>
      <c r="P119" s="23"/>
      <c r="Q119" s="23"/>
      <c r="R119" s="23"/>
      <c r="S119" s="23"/>
      <c r="T119" s="23"/>
      <c r="U119" s="19">
        <f t="shared" si="26"/>
        <v>0</v>
      </c>
      <c r="V119" s="128">
        <f t="shared" si="23"/>
        <v>0</v>
      </c>
      <c r="X119" s="54"/>
      <c r="Y119" s="56"/>
      <c r="AA119" s="2"/>
      <c r="AB119" s="2"/>
      <c r="AC119" s="132" t="str">
        <f t="shared" si="16"/>
        <v/>
      </c>
    </row>
    <row r="120" spans="1:29" ht="15.75">
      <c r="A120" s="29" t="s">
        <v>268</v>
      </c>
      <c r="B120" s="3" t="s">
        <v>269</v>
      </c>
      <c r="C120" s="3" t="s">
        <v>119</v>
      </c>
      <c r="D120" s="3" t="s">
        <v>267</v>
      </c>
      <c r="E120" s="3" t="str">
        <f t="shared" si="27"/>
        <v>Direct</v>
      </c>
      <c r="F120" s="3" t="s">
        <v>121</v>
      </c>
      <c r="G120" s="3">
        <v>2</v>
      </c>
      <c r="H120" s="28">
        <f>G120*200</f>
        <v>400</v>
      </c>
      <c r="I120" s="82" t="b">
        <v>0</v>
      </c>
      <c r="J120" s="116">
        <f t="shared" si="22"/>
        <v>0</v>
      </c>
      <c r="K120" s="124"/>
      <c r="L120" s="22"/>
      <c r="M120" s="22"/>
      <c r="N120" s="22"/>
      <c r="O120" s="22"/>
      <c r="P120" s="23"/>
      <c r="Q120" s="23"/>
      <c r="R120" s="23"/>
      <c r="S120" s="23"/>
      <c r="T120" s="23"/>
      <c r="U120" s="19">
        <f t="shared" si="26"/>
        <v>0</v>
      </c>
      <c r="V120" s="128">
        <f t="shared" si="23"/>
        <v>0</v>
      </c>
      <c r="X120" s="54"/>
      <c r="Y120" s="56"/>
      <c r="AA120" s="2"/>
      <c r="AB120" s="2"/>
      <c r="AC120" s="132" t="str">
        <f t="shared" si="16"/>
        <v/>
      </c>
    </row>
    <row r="121" spans="1:29" ht="15.75">
      <c r="A121" s="29" t="s">
        <v>270</v>
      </c>
      <c r="B121" s="3" t="s">
        <v>214</v>
      </c>
      <c r="C121" s="9" t="s">
        <v>119</v>
      </c>
      <c r="D121" s="3" t="s">
        <v>215</v>
      </c>
      <c r="E121" s="3" t="str">
        <f t="shared" si="27"/>
        <v>Direct</v>
      </c>
      <c r="F121" s="10" t="s">
        <v>121</v>
      </c>
      <c r="G121" s="1">
        <v>4</v>
      </c>
      <c r="H121" s="27">
        <f>+G121*200</f>
        <v>800</v>
      </c>
      <c r="I121" s="82" t="b">
        <v>1</v>
      </c>
      <c r="J121" s="116">
        <f t="shared" si="22"/>
        <v>0</v>
      </c>
      <c r="K121" s="124"/>
      <c r="L121" s="22"/>
      <c r="M121" s="22"/>
      <c r="N121" s="22"/>
      <c r="O121" s="22"/>
      <c r="P121" s="23"/>
      <c r="Q121" s="23"/>
      <c r="R121" s="23"/>
      <c r="S121" s="23"/>
      <c r="T121" s="23"/>
      <c r="U121" s="19">
        <f t="shared" si="26"/>
        <v>0</v>
      </c>
      <c r="V121" s="128">
        <f t="shared" si="23"/>
        <v>0</v>
      </c>
      <c r="X121" s="54"/>
      <c r="Y121" s="56"/>
      <c r="AA121" s="2"/>
      <c r="AB121" s="2"/>
      <c r="AC121" s="132" t="str">
        <f t="shared" si="16"/>
        <v/>
      </c>
    </row>
    <row r="122" spans="1:29" ht="15.75">
      <c r="A122" s="29" t="s">
        <v>271</v>
      </c>
      <c r="B122" s="3" t="s">
        <v>217</v>
      </c>
      <c r="C122" s="9" t="s">
        <v>119</v>
      </c>
      <c r="D122" s="3" t="s">
        <v>215</v>
      </c>
      <c r="E122" s="3" t="str">
        <f t="shared" si="27"/>
        <v>Direct</v>
      </c>
      <c r="F122" s="10" t="s">
        <v>121</v>
      </c>
      <c r="G122" s="1">
        <v>4</v>
      </c>
      <c r="H122" s="27">
        <f>+G122*5</f>
        <v>20</v>
      </c>
      <c r="I122" s="82" t="b">
        <v>1</v>
      </c>
      <c r="J122" s="116">
        <f t="shared" si="22"/>
        <v>0</v>
      </c>
      <c r="K122" s="124"/>
      <c r="L122" s="22"/>
      <c r="M122" s="22"/>
      <c r="N122" s="22"/>
      <c r="O122" s="22"/>
      <c r="P122" s="23"/>
      <c r="Q122" s="23"/>
      <c r="R122" s="23"/>
      <c r="S122" s="23"/>
      <c r="T122" s="23"/>
      <c r="U122" s="19" t="e">
        <f>IF(#REF!="","",K122+SUM(L122:Q122))</f>
        <v>#REF!</v>
      </c>
      <c r="V122" s="128" t="e">
        <f t="shared" si="23"/>
        <v>#REF!</v>
      </c>
      <c r="X122" s="54"/>
      <c r="Y122" s="56"/>
      <c r="AA122" s="2"/>
      <c r="AB122" s="2"/>
      <c r="AC122" s="132" t="str">
        <f t="shared" si="16"/>
        <v/>
      </c>
    </row>
    <row r="123" spans="1:29" ht="15.75">
      <c r="A123" s="29" t="s">
        <v>272</v>
      </c>
      <c r="B123" s="3"/>
      <c r="C123" s="9"/>
      <c r="D123" s="3"/>
      <c r="E123" s="3"/>
      <c r="F123" s="10"/>
      <c r="G123" s="1"/>
      <c r="H123" s="27"/>
      <c r="I123" s="82" t="b">
        <v>0</v>
      </c>
      <c r="J123" s="116" t="str">
        <f t="shared" si="22"/>
        <v/>
      </c>
      <c r="K123" s="124"/>
      <c r="L123" s="22"/>
      <c r="M123" s="22"/>
      <c r="N123" s="22"/>
      <c r="O123" s="22"/>
      <c r="P123" s="23"/>
      <c r="Q123" s="23"/>
      <c r="R123" s="23"/>
      <c r="S123" s="23"/>
      <c r="T123" s="23"/>
      <c r="U123" s="19" t="str">
        <f t="shared" si="26"/>
        <v/>
      </c>
      <c r="V123" s="128" t="str">
        <f t="shared" si="23"/>
        <v/>
      </c>
      <c r="X123" s="54"/>
      <c r="Y123" s="56"/>
      <c r="AA123" s="2"/>
      <c r="AB123" s="2"/>
      <c r="AC123" s="132" t="str">
        <f t="shared" si="16"/>
        <v/>
      </c>
    </row>
    <row r="124" spans="1:29" ht="15.75">
      <c r="A124" s="29" t="s">
        <v>273</v>
      </c>
      <c r="B124" s="3"/>
      <c r="C124" s="3"/>
      <c r="D124" s="3"/>
      <c r="E124" s="3"/>
      <c r="F124" s="3"/>
      <c r="G124" s="3"/>
      <c r="H124" s="28"/>
      <c r="I124" s="82" t="b">
        <v>0</v>
      </c>
      <c r="J124" s="116" t="str">
        <f t="shared" si="22"/>
        <v/>
      </c>
      <c r="K124" s="124"/>
      <c r="L124" s="22"/>
      <c r="M124" s="22"/>
      <c r="N124" s="22"/>
      <c r="O124" s="22"/>
      <c r="P124" s="23"/>
      <c r="Q124" s="23"/>
      <c r="R124" s="23"/>
      <c r="S124" s="23"/>
      <c r="T124" s="23"/>
      <c r="U124" s="19" t="str">
        <f t="shared" si="26"/>
        <v/>
      </c>
      <c r="V124" s="128" t="str">
        <f t="shared" si="23"/>
        <v/>
      </c>
      <c r="X124" s="54"/>
      <c r="Y124" s="56"/>
      <c r="AA124" s="2"/>
      <c r="AB124" s="2"/>
      <c r="AC124" s="132" t="str">
        <f t="shared" si="16"/>
        <v/>
      </c>
    </row>
    <row r="125" spans="1:29" ht="15.75">
      <c r="A125" s="29" t="s">
        <v>274</v>
      </c>
      <c r="B125" s="3"/>
      <c r="C125" s="3"/>
      <c r="D125" s="13"/>
      <c r="E125" s="3"/>
      <c r="F125" s="3"/>
      <c r="G125" s="65"/>
      <c r="H125" s="53"/>
      <c r="I125" s="82" t="b">
        <v>0</v>
      </c>
      <c r="J125" s="116" t="str">
        <f t="shared" si="22"/>
        <v/>
      </c>
      <c r="K125" s="124"/>
      <c r="L125" s="22"/>
      <c r="M125" s="22"/>
      <c r="N125" s="22"/>
      <c r="O125" s="22"/>
      <c r="P125" s="23"/>
      <c r="Q125" s="23"/>
      <c r="R125" s="23"/>
      <c r="S125" s="23"/>
      <c r="T125" s="23"/>
      <c r="U125" s="19" t="str">
        <f t="shared" si="26"/>
        <v/>
      </c>
      <c r="V125" s="128" t="str">
        <f t="shared" si="23"/>
        <v/>
      </c>
      <c r="X125" s="54"/>
      <c r="Y125" s="56"/>
      <c r="AA125" s="2"/>
      <c r="AB125" s="2"/>
      <c r="AC125" s="132" t="str">
        <f t="shared" si="16"/>
        <v/>
      </c>
    </row>
    <row r="126" spans="1:29" ht="15.75">
      <c r="A126" s="29" t="s">
        <v>275</v>
      </c>
      <c r="B126" s="3"/>
      <c r="C126" s="3"/>
      <c r="D126" s="13"/>
      <c r="E126" s="3"/>
      <c r="F126" s="3"/>
      <c r="G126" s="65"/>
      <c r="H126" s="53"/>
      <c r="I126" s="82" t="b">
        <v>0</v>
      </c>
      <c r="J126" s="116" t="str">
        <f t="shared" si="22"/>
        <v/>
      </c>
      <c r="K126" s="124"/>
      <c r="L126" s="22"/>
      <c r="M126" s="22"/>
      <c r="N126" s="22"/>
      <c r="O126" s="22"/>
      <c r="P126" s="23"/>
      <c r="Q126" s="23"/>
      <c r="R126" s="23"/>
      <c r="S126" s="23"/>
      <c r="T126" s="23"/>
      <c r="U126" s="19" t="str">
        <f t="shared" si="26"/>
        <v/>
      </c>
      <c r="V126" s="128" t="str">
        <f t="shared" si="23"/>
        <v/>
      </c>
      <c r="X126" s="54"/>
      <c r="Y126" s="56"/>
      <c r="AA126" s="2"/>
      <c r="AB126" s="2"/>
      <c r="AC126" s="132" t="str">
        <f t="shared" si="16"/>
        <v/>
      </c>
    </row>
    <row r="127" spans="1:29" ht="15.75">
      <c r="A127" s="29" t="s">
        <v>276</v>
      </c>
      <c r="B127" s="3"/>
      <c r="C127" s="9"/>
      <c r="D127" s="13"/>
      <c r="E127" s="3"/>
      <c r="F127" s="10"/>
      <c r="G127" s="1"/>
      <c r="H127" s="27"/>
      <c r="I127" s="82" t="b">
        <v>0</v>
      </c>
      <c r="J127" s="116" t="str">
        <f t="shared" si="22"/>
        <v/>
      </c>
      <c r="K127" s="124"/>
      <c r="L127" s="22"/>
      <c r="M127" s="22"/>
      <c r="N127" s="22"/>
      <c r="O127" s="22"/>
      <c r="P127" s="23"/>
      <c r="Q127" s="23"/>
      <c r="R127" s="23"/>
      <c r="S127" s="23"/>
      <c r="T127" s="23"/>
      <c r="U127" s="19" t="str">
        <f t="shared" si="26"/>
        <v/>
      </c>
      <c r="V127" s="128" t="str">
        <f t="shared" si="23"/>
        <v/>
      </c>
      <c r="X127" s="54"/>
      <c r="Y127" s="56"/>
      <c r="AA127" s="2"/>
      <c r="AB127" s="2"/>
      <c r="AC127" s="132" t="str">
        <f t="shared" si="16"/>
        <v/>
      </c>
    </row>
    <row r="128" spans="1:29" ht="15.75">
      <c r="A128" s="29" t="s">
        <v>279</v>
      </c>
      <c r="B128" s="3"/>
      <c r="C128" s="9"/>
      <c r="D128" s="13"/>
      <c r="E128" s="3"/>
      <c r="F128" s="10"/>
      <c r="G128" s="1"/>
      <c r="H128" s="27"/>
      <c r="I128" s="82" t="b">
        <v>0</v>
      </c>
      <c r="J128" s="116" t="str">
        <f t="shared" si="22"/>
        <v/>
      </c>
      <c r="K128" s="124"/>
      <c r="L128" s="22"/>
      <c r="M128" s="22"/>
      <c r="N128" s="22"/>
      <c r="O128" s="22"/>
      <c r="P128" s="23"/>
      <c r="Q128" s="23"/>
      <c r="R128" s="23"/>
      <c r="S128" s="23"/>
      <c r="T128" s="23"/>
      <c r="U128" s="19" t="str">
        <f t="shared" si="26"/>
        <v/>
      </c>
      <c r="V128" s="128" t="str">
        <f t="shared" si="23"/>
        <v/>
      </c>
      <c r="X128" s="54"/>
      <c r="Y128" s="56"/>
      <c r="AA128" s="2"/>
      <c r="AB128" s="2"/>
      <c r="AC128" s="132" t="str">
        <f t="shared" si="16"/>
        <v/>
      </c>
    </row>
    <row r="129" spans="1:29" ht="15.75">
      <c r="A129" s="29" t="s">
        <v>281</v>
      </c>
      <c r="B129" s="3"/>
      <c r="C129" s="9"/>
      <c r="D129" s="3"/>
      <c r="E129" s="3"/>
      <c r="F129" s="10"/>
      <c r="G129" s="1"/>
      <c r="H129" s="27"/>
      <c r="I129" s="82" t="b">
        <v>0</v>
      </c>
      <c r="J129" s="116" t="str">
        <f t="shared" si="22"/>
        <v/>
      </c>
      <c r="K129" s="124"/>
      <c r="L129" s="22"/>
      <c r="M129" s="22"/>
      <c r="N129" s="22"/>
      <c r="O129" s="22"/>
      <c r="P129" s="23"/>
      <c r="Q129" s="23"/>
      <c r="R129" s="23"/>
      <c r="S129" s="23"/>
      <c r="T129" s="23"/>
      <c r="U129" s="19" t="str">
        <f t="shared" si="26"/>
        <v/>
      </c>
      <c r="V129" s="128" t="str">
        <f t="shared" si="23"/>
        <v/>
      </c>
      <c r="X129" s="54"/>
      <c r="Y129" s="56"/>
      <c r="AA129" s="2"/>
      <c r="AB129" s="2"/>
      <c r="AC129" s="132" t="str">
        <f t="shared" si="16"/>
        <v/>
      </c>
    </row>
    <row r="130" spans="1:29" ht="15.75">
      <c r="A130" s="29" t="s">
        <v>282</v>
      </c>
      <c r="B130" s="3"/>
      <c r="C130" s="9"/>
      <c r="D130" s="3"/>
      <c r="E130" s="3"/>
      <c r="F130" s="10"/>
      <c r="G130" s="14"/>
      <c r="H130" s="81"/>
      <c r="I130" s="82" t="b">
        <v>0</v>
      </c>
      <c r="J130" s="116" t="str">
        <f t="shared" si="22"/>
        <v/>
      </c>
      <c r="K130" s="124"/>
      <c r="L130" s="22"/>
      <c r="M130" s="22"/>
      <c r="N130" s="22"/>
      <c r="O130" s="22"/>
      <c r="P130" s="23"/>
      <c r="Q130" s="23"/>
      <c r="R130" s="23"/>
      <c r="S130" s="23"/>
      <c r="T130" s="23"/>
      <c r="U130" s="19" t="str">
        <f t="shared" si="26"/>
        <v/>
      </c>
      <c r="V130" s="128" t="str">
        <f t="shared" si="23"/>
        <v/>
      </c>
      <c r="X130" s="54"/>
      <c r="Y130" s="56"/>
      <c r="AA130" s="2"/>
      <c r="AB130" s="2"/>
      <c r="AC130" s="132" t="str">
        <f t="shared" si="16"/>
        <v/>
      </c>
    </row>
    <row r="131" spans="1:29" ht="15.75">
      <c r="A131" s="29" t="s">
        <v>283</v>
      </c>
      <c r="B131" s="3"/>
      <c r="C131" s="3"/>
      <c r="D131" s="13"/>
      <c r="E131" s="3"/>
      <c r="F131" s="3"/>
      <c r="G131" s="3"/>
      <c r="H131" s="28"/>
      <c r="I131" s="82" t="b">
        <v>0</v>
      </c>
      <c r="J131" s="116" t="str">
        <f t="shared" si="22"/>
        <v/>
      </c>
      <c r="K131" s="124"/>
      <c r="L131" s="106"/>
      <c r="M131" s="22"/>
      <c r="N131" s="22"/>
      <c r="O131" s="22"/>
      <c r="P131" s="23"/>
      <c r="Q131" s="23"/>
      <c r="R131" s="23"/>
      <c r="S131" s="23"/>
      <c r="T131" s="23"/>
      <c r="U131" s="19" t="str">
        <f t="shared" si="26"/>
        <v/>
      </c>
      <c r="V131" s="128" t="str">
        <f t="shared" si="23"/>
        <v/>
      </c>
      <c r="X131" s="54"/>
      <c r="Y131" s="56"/>
      <c r="AA131" s="2"/>
      <c r="AB131" s="2"/>
      <c r="AC131" s="132" t="str">
        <f t="shared" si="16"/>
        <v/>
      </c>
    </row>
    <row r="132" spans="1:29" ht="15.75">
      <c r="A132" s="29" t="s">
        <v>284</v>
      </c>
      <c r="B132" s="3"/>
      <c r="C132" s="9"/>
      <c r="D132" s="13"/>
      <c r="E132" s="3"/>
      <c r="F132" s="10"/>
      <c r="G132" s="1"/>
      <c r="H132" s="27"/>
      <c r="I132" s="82" t="b">
        <v>0</v>
      </c>
      <c r="J132" s="116" t="str">
        <f t="shared" si="22"/>
        <v/>
      </c>
      <c r="K132" s="124"/>
      <c r="L132" s="22"/>
      <c r="M132" s="22"/>
      <c r="N132" s="22"/>
      <c r="O132" s="22"/>
      <c r="P132" s="23"/>
      <c r="Q132" s="23"/>
      <c r="R132" s="23"/>
      <c r="S132" s="23"/>
      <c r="T132" s="23"/>
      <c r="U132" s="19" t="str">
        <f t="shared" si="26"/>
        <v/>
      </c>
      <c r="V132" s="128" t="str">
        <f t="shared" si="23"/>
        <v/>
      </c>
      <c r="X132" s="54"/>
      <c r="Y132" s="56"/>
      <c r="AA132" s="2"/>
      <c r="AB132" s="2"/>
      <c r="AC132" s="132" t="str">
        <f t="shared" si="16"/>
        <v/>
      </c>
    </row>
    <row r="133" spans="1:29" ht="15.75">
      <c r="A133" s="29" t="s">
        <v>286</v>
      </c>
      <c r="B133" s="3"/>
      <c r="C133" s="3"/>
      <c r="D133" s="13"/>
      <c r="E133" s="3"/>
      <c r="F133" s="3"/>
      <c r="G133" s="3"/>
      <c r="H133" s="28"/>
      <c r="I133" s="82" t="b">
        <v>0</v>
      </c>
      <c r="J133" s="116" t="str">
        <f t="shared" si="22"/>
        <v/>
      </c>
      <c r="K133" s="124"/>
      <c r="L133" s="22"/>
      <c r="M133" s="22"/>
      <c r="N133" s="22"/>
      <c r="O133" s="22"/>
      <c r="P133" s="23"/>
      <c r="Q133" s="23"/>
      <c r="R133" s="23"/>
      <c r="S133" s="23"/>
      <c r="T133" s="23"/>
      <c r="U133" s="19" t="str">
        <f t="shared" si="26"/>
        <v/>
      </c>
      <c r="V133" s="128" t="str">
        <f t="shared" si="23"/>
        <v/>
      </c>
      <c r="X133" s="54"/>
      <c r="Y133" s="56"/>
      <c r="AA133" s="2"/>
      <c r="AB133" s="2"/>
      <c r="AC133" s="132" t="str">
        <f t="shared" si="16"/>
        <v/>
      </c>
    </row>
    <row r="134" spans="1:29" ht="15.75">
      <c r="A134" s="29" t="s">
        <v>287</v>
      </c>
      <c r="B134" s="3"/>
      <c r="C134" s="3"/>
      <c r="D134" s="3"/>
      <c r="E134" s="3"/>
      <c r="F134" s="3"/>
      <c r="G134" s="3"/>
      <c r="H134" s="28"/>
      <c r="I134" s="82" t="b">
        <v>0</v>
      </c>
      <c r="J134" s="116" t="str">
        <f t="shared" si="22"/>
        <v/>
      </c>
      <c r="K134" s="124"/>
      <c r="L134" s="106"/>
      <c r="M134" s="22"/>
      <c r="N134" s="22"/>
      <c r="O134" s="22"/>
      <c r="P134" s="23"/>
      <c r="Q134" s="23"/>
      <c r="R134" s="23"/>
      <c r="S134" s="23"/>
      <c r="T134" s="23"/>
      <c r="U134" s="19" t="str">
        <f t="shared" si="26"/>
        <v/>
      </c>
      <c r="V134" s="128" t="str">
        <f t="shared" si="23"/>
        <v/>
      </c>
      <c r="X134" s="54"/>
      <c r="Y134" s="56"/>
      <c r="AA134" s="2"/>
      <c r="AB134" s="2"/>
      <c r="AC134" s="132" t="str">
        <f t="shared" si="16"/>
        <v/>
      </c>
    </row>
    <row r="135" spans="1:29" ht="15.75">
      <c r="A135" s="29" t="s">
        <v>290</v>
      </c>
      <c r="B135" s="3"/>
      <c r="C135" s="9"/>
      <c r="D135" s="3"/>
      <c r="E135" s="3"/>
      <c r="F135" s="10"/>
      <c r="G135" s="1"/>
      <c r="H135" s="27"/>
      <c r="I135" s="82" t="b">
        <v>0</v>
      </c>
      <c r="J135" s="116" t="str">
        <f t="shared" si="22"/>
        <v/>
      </c>
      <c r="K135" s="124"/>
      <c r="L135" s="22"/>
      <c r="M135" s="22"/>
      <c r="N135" s="22"/>
      <c r="O135" s="22"/>
      <c r="P135" s="23"/>
      <c r="Q135" s="23"/>
      <c r="R135" s="23"/>
      <c r="S135" s="23"/>
      <c r="T135" s="23"/>
      <c r="U135" s="19" t="str">
        <f t="shared" si="26"/>
        <v/>
      </c>
      <c r="V135" s="128" t="str">
        <f t="shared" si="23"/>
        <v/>
      </c>
      <c r="X135" s="54"/>
      <c r="Y135" s="56"/>
      <c r="AA135" s="2"/>
      <c r="AB135" s="2"/>
      <c r="AC135" s="132" t="str">
        <f t="shared" si="16"/>
        <v/>
      </c>
    </row>
    <row r="136" spans="1:29" ht="15.75">
      <c r="A136" s="29" t="s">
        <v>291</v>
      </c>
      <c r="B136" s="3"/>
      <c r="C136" s="9"/>
      <c r="D136" s="3"/>
      <c r="E136" s="3"/>
      <c r="F136" s="10"/>
      <c r="G136" s="1"/>
      <c r="H136" s="27"/>
      <c r="I136" s="82" t="b">
        <v>0</v>
      </c>
      <c r="J136" s="116" t="str">
        <f t="shared" si="22"/>
        <v/>
      </c>
      <c r="K136" s="124"/>
      <c r="L136" s="22"/>
      <c r="M136" s="22"/>
      <c r="N136" s="22"/>
      <c r="O136" s="22"/>
      <c r="P136" s="23"/>
      <c r="Q136" s="23"/>
      <c r="R136" s="23"/>
      <c r="S136" s="23"/>
      <c r="T136" s="23"/>
      <c r="U136" s="19" t="str">
        <f t="shared" si="26"/>
        <v/>
      </c>
      <c r="V136" s="128" t="str">
        <f t="shared" si="23"/>
        <v/>
      </c>
      <c r="X136" s="54"/>
      <c r="Y136" s="56"/>
      <c r="AA136" s="2"/>
      <c r="AB136" s="2"/>
      <c r="AC136" s="132" t="str">
        <f t="shared" ref="AC136:AC145" si="29">IF(AB136&gt;0,((AB136)*V136),"")</f>
        <v/>
      </c>
    </row>
    <row r="137" spans="1:29" ht="15.75">
      <c r="A137" s="29" t="s">
        <v>293</v>
      </c>
      <c r="B137" s="3"/>
      <c r="C137" s="3"/>
      <c r="D137" s="3"/>
      <c r="E137" s="3"/>
      <c r="F137" s="3"/>
      <c r="G137" s="3"/>
      <c r="H137" s="28"/>
      <c r="I137" s="82" t="b">
        <v>0</v>
      </c>
      <c r="J137" s="116" t="str">
        <f t="shared" si="22"/>
        <v/>
      </c>
      <c r="K137" s="124"/>
      <c r="L137" s="22"/>
      <c r="M137" s="22"/>
      <c r="N137" s="22"/>
      <c r="O137" s="22"/>
      <c r="P137" s="23"/>
      <c r="Q137" s="23"/>
      <c r="R137" s="23"/>
      <c r="S137" s="23"/>
      <c r="T137" s="23"/>
      <c r="U137" s="19" t="str">
        <f t="shared" si="26"/>
        <v/>
      </c>
      <c r="V137" s="128" t="str">
        <f t="shared" si="23"/>
        <v/>
      </c>
      <c r="X137" s="54"/>
      <c r="Y137" s="56"/>
      <c r="AA137" s="2"/>
      <c r="AB137" s="2"/>
      <c r="AC137" s="132" t="str">
        <f t="shared" si="29"/>
        <v/>
      </c>
    </row>
    <row r="138" spans="1:29" ht="15.75">
      <c r="A138" s="29" t="s">
        <v>294</v>
      </c>
      <c r="B138" s="3"/>
      <c r="C138" s="3"/>
      <c r="D138" s="3"/>
      <c r="E138" s="3"/>
      <c r="F138" s="3"/>
      <c r="G138" s="3"/>
      <c r="H138" s="28"/>
      <c r="I138" s="82" t="b">
        <v>0</v>
      </c>
      <c r="J138" s="116" t="str">
        <f t="shared" si="22"/>
        <v/>
      </c>
      <c r="K138" s="124"/>
      <c r="L138" s="22"/>
      <c r="M138" s="22"/>
      <c r="N138" s="22"/>
      <c r="O138" s="22"/>
      <c r="P138" s="23"/>
      <c r="Q138" s="23"/>
      <c r="R138" s="23"/>
      <c r="S138" s="23"/>
      <c r="T138" s="23"/>
      <c r="U138" s="19" t="str">
        <f t="shared" si="26"/>
        <v/>
      </c>
      <c r="V138" s="128" t="str">
        <f t="shared" si="23"/>
        <v/>
      </c>
      <c r="X138" s="54"/>
      <c r="Y138" s="56"/>
      <c r="AA138" s="2"/>
      <c r="AB138" s="2"/>
      <c r="AC138" s="132" t="str">
        <f t="shared" si="29"/>
        <v/>
      </c>
    </row>
    <row r="139" spans="1:29" ht="15.75">
      <c r="A139" s="29" t="s">
        <v>295</v>
      </c>
      <c r="B139" s="3"/>
      <c r="C139" s="3"/>
      <c r="D139" s="3"/>
      <c r="E139" s="3"/>
      <c r="F139" s="3"/>
      <c r="G139" s="3"/>
      <c r="H139" s="28"/>
      <c r="I139" s="82" t="b">
        <v>0</v>
      </c>
      <c r="J139" s="116" t="str">
        <f t="shared" si="22"/>
        <v/>
      </c>
      <c r="K139" s="124"/>
      <c r="L139" s="22"/>
      <c r="M139" s="22"/>
      <c r="N139" s="22"/>
      <c r="O139" s="22"/>
      <c r="P139" s="23"/>
      <c r="Q139" s="23"/>
      <c r="R139" s="23"/>
      <c r="S139" s="23"/>
      <c r="T139" s="23"/>
      <c r="U139" s="19" t="str">
        <f t="shared" si="26"/>
        <v/>
      </c>
      <c r="V139" s="128" t="str">
        <f t="shared" si="23"/>
        <v/>
      </c>
      <c r="X139" s="54"/>
      <c r="Y139" s="56"/>
      <c r="AA139" s="2"/>
      <c r="AB139" s="2"/>
      <c r="AC139" s="132" t="str">
        <f t="shared" si="29"/>
        <v/>
      </c>
    </row>
    <row r="140" spans="1:29" ht="15.75">
      <c r="A140" s="29" t="s">
        <v>297</v>
      </c>
      <c r="B140" s="3"/>
      <c r="C140" s="3"/>
      <c r="D140" s="3"/>
      <c r="E140" s="3"/>
      <c r="F140" s="3"/>
      <c r="G140" s="3"/>
      <c r="H140" s="28"/>
      <c r="I140" s="82" t="b">
        <v>0</v>
      </c>
      <c r="J140" s="116" t="str">
        <f t="shared" si="22"/>
        <v/>
      </c>
      <c r="K140" s="124"/>
      <c r="L140" s="22"/>
      <c r="M140" s="22"/>
      <c r="N140" s="22"/>
      <c r="O140" s="22"/>
      <c r="P140" s="23"/>
      <c r="Q140" s="23"/>
      <c r="R140" s="23"/>
      <c r="S140" s="23"/>
      <c r="T140" s="23"/>
      <c r="U140" s="19" t="str">
        <f t="shared" si="26"/>
        <v/>
      </c>
      <c r="V140" s="128" t="str">
        <f t="shared" si="23"/>
        <v/>
      </c>
      <c r="X140" s="54"/>
      <c r="Y140" s="56"/>
      <c r="AA140" s="2"/>
      <c r="AB140" s="2"/>
      <c r="AC140" s="132" t="str">
        <f t="shared" si="29"/>
        <v/>
      </c>
    </row>
    <row r="141" spans="1:29" ht="15.75">
      <c r="A141" s="29" t="s">
        <v>298</v>
      </c>
      <c r="B141" s="3"/>
      <c r="C141" s="9"/>
      <c r="D141" s="3"/>
      <c r="E141" s="3"/>
      <c r="F141" s="3"/>
      <c r="G141" s="3"/>
      <c r="H141" s="28"/>
      <c r="I141" s="82" t="b">
        <v>0</v>
      </c>
      <c r="J141" s="116" t="str">
        <f t="shared" si="22"/>
        <v/>
      </c>
      <c r="K141" s="124"/>
      <c r="L141" s="22"/>
      <c r="M141" s="22"/>
      <c r="N141" s="22"/>
      <c r="O141" s="22"/>
      <c r="P141" s="23"/>
      <c r="Q141" s="23"/>
      <c r="R141" s="23"/>
      <c r="S141" s="23"/>
      <c r="T141" s="23"/>
      <c r="U141" s="19" t="str">
        <f t="shared" si="26"/>
        <v/>
      </c>
      <c r="V141" s="128" t="str">
        <f t="shared" si="23"/>
        <v/>
      </c>
      <c r="X141" s="54"/>
      <c r="Y141" s="56"/>
      <c r="AA141" s="2"/>
      <c r="AB141" s="2"/>
      <c r="AC141" s="132" t="str">
        <f t="shared" si="29"/>
        <v/>
      </c>
    </row>
    <row r="142" spans="1:29" ht="15.75">
      <c r="A142" s="29" t="s">
        <v>299</v>
      </c>
      <c r="B142" s="3"/>
      <c r="C142" s="9"/>
      <c r="D142" s="13"/>
      <c r="E142" s="3"/>
      <c r="F142" s="10"/>
      <c r="G142" s="1"/>
      <c r="H142" s="27"/>
      <c r="I142" s="82" t="b">
        <v>0</v>
      </c>
      <c r="J142" s="116" t="str">
        <f t="shared" si="22"/>
        <v/>
      </c>
      <c r="K142" s="124"/>
      <c r="L142" s="22"/>
      <c r="M142" s="22"/>
      <c r="N142" s="22"/>
      <c r="O142" s="22"/>
      <c r="P142" s="23"/>
      <c r="Q142" s="23"/>
      <c r="R142" s="23"/>
      <c r="S142" s="23"/>
      <c r="T142" s="23"/>
      <c r="U142" s="19" t="str">
        <f t="shared" si="26"/>
        <v/>
      </c>
      <c r="V142" s="128" t="str">
        <f t="shared" si="23"/>
        <v/>
      </c>
      <c r="X142" s="54"/>
      <c r="Y142" s="56"/>
      <c r="AA142" s="2"/>
      <c r="AB142" s="2"/>
      <c r="AC142" s="132" t="str">
        <f t="shared" si="29"/>
        <v/>
      </c>
    </row>
    <row r="143" spans="1:29" ht="15.75">
      <c r="A143" s="29" t="s">
        <v>302</v>
      </c>
      <c r="B143" s="3"/>
      <c r="C143" s="9"/>
      <c r="D143" s="13"/>
      <c r="E143" s="3"/>
      <c r="F143" s="10"/>
      <c r="G143" s="1"/>
      <c r="H143" s="27"/>
      <c r="I143" s="82" t="b">
        <v>0</v>
      </c>
      <c r="J143" s="116" t="str">
        <f t="shared" si="22"/>
        <v/>
      </c>
      <c r="K143" s="124"/>
      <c r="L143" s="22"/>
      <c r="M143" s="22"/>
      <c r="N143" s="22"/>
      <c r="O143" s="22"/>
      <c r="P143" s="23"/>
      <c r="Q143" s="23"/>
      <c r="R143" s="23"/>
      <c r="S143" s="23"/>
      <c r="T143" s="23"/>
      <c r="U143" s="19" t="str">
        <f t="shared" si="26"/>
        <v/>
      </c>
      <c r="V143" s="128" t="str">
        <f t="shared" si="23"/>
        <v/>
      </c>
      <c r="X143" s="54"/>
      <c r="Y143" s="56"/>
      <c r="AA143" s="2"/>
      <c r="AB143" s="2"/>
      <c r="AC143" s="132" t="str">
        <f t="shared" si="29"/>
        <v/>
      </c>
    </row>
    <row r="144" spans="1:29" ht="15.75">
      <c r="A144" s="29" t="s">
        <v>304</v>
      </c>
      <c r="B144" s="3"/>
      <c r="C144" s="9"/>
      <c r="D144" s="3"/>
      <c r="E144" s="3"/>
      <c r="F144" s="10"/>
      <c r="G144" s="1"/>
      <c r="H144" s="27"/>
      <c r="I144" s="82" t="b">
        <v>0</v>
      </c>
      <c r="J144" s="116" t="str">
        <f t="shared" si="22"/>
        <v/>
      </c>
      <c r="K144" s="124"/>
      <c r="L144" s="22"/>
      <c r="M144" s="22"/>
      <c r="N144" s="22"/>
      <c r="O144" s="22"/>
      <c r="P144" s="23"/>
      <c r="Q144" s="23"/>
      <c r="R144" s="23"/>
      <c r="S144" s="23"/>
      <c r="T144" s="23"/>
      <c r="U144" s="19" t="str">
        <f t="shared" si="26"/>
        <v/>
      </c>
      <c r="V144" s="128" t="str">
        <f t="shared" si="23"/>
        <v/>
      </c>
      <c r="X144" s="54"/>
      <c r="Y144" s="56"/>
      <c r="AA144" s="61"/>
      <c r="AB144" s="61"/>
      <c r="AC144" s="132" t="str">
        <f t="shared" si="29"/>
        <v/>
      </c>
    </row>
    <row r="145" spans="1:29" ht="15.75">
      <c r="A145" s="29" t="s">
        <v>305</v>
      </c>
      <c r="B145" s="3"/>
      <c r="C145" s="3"/>
      <c r="D145" s="3"/>
      <c r="E145" s="3"/>
      <c r="F145" s="3"/>
      <c r="G145" s="3"/>
      <c r="H145" s="28"/>
      <c r="I145" s="82" t="b">
        <v>0</v>
      </c>
      <c r="J145" s="116" t="str">
        <f t="shared" si="22"/>
        <v/>
      </c>
      <c r="K145" s="124"/>
      <c r="L145" s="22"/>
      <c r="M145" s="22"/>
      <c r="N145" s="22"/>
      <c r="O145" s="22"/>
      <c r="P145" s="23"/>
      <c r="Q145" s="23"/>
      <c r="R145" s="23"/>
      <c r="S145" s="23"/>
      <c r="T145" s="23"/>
      <c r="U145" s="19" t="str">
        <f t="shared" si="26"/>
        <v/>
      </c>
      <c r="V145" s="128" t="str">
        <f t="shared" si="23"/>
        <v/>
      </c>
      <c r="X145" s="54"/>
      <c r="Y145" s="56"/>
      <c r="AA145" s="61"/>
      <c r="AB145" s="61"/>
      <c r="AC145" s="132" t="str">
        <f t="shared" si="29"/>
        <v/>
      </c>
    </row>
    <row r="146" spans="1:29" ht="15.75">
      <c r="A146" s="29" t="s">
        <v>309</v>
      </c>
      <c r="B146" s="3"/>
      <c r="C146" s="3"/>
      <c r="D146" s="3"/>
      <c r="E146" s="3"/>
      <c r="F146" s="3"/>
      <c r="G146" s="3"/>
      <c r="H146" s="28"/>
      <c r="I146" s="82" t="b">
        <v>0</v>
      </c>
      <c r="J146" s="116"/>
      <c r="K146" s="125"/>
      <c r="L146" s="58"/>
      <c r="M146" s="58"/>
      <c r="N146" s="58"/>
      <c r="O146" s="58"/>
      <c r="P146" s="59"/>
      <c r="Q146" s="59"/>
      <c r="R146" s="59"/>
      <c r="S146" s="59"/>
      <c r="T146" s="59"/>
      <c r="U146" s="104" t="str">
        <f t="shared" si="26"/>
        <v/>
      </c>
      <c r="V146" s="130" t="str">
        <f t="shared" si="23"/>
        <v/>
      </c>
      <c r="X146" s="54"/>
      <c r="Y146" s="56"/>
      <c r="AA146" s="105"/>
      <c r="AB146" s="105"/>
      <c r="AC146" s="134"/>
    </row>
    <row r="147" spans="1:29" ht="15.75">
      <c r="A147" s="29"/>
      <c r="B147" s="3"/>
      <c r="C147" s="3"/>
      <c r="D147" s="3"/>
      <c r="E147" s="3"/>
      <c r="F147" s="3"/>
      <c r="G147" s="3"/>
      <c r="H147" s="28"/>
      <c r="I147" s="82"/>
      <c r="J147" s="116"/>
      <c r="K147" s="125"/>
      <c r="L147" s="58"/>
      <c r="M147" s="58"/>
      <c r="N147" s="58"/>
      <c r="O147" s="58"/>
      <c r="P147" s="59"/>
      <c r="Q147" s="59"/>
      <c r="R147" s="59"/>
      <c r="S147" s="59"/>
      <c r="T147" s="59"/>
      <c r="U147" s="104"/>
      <c r="V147" s="130"/>
      <c r="X147" s="54"/>
      <c r="Y147" s="56"/>
      <c r="AA147" s="105"/>
      <c r="AB147" s="105"/>
      <c r="AC147" s="134"/>
    </row>
    <row r="148" spans="1:29" ht="15.75">
      <c r="A148" s="29"/>
      <c r="B148" s="3"/>
      <c r="C148" s="9"/>
      <c r="D148" s="3"/>
      <c r="E148" s="3"/>
      <c r="F148" s="10"/>
      <c r="G148" s="1"/>
      <c r="H148" s="27"/>
      <c r="I148" s="82"/>
      <c r="J148" s="116"/>
      <c r="K148" s="125"/>
      <c r="L148" s="58"/>
      <c r="M148" s="58"/>
      <c r="N148" s="58"/>
      <c r="O148" s="58"/>
      <c r="P148" s="59"/>
      <c r="Q148" s="59"/>
      <c r="R148" s="59"/>
      <c r="S148" s="59"/>
      <c r="T148" s="59"/>
      <c r="U148" s="104"/>
      <c r="V148" s="130"/>
      <c r="X148" s="54"/>
      <c r="Y148" s="56"/>
      <c r="AA148" s="105"/>
      <c r="AB148" s="105"/>
      <c r="AC148" s="134"/>
    </row>
    <row r="149" spans="1:29" ht="15.75">
      <c r="A149" s="29"/>
      <c r="B149" s="55"/>
      <c r="C149" s="9"/>
      <c r="D149" s="3"/>
      <c r="E149" s="3"/>
      <c r="F149" s="3"/>
      <c r="G149" s="3"/>
      <c r="H149" s="28"/>
      <c r="I149" s="82"/>
      <c r="J149" s="116"/>
      <c r="K149" s="125"/>
      <c r="L149" s="106"/>
      <c r="M149" s="58"/>
      <c r="N149" s="58"/>
      <c r="O149" s="58"/>
      <c r="P149" s="59"/>
      <c r="Q149" s="59"/>
      <c r="R149" s="59"/>
      <c r="S149" s="59"/>
      <c r="T149" s="59"/>
      <c r="U149" s="104"/>
      <c r="V149" s="130"/>
      <c r="X149" s="54"/>
      <c r="Y149" s="56"/>
      <c r="AA149" s="105"/>
      <c r="AB149" s="105"/>
      <c r="AC149" s="134"/>
    </row>
    <row r="150" spans="1:29" ht="15.75">
      <c r="A150" s="29"/>
      <c r="B150" s="3"/>
      <c r="C150" s="9"/>
      <c r="D150" s="3"/>
      <c r="E150" s="3"/>
      <c r="F150" s="10"/>
      <c r="G150" s="1"/>
      <c r="H150" s="27"/>
      <c r="I150" s="82"/>
      <c r="J150" s="116"/>
      <c r="K150" s="125"/>
      <c r="L150" s="58"/>
      <c r="M150" s="58"/>
      <c r="N150" s="58"/>
      <c r="O150" s="58"/>
      <c r="P150" s="59"/>
      <c r="Q150" s="59"/>
      <c r="R150" s="59"/>
      <c r="S150" s="59"/>
      <c r="T150" s="59"/>
      <c r="U150" s="104"/>
      <c r="V150" s="130"/>
      <c r="X150" s="54"/>
      <c r="Y150" s="56"/>
      <c r="AA150" s="105"/>
      <c r="AB150" s="105"/>
      <c r="AC150" s="134"/>
    </row>
    <row r="151" spans="1:29" ht="15.75">
      <c r="A151" s="29"/>
      <c r="B151" s="3"/>
      <c r="C151" s="9"/>
      <c r="D151" s="3"/>
      <c r="E151" s="3"/>
      <c r="F151" s="10"/>
      <c r="G151" s="1"/>
      <c r="H151" s="27"/>
      <c r="I151" s="82"/>
      <c r="J151" s="116"/>
      <c r="K151" s="125"/>
      <c r="L151" s="58"/>
      <c r="M151" s="58"/>
      <c r="N151" s="58"/>
      <c r="O151" s="58"/>
      <c r="P151" s="59"/>
      <c r="Q151" s="59"/>
      <c r="R151" s="59"/>
      <c r="S151" s="59"/>
      <c r="T151" s="59"/>
      <c r="U151" s="104"/>
      <c r="V151" s="130"/>
      <c r="X151" s="54"/>
      <c r="Y151" s="56"/>
      <c r="AA151" s="105"/>
      <c r="AB151" s="105"/>
      <c r="AC151" s="134"/>
    </row>
    <row r="152" spans="1:29" ht="15.75">
      <c r="A152" s="29"/>
      <c r="B152" s="55"/>
      <c r="C152" s="55"/>
      <c r="D152" s="55"/>
      <c r="E152" s="55"/>
      <c r="F152" s="55"/>
      <c r="G152" s="55"/>
      <c r="H152" s="56"/>
      <c r="I152" s="82"/>
      <c r="J152" s="116"/>
      <c r="K152" s="125"/>
      <c r="L152" s="58"/>
      <c r="M152" s="58"/>
      <c r="N152" s="58"/>
      <c r="O152" s="58"/>
      <c r="P152" s="59"/>
      <c r="Q152" s="59"/>
      <c r="R152" s="59"/>
      <c r="S152" s="59"/>
      <c r="T152" s="59"/>
      <c r="U152" s="104"/>
      <c r="V152" s="130"/>
      <c r="X152" s="54"/>
      <c r="Y152" s="56"/>
      <c r="AA152" s="105"/>
      <c r="AB152" s="105"/>
      <c r="AC152" s="134"/>
    </row>
    <row r="153" spans="1:29" ht="15.75">
      <c r="A153" s="29"/>
      <c r="B153" s="55"/>
      <c r="C153" s="55"/>
      <c r="D153" s="55"/>
      <c r="E153" s="55"/>
      <c r="F153" s="55"/>
      <c r="G153" s="55"/>
      <c r="H153" s="56"/>
      <c r="I153" s="82"/>
      <c r="J153" s="116"/>
      <c r="K153" s="125"/>
      <c r="L153" s="58"/>
      <c r="M153" s="58"/>
      <c r="N153" s="58"/>
      <c r="O153" s="58"/>
      <c r="P153" s="59"/>
      <c r="Q153" s="59"/>
      <c r="R153" s="59"/>
      <c r="S153" s="59"/>
      <c r="T153" s="59"/>
      <c r="U153" s="104"/>
      <c r="V153" s="130"/>
      <c r="X153" s="54"/>
      <c r="Y153" s="56"/>
      <c r="AA153" s="105"/>
      <c r="AB153" s="105"/>
      <c r="AC153" s="134"/>
    </row>
    <row r="154" spans="1:29" ht="15.75">
      <c r="A154" s="29"/>
      <c r="B154" s="55"/>
      <c r="C154" s="55"/>
      <c r="D154" s="55"/>
      <c r="E154" s="55"/>
      <c r="F154" s="55"/>
      <c r="G154" s="55"/>
      <c r="H154" s="56"/>
      <c r="I154" s="82"/>
      <c r="J154" s="116"/>
      <c r="K154" s="125"/>
      <c r="L154" s="58"/>
      <c r="M154" s="58"/>
      <c r="N154" s="58"/>
      <c r="O154" s="58"/>
      <c r="P154" s="59"/>
      <c r="Q154" s="59"/>
      <c r="R154" s="59"/>
      <c r="S154" s="59"/>
      <c r="T154" s="59"/>
      <c r="U154" s="104"/>
      <c r="V154" s="130"/>
      <c r="X154" s="54"/>
      <c r="Y154" s="56"/>
      <c r="AA154" s="105"/>
      <c r="AB154" s="105"/>
      <c r="AC154" s="134"/>
    </row>
    <row r="155" spans="1:29" ht="15.75">
      <c r="A155" s="29"/>
      <c r="B155" s="55"/>
      <c r="C155" s="55"/>
      <c r="D155" s="55"/>
      <c r="E155" s="55"/>
      <c r="F155" s="55"/>
      <c r="G155" s="55"/>
      <c r="H155" s="56"/>
      <c r="I155" s="82"/>
      <c r="J155" s="116"/>
      <c r="K155" s="125"/>
      <c r="L155" s="58"/>
      <c r="M155" s="58"/>
      <c r="N155" s="58"/>
      <c r="O155" s="58"/>
      <c r="P155" s="59"/>
      <c r="Q155" s="59"/>
      <c r="R155" s="59"/>
      <c r="S155" s="59"/>
      <c r="T155" s="59"/>
      <c r="U155" s="104"/>
      <c r="V155" s="130"/>
      <c r="X155" s="54"/>
      <c r="Y155" s="56"/>
      <c r="AA155" s="105"/>
      <c r="AB155" s="105"/>
      <c r="AC155" s="134"/>
    </row>
    <row r="156" spans="1:29" ht="15.75">
      <c r="A156" s="29"/>
      <c r="B156" s="55"/>
      <c r="C156" s="55"/>
      <c r="D156" s="55"/>
      <c r="E156" s="55"/>
      <c r="F156" s="55"/>
      <c r="G156" s="55"/>
      <c r="H156" s="56"/>
      <c r="I156" s="82"/>
      <c r="J156" s="116"/>
      <c r="K156" s="125"/>
      <c r="L156" s="58"/>
      <c r="M156" s="58"/>
      <c r="N156" s="58"/>
      <c r="O156" s="58"/>
      <c r="P156" s="59"/>
      <c r="Q156" s="59"/>
      <c r="R156" s="59"/>
      <c r="S156" s="59"/>
      <c r="T156" s="59"/>
      <c r="U156" s="104"/>
      <c r="V156" s="130"/>
      <c r="X156" s="54"/>
      <c r="Y156" s="56"/>
      <c r="AA156" s="105"/>
      <c r="AB156" s="105"/>
      <c r="AC156" s="134"/>
    </row>
    <row r="157" spans="1:29" ht="15.75">
      <c r="A157" s="29"/>
      <c r="B157" s="55"/>
      <c r="C157" s="55"/>
      <c r="D157" s="55"/>
      <c r="E157" s="55"/>
      <c r="F157" s="55"/>
      <c r="G157" s="55"/>
      <c r="H157" s="56"/>
      <c r="I157" s="82"/>
      <c r="J157" s="116"/>
      <c r="K157" s="125"/>
      <c r="L157" s="58"/>
      <c r="M157" s="58"/>
      <c r="N157" s="58"/>
      <c r="O157" s="58"/>
      <c r="P157" s="59"/>
      <c r="Q157" s="59"/>
      <c r="R157" s="59"/>
      <c r="S157" s="59"/>
      <c r="T157" s="59"/>
      <c r="U157" s="104"/>
      <c r="V157" s="130"/>
      <c r="X157" s="54"/>
      <c r="Y157" s="56"/>
      <c r="AA157" s="105"/>
      <c r="AB157" s="105"/>
      <c r="AC157" s="134"/>
    </row>
    <row r="158" spans="1:29" ht="15.75">
      <c r="A158" s="29"/>
      <c r="B158" s="3"/>
      <c r="C158" s="9"/>
      <c r="D158" s="3"/>
      <c r="E158" s="3"/>
      <c r="F158" s="10"/>
      <c r="G158" s="1"/>
      <c r="H158" s="27"/>
      <c r="I158" s="82"/>
      <c r="J158" s="116"/>
      <c r="K158" s="125"/>
      <c r="L158" s="58"/>
      <c r="M158" s="58"/>
      <c r="N158" s="58"/>
      <c r="O158" s="58"/>
      <c r="P158" s="59"/>
      <c r="Q158" s="59"/>
      <c r="R158" s="59"/>
      <c r="S158" s="59"/>
      <c r="T158" s="59"/>
      <c r="U158" s="104"/>
      <c r="V158" s="130"/>
      <c r="X158" s="54"/>
      <c r="Y158" s="56"/>
      <c r="AA158" s="105"/>
      <c r="AB158" s="105"/>
      <c r="AC158" s="134"/>
    </row>
    <row r="159" spans="1:29" ht="15.75">
      <c r="A159" s="29"/>
      <c r="B159" s="3"/>
      <c r="C159" s="3"/>
      <c r="D159" s="3"/>
      <c r="E159" s="3"/>
      <c r="F159" s="3"/>
      <c r="G159" s="3"/>
      <c r="H159" s="28"/>
      <c r="I159" s="82"/>
      <c r="J159" s="116"/>
      <c r="K159" s="125"/>
      <c r="L159" s="58"/>
      <c r="M159" s="58"/>
      <c r="N159" s="58"/>
      <c r="O159" s="58"/>
      <c r="P159" s="59"/>
      <c r="Q159" s="59"/>
      <c r="R159" s="59"/>
      <c r="S159" s="59"/>
      <c r="T159" s="59"/>
      <c r="U159" s="104"/>
      <c r="V159" s="130"/>
      <c r="X159" s="54"/>
      <c r="Y159" s="56"/>
      <c r="AA159" s="105"/>
      <c r="AB159" s="105"/>
      <c r="AC159" s="134"/>
    </row>
    <row r="160" spans="1:29" ht="15.75">
      <c r="A160" s="29"/>
      <c r="B160" s="3"/>
      <c r="C160" s="3"/>
      <c r="D160" s="3"/>
      <c r="E160" s="3"/>
      <c r="F160" s="3"/>
      <c r="G160" s="3"/>
      <c r="H160" s="28"/>
      <c r="I160" s="82"/>
      <c r="J160" s="116"/>
      <c r="K160" s="125"/>
      <c r="L160" s="58"/>
      <c r="M160" s="58"/>
      <c r="N160" s="58"/>
      <c r="O160" s="58"/>
      <c r="P160" s="59"/>
      <c r="Q160" s="59"/>
      <c r="R160" s="59"/>
      <c r="S160" s="59"/>
      <c r="T160" s="59"/>
      <c r="U160" s="104"/>
      <c r="V160" s="130"/>
      <c r="X160" s="54"/>
      <c r="Y160" s="56"/>
      <c r="AA160" s="105"/>
      <c r="AB160" s="105"/>
      <c r="AC160" s="134"/>
    </row>
    <row r="161" spans="1:29" ht="15.75">
      <c r="A161" s="29"/>
      <c r="B161" s="55"/>
      <c r="C161" s="55"/>
      <c r="D161" s="55"/>
      <c r="E161" s="55"/>
      <c r="F161" s="55"/>
      <c r="G161" s="55"/>
      <c r="H161" s="56"/>
      <c r="I161" s="82"/>
      <c r="J161" s="116"/>
      <c r="K161" s="125"/>
      <c r="L161" s="58"/>
      <c r="M161" s="58"/>
      <c r="N161" s="58"/>
      <c r="O161" s="58"/>
      <c r="P161" s="59"/>
      <c r="Q161" s="59"/>
      <c r="R161" s="59"/>
      <c r="S161" s="59"/>
      <c r="T161" s="59"/>
      <c r="U161" s="104"/>
      <c r="V161" s="130"/>
      <c r="X161" s="54"/>
      <c r="Y161" s="56"/>
      <c r="AA161" s="105"/>
      <c r="AB161" s="105"/>
      <c r="AC161" s="134"/>
    </row>
    <row r="162" spans="1:29" ht="15.75">
      <c r="A162" s="29"/>
      <c r="B162" s="55"/>
      <c r="C162" s="55"/>
      <c r="D162" s="55"/>
      <c r="E162" s="55"/>
      <c r="F162" s="55"/>
      <c r="G162" s="55"/>
      <c r="H162" s="56"/>
      <c r="I162" s="82"/>
      <c r="J162" s="116"/>
      <c r="K162" s="125"/>
      <c r="L162" s="58"/>
      <c r="M162" s="58"/>
      <c r="N162" s="58"/>
      <c r="O162" s="58"/>
      <c r="P162" s="59"/>
      <c r="Q162" s="59"/>
      <c r="R162" s="59"/>
      <c r="S162" s="59"/>
      <c r="T162" s="59"/>
      <c r="U162" s="104"/>
      <c r="V162" s="130"/>
      <c r="X162" s="54"/>
      <c r="Y162" s="56"/>
      <c r="AA162" s="105"/>
      <c r="AB162" s="105"/>
      <c r="AC162" s="134"/>
    </row>
    <row r="163" spans="1:29" ht="15.75">
      <c r="A163" s="29"/>
      <c r="B163" s="55"/>
      <c r="C163" s="55"/>
      <c r="D163" s="55"/>
      <c r="E163" s="55"/>
      <c r="F163" s="55"/>
      <c r="G163" s="55"/>
      <c r="H163" s="56"/>
      <c r="I163" s="82"/>
      <c r="J163" s="116"/>
      <c r="K163" s="125"/>
      <c r="L163" s="58"/>
      <c r="M163" s="58"/>
      <c r="N163" s="58"/>
      <c r="O163" s="58"/>
      <c r="P163" s="59"/>
      <c r="Q163" s="59"/>
      <c r="R163" s="59"/>
      <c r="S163" s="59"/>
      <c r="T163" s="59"/>
      <c r="U163" s="104"/>
      <c r="V163" s="130"/>
      <c r="X163" s="54"/>
      <c r="Y163" s="56"/>
      <c r="AA163" s="105"/>
      <c r="AB163" s="105"/>
      <c r="AC163" s="134"/>
    </row>
    <row r="164" spans="1:29" ht="15.75">
      <c r="A164" s="29"/>
      <c r="B164" s="55"/>
      <c r="C164" s="55"/>
      <c r="D164" s="55"/>
      <c r="E164" s="55"/>
      <c r="F164" s="55"/>
      <c r="G164" s="55"/>
      <c r="H164" s="56"/>
      <c r="I164" s="82"/>
      <c r="J164" s="116"/>
      <c r="K164" s="125"/>
      <c r="L164" s="58"/>
      <c r="M164" s="58"/>
      <c r="N164" s="58"/>
      <c r="O164" s="58"/>
      <c r="P164" s="59"/>
      <c r="Q164" s="59"/>
      <c r="R164" s="59"/>
      <c r="S164" s="59"/>
      <c r="T164" s="59"/>
      <c r="U164" s="104"/>
      <c r="V164" s="130"/>
      <c r="X164" s="54"/>
      <c r="Y164" s="56"/>
      <c r="AA164" s="105"/>
      <c r="AB164" s="105"/>
      <c r="AC164" s="134"/>
    </row>
    <row r="165" spans="1:29" ht="15.75">
      <c r="A165" s="29"/>
      <c r="B165" s="55"/>
      <c r="C165" s="55"/>
      <c r="D165" s="55"/>
      <c r="E165" s="55"/>
      <c r="F165" s="55"/>
      <c r="G165" s="55"/>
      <c r="H165" s="56"/>
      <c r="I165" s="82"/>
      <c r="J165" s="116"/>
      <c r="K165" s="125"/>
      <c r="L165" s="58"/>
      <c r="M165" s="58"/>
      <c r="N165" s="58"/>
      <c r="O165" s="58"/>
      <c r="P165" s="59"/>
      <c r="Q165" s="59"/>
      <c r="R165" s="59"/>
      <c r="S165" s="59"/>
      <c r="T165" s="59"/>
      <c r="U165" s="104"/>
      <c r="V165" s="130"/>
      <c r="X165" s="54"/>
      <c r="Y165" s="56"/>
      <c r="AA165" s="105"/>
      <c r="AB165" s="105"/>
      <c r="AC165" s="134"/>
    </row>
    <row r="166" spans="1:29" ht="15.75">
      <c r="A166" s="29"/>
      <c r="B166" s="55"/>
      <c r="C166" s="55"/>
      <c r="D166" s="55"/>
      <c r="E166" s="55"/>
      <c r="F166" s="55"/>
      <c r="G166" s="55"/>
      <c r="H166" s="56"/>
      <c r="I166" s="82"/>
      <c r="J166" s="116"/>
      <c r="K166" s="125"/>
      <c r="L166" s="58"/>
      <c r="M166" s="58"/>
      <c r="N166" s="58"/>
      <c r="O166" s="58"/>
      <c r="P166" s="59"/>
      <c r="Q166" s="59"/>
      <c r="R166" s="59"/>
      <c r="S166" s="59"/>
      <c r="T166" s="59"/>
      <c r="U166" s="104"/>
      <c r="V166" s="130"/>
      <c r="X166" s="54"/>
      <c r="Y166" s="56"/>
      <c r="AA166" s="105"/>
      <c r="AB166" s="105"/>
      <c r="AC166" s="134"/>
    </row>
    <row r="167" spans="1:29" ht="15.75">
      <c r="A167" s="29"/>
      <c r="B167" s="55"/>
      <c r="C167" s="55"/>
      <c r="D167" s="55"/>
      <c r="E167" s="55"/>
      <c r="F167" s="55"/>
      <c r="G167" s="55"/>
      <c r="H167" s="56"/>
      <c r="I167" s="82"/>
      <c r="J167" s="116"/>
      <c r="K167" s="125"/>
      <c r="L167" s="58"/>
      <c r="M167" s="58"/>
      <c r="N167" s="58"/>
      <c r="O167" s="58"/>
      <c r="P167" s="59"/>
      <c r="Q167" s="59"/>
      <c r="R167" s="59"/>
      <c r="S167" s="59"/>
      <c r="T167" s="59"/>
      <c r="U167" s="104"/>
      <c r="V167" s="130"/>
      <c r="X167" s="54"/>
      <c r="Y167" s="56"/>
      <c r="AA167" s="105"/>
      <c r="AB167" s="105"/>
      <c r="AC167" s="134"/>
    </row>
    <row r="168" spans="1:29" ht="15.75">
      <c r="A168" s="29"/>
      <c r="B168" s="55"/>
      <c r="C168" s="55"/>
      <c r="D168" s="55"/>
      <c r="E168" s="55"/>
      <c r="F168" s="55"/>
      <c r="G168" s="55"/>
      <c r="H168" s="56"/>
      <c r="I168" s="82"/>
      <c r="J168" s="116"/>
      <c r="K168" s="125"/>
      <c r="L168" s="58"/>
      <c r="M168" s="58"/>
      <c r="N168" s="58"/>
      <c r="O168" s="58"/>
      <c r="P168" s="59"/>
      <c r="Q168" s="59"/>
      <c r="R168" s="59"/>
      <c r="S168" s="59"/>
      <c r="T168" s="59"/>
      <c r="U168" s="104"/>
      <c r="V168" s="130"/>
      <c r="X168" s="54"/>
      <c r="Y168" s="56"/>
      <c r="AA168" s="105"/>
      <c r="AB168" s="105"/>
      <c r="AC168" s="134"/>
    </row>
    <row r="169" spans="1:29" ht="15.75">
      <c r="A169" s="29"/>
      <c r="B169" s="55"/>
      <c r="C169" s="55"/>
      <c r="D169" s="55"/>
      <c r="E169" s="55"/>
      <c r="F169" s="55"/>
      <c r="G169" s="55"/>
      <c r="H169" s="56"/>
      <c r="I169" s="82"/>
      <c r="J169" s="116"/>
      <c r="K169" s="125"/>
      <c r="L169" s="58"/>
      <c r="M169" s="58"/>
      <c r="N169" s="58"/>
      <c r="O169" s="58"/>
      <c r="P169" s="59"/>
      <c r="Q169" s="59"/>
      <c r="R169" s="59"/>
      <c r="S169" s="59"/>
      <c r="T169" s="59"/>
      <c r="U169" s="104"/>
      <c r="V169" s="130"/>
      <c r="X169" s="54"/>
      <c r="Y169" s="56"/>
      <c r="AA169" s="105"/>
      <c r="AB169" s="105"/>
      <c r="AC169" s="134"/>
    </row>
    <row r="170" spans="1:29" ht="15.75">
      <c r="A170" s="29"/>
      <c r="B170" s="55"/>
      <c r="C170" s="55"/>
      <c r="D170" s="55"/>
      <c r="E170" s="55"/>
      <c r="F170" s="55"/>
      <c r="G170" s="55"/>
      <c r="H170" s="56"/>
      <c r="I170" s="82"/>
      <c r="J170" s="116"/>
      <c r="K170" s="125"/>
      <c r="L170" s="58"/>
      <c r="M170" s="58"/>
      <c r="N170" s="58"/>
      <c r="O170" s="58"/>
      <c r="P170" s="59"/>
      <c r="Q170" s="59"/>
      <c r="R170" s="59"/>
      <c r="S170" s="59"/>
      <c r="T170" s="59"/>
      <c r="U170" s="104"/>
      <c r="V170" s="130"/>
      <c r="X170" s="54"/>
      <c r="Y170" s="56"/>
      <c r="AA170" s="105"/>
      <c r="AB170" s="105"/>
      <c r="AC170" s="134"/>
    </row>
    <row r="171" spans="1:29" ht="15.75">
      <c r="A171" s="29"/>
      <c r="B171" s="55"/>
      <c r="C171" s="55"/>
      <c r="D171" s="55"/>
      <c r="E171" s="55"/>
      <c r="F171" s="55"/>
      <c r="G171" s="55"/>
      <c r="H171" s="56"/>
      <c r="I171" s="82"/>
      <c r="J171" s="116"/>
      <c r="K171" s="125"/>
      <c r="L171" s="58"/>
      <c r="M171" s="58"/>
      <c r="N171" s="58"/>
      <c r="O171" s="58"/>
      <c r="P171" s="59"/>
      <c r="Q171" s="59"/>
      <c r="R171" s="59"/>
      <c r="S171" s="59"/>
      <c r="T171" s="59"/>
      <c r="U171" s="104"/>
      <c r="V171" s="130"/>
      <c r="X171" s="54"/>
      <c r="Y171" s="56"/>
      <c r="AA171" s="105"/>
      <c r="AB171" s="105"/>
      <c r="AC171" s="134"/>
    </row>
    <row r="172" spans="1:29" ht="15.75">
      <c r="A172" s="29"/>
      <c r="B172" s="55"/>
      <c r="C172" s="55"/>
      <c r="D172" s="55"/>
      <c r="E172" s="55"/>
      <c r="F172" s="55"/>
      <c r="G172" s="55"/>
      <c r="H172" s="56"/>
      <c r="I172" s="82"/>
      <c r="J172" s="116"/>
      <c r="K172" s="125"/>
      <c r="L172" s="58"/>
      <c r="M172" s="58"/>
      <c r="N172" s="58"/>
      <c r="O172" s="58"/>
      <c r="P172" s="59"/>
      <c r="Q172" s="59"/>
      <c r="R172" s="59"/>
      <c r="S172" s="59"/>
      <c r="T172" s="59"/>
      <c r="U172" s="104"/>
      <c r="V172" s="130"/>
      <c r="X172" s="54"/>
      <c r="Y172" s="56"/>
      <c r="AA172" s="105"/>
      <c r="AB172" s="105"/>
      <c r="AC172" s="134"/>
    </row>
    <row r="173" spans="1:29" ht="15.75">
      <c r="A173" s="29"/>
      <c r="B173" s="55"/>
      <c r="C173" s="55"/>
      <c r="D173" s="55"/>
      <c r="E173" s="55"/>
      <c r="F173" s="55"/>
      <c r="G173" s="55"/>
      <c r="H173" s="56"/>
      <c r="I173" s="82"/>
      <c r="J173" s="116"/>
      <c r="K173" s="125"/>
      <c r="L173" s="58"/>
      <c r="M173" s="58"/>
      <c r="N173" s="58"/>
      <c r="O173" s="58"/>
      <c r="P173" s="59"/>
      <c r="Q173" s="59"/>
      <c r="R173" s="59"/>
      <c r="S173" s="59"/>
      <c r="T173" s="59"/>
      <c r="U173" s="104"/>
      <c r="V173" s="130"/>
      <c r="X173" s="54"/>
      <c r="Y173" s="56"/>
      <c r="AA173" s="105"/>
      <c r="AB173" s="105"/>
      <c r="AC173" s="134"/>
    </row>
    <row r="174" spans="1:29" ht="15.75">
      <c r="A174" s="29"/>
      <c r="B174" s="55"/>
      <c r="C174" s="55"/>
      <c r="D174" s="55"/>
      <c r="E174" s="55"/>
      <c r="F174" s="55"/>
      <c r="G174" s="55"/>
      <c r="H174" s="56"/>
      <c r="I174" s="82"/>
      <c r="J174" s="116"/>
      <c r="K174" s="125"/>
      <c r="L174" s="58"/>
      <c r="M174" s="58"/>
      <c r="N174" s="58"/>
      <c r="O174" s="58"/>
      <c r="P174" s="59"/>
      <c r="Q174" s="59"/>
      <c r="R174" s="59"/>
      <c r="S174" s="59"/>
      <c r="T174" s="59"/>
      <c r="U174" s="104"/>
      <c r="V174" s="130"/>
      <c r="X174" s="54"/>
      <c r="Y174" s="56"/>
      <c r="AA174" s="105"/>
      <c r="AB174" s="105"/>
      <c r="AC174" s="134"/>
    </row>
    <row r="175" spans="1:29" ht="15.75">
      <c r="A175" s="29"/>
      <c r="B175" s="55"/>
      <c r="C175" s="55"/>
      <c r="D175" s="55"/>
      <c r="E175" s="55"/>
      <c r="F175" s="55"/>
      <c r="G175" s="55"/>
      <c r="H175" s="56"/>
      <c r="I175" s="82"/>
      <c r="J175" s="116"/>
      <c r="K175" s="125"/>
      <c r="L175" s="58"/>
      <c r="M175" s="58"/>
      <c r="N175" s="58"/>
      <c r="O175" s="58"/>
      <c r="P175" s="59"/>
      <c r="Q175" s="59"/>
      <c r="R175" s="59"/>
      <c r="S175" s="59"/>
      <c r="T175" s="59"/>
      <c r="U175" s="104"/>
      <c r="V175" s="130"/>
      <c r="X175" s="54"/>
      <c r="Y175" s="56"/>
      <c r="AA175" s="105"/>
      <c r="AB175" s="105"/>
      <c r="AC175" s="134"/>
    </row>
    <row r="176" spans="1:29" ht="15.75">
      <c r="A176" s="29"/>
      <c r="B176" s="55"/>
      <c r="C176" s="55"/>
      <c r="D176" s="55"/>
      <c r="E176" s="55"/>
      <c r="F176" s="55"/>
      <c r="G176" s="55"/>
      <c r="H176" s="56"/>
      <c r="I176" s="82"/>
      <c r="J176" s="116"/>
      <c r="K176" s="125"/>
      <c r="L176" s="58"/>
      <c r="M176" s="58"/>
      <c r="N176" s="58"/>
      <c r="O176" s="58"/>
      <c r="P176" s="59"/>
      <c r="Q176" s="59"/>
      <c r="R176" s="59"/>
      <c r="S176" s="59"/>
      <c r="T176" s="59"/>
      <c r="U176" s="104"/>
      <c r="V176" s="130"/>
      <c r="X176" s="54"/>
      <c r="Y176" s="56"/>
      <c r="AA176" s="105"/>
      <c r="AB176" s="105"/>
      <c r="AC176" s="134"/>
    </row>
    <row r="177" spans="1:29" ht="15.75">
      <c r="A177" s="29"/>
      <c r="B177" s="55"/>
      <c r="C177" s="55"/>
      <c r="D177" s="55"/>
      <c r="E177" s="55"/>
      <c r="F177" s="55"/>
      <c r="G177" s="55"/>
      <c r="H177" s="56"/>
      <c r="I177" s="82"/>
      <c r="J177" s="116"/>
      <c r="K177" s="125"/>
      <c r="L177" s="58"/>
      <c r="M177" s="58"/>
      <c r="N177" s="58"/>
      <c r="O177" s="58"/>
      <c r="P177" s="59"/>
      <c r="Q177" s="59"/>
      <c r="R177" s="59"/>
      <c r="S177" s="59"/>
      <c r="T177" s="59"/>
      <c r="U177" s="104"/>
      <c r="V177" s="130"/>
      <c r="X177" s="54"/>
      <c r="Y177" s="56"/>
      <c r="AA177" s="105"/>
      <c r="AB177" s="105"/>
      <c r="AC177" s="134"/>
    </row>
    <row r="178" spans="1:29" ht="15.75">
      <c r="A178" s="29"/>
      <c r="B178" s="55"/>
      <c r="C178" s="55"/>
      <c r="D178" s="55"/>
      <c r="E178" s="55"/>
      <c r="F178" s="55"/>
      <c r="G178" s="55"/>
      <c r="H178" s="56"/>
      <c r="I178" s="82"/>
      <c r="J178" s="116"/>
      <c r="K178" s="125"/>
      <c r="L178" s="58"/>
      <c r="M178" s="58"/>
      <c r="N178" s="58"/>
      <c r="O178" s="58"/>
      <c r="P178" s="59"/>
      <c r="Q178" s="59"/>
      <c r="R178" s="59"/>
      <c r="S178" s="59"/>
      <c r="T178" s="59"/>
      <c r="U178" s="104"/>
      <c r="V178" s="130"/>
      <c r="X178" s="54"/>
      <c r="Y178" s="56"/>
      <c r="AA178" s="105"/>
      <c r="AB178" s="105"/>
      <c r="AC178" s="134"/>
    </row>
    <row r="179" spans="1:29" ht="15.75">
      <c r="A179" s="29"/>
      <c r="B179" s="55"/>
      <c r="C179" s="55"/>
      <c r="D179" s="55"/>
      <c r="E179" s="55"/>
      <c r="F179" s="55"/>
      <c r="G179" s="55"/>
      <c r="H179" s="56"/>
      <c r="I179" s="82"/>
      <c r="J179" s="116"/>
      <c r="K179" s="125"/>
      <c r="L179" s="58"/>
      <c r="M179" s="58"/>
      <c r="N179" s="58"/>
      <c r="O179" s="58"/>
      <c r="P179" s="59"/>
      <c r="Q179" s="59"/>
      <c r="R179" s="59"/>
      <c r="S179" s="59"/>
      <c r="T179" s="59"/>
      <c r="U179" s="104"/>
      <c r="V179" s="130"/>
      <c r="X179" s="54"/>
      <c r="Y179" s="56"/>
      <c r="AA179" s="105"/>
      <c r="AB179" s="105"/>
      <c r="AC179" s="134"/>
    </row>
    <row r="180" spans="1:29" ht="15.75">
      <c r="A180" s="29"/>
      <c r="B180" s="55"/>
      <c r="C180" s="55"/>
      <c r="D180" s="55"/>
      <c r="E180" s="55"/>
      <c r="F180" s="55"/>
      <c r="G180" s="55"/>
      <c r="H180" s="56"/>
      <c r="I180" s="82"/>
      <c r="J180" s="116"/>
      <c r="K180" s="125"/>
      <c r="L180" s="58"/>
      <c r="M180" s="58"/>
      <c r="N180" s="58"/>
      <c r="O180" s="58"/>
      <c r="P180" s="59"/>
      <c r="Q180" s="59"/>
      <c r="R180" s="59"/>
      <c r="S180" s="59"/>
      <c r="T180" s="59"/>
      <c r="U180" s="104"/>
      <c r="V180" s="130"/>
      <c r="X180" s="54"/>
      <c r="Y180" s="56"/>
      <c r="AA180" s="105"/>
      <c r="AB180" s="105"/>
      <c r="AC180" s="134"/>
    </row>
    <row r="181" spans="1:29" ht="15.75">
      <c r="A181" s="29"/>
      <c r="B181" s="55"/>
      <c r="C181" s="55"/>
      <c r="D181" s="55"/>
      <c r="E181" s="55"/>
      <c r="F181" s="55"/>
      <c r="G181" s="55"/>
      <c r="H181" s="56"/>
      <c r="I181" s="82"/>
      <c r="J181" s="116"/>
      <c r="K181" s="125"/>
      <c r="L181" s="58"/>
      <c r="M181" s="58"/>
      <c r="N181" s="58"/>
      <c r="O181" s="58"/>
      <c r="P181" s="59"/>
      <c r="Q181" s="59"/>
      <c r="R181" s="59"/>
      <c r="S181" s="59"/>
      <c r="T181" s="59"/>
      <c r="U181" s="104"/>
      <c r="V181" s="130"/>
      <c r="X181" s="54"/>
      <c r="Y181" s="56"/>
      <c r="AA181" s="105"/>
      <c r="AB181" s="105"/>
      <c r="AC181" s="134"/>
    </row>
    <row r="182" spans="1:29" ht="15.75">
      <c r="A182" s="29"/>
      <c r="B182" s="55"/>
      <c r="C182" s="55"/>
      <c r="D182" s="55"/>
      <c r="E182" s="55"/>
      <c r="F182" s="55"/>
      <c r="G182" s="55"/>
      <c r="H182" s="56"/>
      <c r="I182" s="82"/>
      <c r="J182" s="116"/>
      <c r="K182" s="125"/>
      <c r="L182" s="58"/>
      <c r="M182" s="58"/>
      <c r="N182" s="58"/>
      <c r="O182" s="58"/>
      <c r="P182" s="59"/>
      <c r="Q182" s="59"/>
      <c r="R182" s="59"/>
      <c r="S182" s="59"/>
      <c r="T182" s="59"/>
      <c r="U182" s="104"/>
      <c r="V182" s="130"/>
      <c r="X182" s="54"/>
      <c r="Y182" s="56"/>
      <c r="AA182" s="105"/>
      <c r="AB182" s="105"/>
      <c r="AC182" s="134"/>
    </row>
    <row r="183" spans="1:29" ht="15.75">
      <c r="A183" s="29"/>
      <c r="B183" s="55"/>
      <c r="C183" s="55"/>
      <c r="D183" s="55"/>
      <c r="E183" s="55"/>
      <c r="F183" s="55"/>
      <c r="G183" s="55"/>
      <c r="H183" s="56"/>
      <c r="I183" s="82"/>
      <c r="J183" s="116"/>
      <c r="K183" s="125"/>
      <c r="L183" s="58"/>
      <c r="M183" s="58"/>
      <c r="N183" s="58"/>
      <c r="O183" s="58"/>
      <c r="P183" s="59"/>
      <c r="Q183" s="59"/>
      <c r="R183" s="59"/>
      <c r="S183" s="59"/>
      <c r="T183" s="59"/>
      <c r="U183" s="104"/>
      <c r="V183" s="130"/>
      <c r="X183" s="54"/>
      <c r="Y183" s="56"/>
      <c r="AA183" s="105"/>
      <c r="AB183" s="105"/>
      <c r="AC183" s="134"/>
    </row>
    <row r="184" spans="1:29" ht="15.75">
      <c r="A184" s="29"/>
      <c r="B184" s="55"/>
      <c r="C184" s="55"/>
      <c r="D184" s="55"/>
      <c r="E184" s="55"/>
      <c r="F184" s="55"/>
      <c r="G184" s="55"/>
      <c r="H184" s="56"/>
      <c r="I184" s="82"/>
      <c r="J184" s="116"/>
      <c r="K184" s="125"/>
      <c r="L184" s="58"/>
      <c r="M184" s="58"/>
      <c r="N184" s="58"/>
      <c r="O184" s="58"/>
      <c r="P184" s="59"/>
      <c r="Q184" s="59"/>
      <c r="R184" s="59"/>
      <c r="S184" s="59"/>
      <c r="T184" s="59"/>
      <c r="U184" s="104"/>
      <c r="V184" s="130"/>
      <c r="X184" s="54"/>
      <c r="Y184" s="56"/>
      <c r="AA184" s="105"/>
      <c r="AB184" s="105"/>
      <c r="AC184" s="134"/>
    </row>
    <row r="185" spans="1:29" ht="15.75">
      <c r="A185" s="29"/>
      <c r="B185" s="55"/>
      <c r="C185" s="55"/>
      <c r="D185" s="55"/>
      <c r="E185" s="55"/>
      <c r="F185" s="55"/>
      <c r="G185" s="55"/>
      <c r="H185" s="56"/>
      <c r="I185" s="82"/>
      <c r="J185" s="116"/>
      <c r="K185" s="125"/>
      <c r="L185" s="58"/>
      <c r="M185" s="58"/>
      <c r="N185" s="58"/>
      <c r="O185" s="58"/>
      <c r="P185" s="59"/>
      <c r="Q185" s="59"/>
      <c r="R185" s="59"/>
      <c r="S185" s="59"/>
      <c r="T185" s="59"/>
      <c r="U185" s="104"/>
      <c r="V185" s="130"/>
      <c r="X185" s="54"/>
      <c r="Y185" s="56"/>
      <c r="AA185" s="105"/>
      <c r="AB185" s="105"/>
      <c r="AC185" s="134"/>
    </row>
    <row r="186" spans="1:29" ht="15.75">
      <c r="A186" s="29"/>
      <c r="B186" s="55"/>
      <c r="C186" s="55"/>
      <c r="D186" s="55"/>
      <c r="E186" s="55"/>
      <c r="F186" s="55"/>
      <c r="G186" s="55"/>
      <c r="H186" s="56"/>
      <c r="I186" s="82"/>
      <c r="J186" s="116"/>
      <c r="K186" s="125"/>
      <c r="L186" s="58"/>
      <c r="M186" s="58"/>
      <c r="N186" s="58"/>
      <c r="O186" s="58"/>
      <c r="P186" s="59"/>
      <c r="Q186" s="59"/>
      <c r="R186" s="59"/>
      <c r="S186" s="59"/>
      <c r="T186" s="59"/>
      <c r="U186" s="104"/>
      <c r="V186" s="130"/>
      <c r="X186" s="54"/>
      <c r="Y186" s="56"/>
      <c r="AA186" s="105"/>
      <c r="AB186" s="105"/>
      <c r="AC186" s="134"/>
    </row>
    <row r="187" spans="1:29" ht="15.75">
      <c r="A187" s="29"/>
      <c r="B187" s="55"/>
      <c r="C187" s="55"/>
      <c r="D187" s="55"/>
      <c r="E187" s="55"/>
      <c r="F187" s="55"/>
      <c r="G187" s="55"/>
      <c r="H187" s="56"/>
      <c r="I187" s="82"/>
      <c r="J187" s="116"/>
      <c r="K187" s="125"/>
      <c r="L187" s="58"/>
      <c r="M187" s="58"/>
      <c r="N187" s="58"/>
      <c r="O187" s="58"/>
      <c r="P187" s="59"/>
      <c r="Q187" s="59"/>
      <c r="R187" s="59"/>
      <c r="S187" s="59"/>
      <c r="T187" s="59"/>
      <c r="U187" s="104"/>
      <c r="V187" s="130"/>
      <c r="X187" s="54"/>
      <c r="Y187" s="56"/>
      <c r="AA187" s="105"/>
      <c r="AB187" s="105"/>
      <c r="AC187" s="134"/>
    </row>
    <row r="188" spans="1:29" ht="15.75">
      <c r="A188" s="29"/>
      <c r="B188" s="55"/>
      <c r="C188" s="55"/>
      <c r="D188" s="55"/>
      <c r="E188" s="55"/>
      <c r="F188" s="55"/>
      <c r="G188" s="55"/>
      <c r="H188" s="56"/>
      <c r="I188" s="82"/>
      <c r="J188" s="116"/>
      <c r="K188" s="125"/>
      <c r="L188" s="58"/>
      <c r="M188" s="58"/>
      <c r="N188" s="58"/>
      <c r="O188" s="58"/>
      <c r="P188" s="59"/>
      <c r="Q188" s="59"/>
      <c r="R188" s="59"/>
      <c r="S188" s="59"/>
      <c r="T188" s="59"/>
      <c r="U188" s="104"/>
      <c r="V188" s="130"/>
      <c r="X188" s="54"/>
      <c r="Y188" s="56"/>
      <c r="AA188" s="105"/>
      <c r="AB188" s="105"/>
      <c r="AC188" s="134"/>
    </row>
    <row r="189" spans="1:29" ht="15.75">
      <c r="A189" s="29"/>
      <c r="B189" s="55"/>
      <c r="C189" s="55"/>
      <c r="D189" s="55"/>
      <c r="E189" s="55"/>
      <c r="F189" s="55"/>
      <c r="G189" s="55"/>
      <c r="H189" s="56"/>
      <c r="I189" s="82"/>
      <c r="J189" s="116"/>
      <c r="K189" s="125"/>
      <c r="L189" s="58"/>
      <c r="M189" s="58"/>
      <c r="N189" s="58"/>
      <c r="O189" s="58"/>
      <c r="P189" s="59"/>
      <c r="Q189" s="59"/>
      <c r="R189" s="59"/>
      <c r="S189" s="59"/>
      <c r="T189" s="59"/>
      <c r="U189" s="104"/>
      <c r="V189" s="130"/>
      <c r="X189" s="54"/>
      <c r="Y189" s="56"/>
      <c r="AA189" s="105"/>
      <c r="AB189" s="105"/>
      <c r="AC189" s="134"/>
    </row>
    <row r="190" spans="1:29" ht="15.75">
      <c r="A190" s="29"/>
      <c r="B190" s="55"/>
      <c r="C190" s="55"/>
      <c r="D190" s="55"/>
      <c r="E190" s="55"/>
      <c r="F190" s="55"/>
      <c r="G190" s="55"/>
      <c r="H190" s="56"/>
      <c r="I190" s="82"/>
      <c r="J190" s="116"/>
      <c r="K190" s="125"/>
      <c r="L190" s="58"/>
      <c r="M190" s="58"/>
      <c r="N190" s="58"/>
      <c r="O190" s="58"/>
      <c r="P190" s="59"/>
      <c r="Q190" s="59"/>
      <c r="R190" s="59"/>
      <c r="S190" s="59"/>
      <c r="T190" s="59"/>
      <c r="U190" s="104"/>
      <c r="V190" s="130"/>
      <c r="X190" s="54"/>
      <c r="Y190" s="56"/>
      <c r="AA190" s="105"/>
      <c r="AB190" s="105"/>
      <c r="AC190" s="134"/>
    </row>
    <row r="191" spans="1:29" ht="15.75">
      <c r="A191" s="29"/>
      <c r="B191" s="55"/>
      <c r="C191" s="55"/>
      <c r="D191" s="55"/>
      <c r="E191" s="55"/>
      <c r="F191" s="55"/>
      <c r="G191" s="55"/>
      <c r="H191" s="56"/>
      <c r="I191" s="82"/>
      <c r="J191" s="116"/>
      <c r="K191" s="125"/>
      <c r="L191" s="58"/>
      <c r="M191" s="58"/>
      <c r="N191" s="58"/>
      <c r="O191" s="58"/>
      <c r="P191" s="59"/>
      <c r="Q191" s="59"/>
      <c r="R191" s="59"/>
      <c r="S191" s="59"/>
      <c r="T191" s="59"/>
      <c r="U191" s="104"/>
      <c r="V191" s="130"/>
      <c r="X191" s="54"/>
      <c r="Y191" s="56"/>
      <c r="AA191" s="105"/>
      <c r="AB191" s="105"/>
      <c r="AC191" s="134"/>
    </row>
    <row r="192" spans="1:29" ht="15.75">
      <c r="A192" s="29"/>
      <c r="B192" s="55"/>
      <c r="C192" s="55"/>
      <c r="D192" s="55"/>
      <c r="E192" s="55"/>
      <c r="F192" s="55"/>
      <c r="G192" s="55"/>
      <c r="H192" s="56"/>
      <c r="I192" s="82"/>
      <c r="J192" s="116"/>
      <c r="K192" s="125"/>
      <c r="L192" s="58"/>
      <c r="M192" s="58"/>
      <c r="N192" s="58"/>
      <c r="O192" s="58"/>
      <c r="P192" s="59"/>
      <c r="Q192" s="59"/>
      <c r="R192" s="59"/>
      <c r="S192" s="59"/>
      <c r="T192" s="59"/>
      <c r="U192" s="104"/>
      <c r="V192" s="130"/>
      <c r="X192" s="54"/>
      <c r="Y192" s="56"/>
      <c r="AA192" s="105"/>
      <c r="AB192" s="105"/>
      <c r="AC192" s="134"/>
    </row>
    <row r="193" spans="1:29" ht="15.75">
      <c r="A193" s="29"/>
      <c r="B193" s="55"/>
      <c r="C193" s="55"/>
      <c r="D193" s="55"/>
      <c r="E193" s="55"/>
      <c r="F193" s="55"/>
      <c r="G193" s="55"/>
      <c r="H193" s="56"/>
      <c r="I193" s="82"/>
      <c r="J193" s="116"/>
      <c r="K193" s="125"/>
      <c r="L193" s="58"/>
      <c r="M193" s="58"/>
      <c r="N193" s="58"/>
      <c r="O193" s="58"/>
      <c r="P193" s="59"/>
      <c r="Q193" s="59"/>
      <c r="R193" s="59"/>
      <c r="S193" s="59"/>
      <c r="T193" s="59"/>
      <c r="U193" s="104"/>
      <c r="V193" s="130"/>
      <c r="X193" s="54"/>
      <c r="Y193" s="56"/>
      <c r="AA193" s="105"/>
      <c r="AB193" s="105"/>
      <c r="AC193" s="134"/>
    </row>
    <row r="194" spans="1:29" ht="15.75">
      <c r="A194" s="29"/>
      <c r="B194" s="55"/>
      <c r="C194" s="55"/>
      <c r="D194" s="55"/>
      <c r="E194" s="55"/>
      <c r="F194" s="55"/>
      <c r="G194" s="55"/>
      <c r="H194" s="56"/>
      <c r="I194" s="82"/>
      <c r="J194" s="116"/>
      <c r="K194" s="125"/>
      <c r="L194" s="58"/>
      <c r="M194" s="58"/>
      <c r="N194" s="58"/>
      <c r="O194" s="58"/>
      <c r="P194" s="59"/>
      <c r="Q194" s="59"/>
      <c r="R194" s="59"/>
      <c r="S194" s="59"/>
      <c r="T194" s="59"/>
      <c r="U194" s="104"/>
      <c r="V194" s="130"/>
      <c r="X194" s="54"/>
      <c r="Y194" s="56"/>
      <c r="AA194" s="105"/>
      <c r="AB194" s="105"/>
      <c r="AC194" s="134"/>
    </row>
    <row r="195" spans="1:29" ht="15.75">
      <c r="A195" s="29"/>
      <c r="B195" s="55"/>
      <c r="C195" s="55"/>
      <c r="D195" s="55"/>
      <c r="E195" s="55"/>
      <c r="F195" s="55"/>
      <c r="G195" s="55"/>
      <c r="H195" s="56"/>
      <c r="I195" s="82"/>
      <c r="J195" s="116"/>
      <c r="K195" s="125"/>
      <c r="L195" s="58"/>
      <c r="M195" s="58"/>
      <c r="N195" s="58"/>
      <c r="O195" s="58"/>
      <c r="P195" s="59"/>
      <c r="Q195" s="59"/>
      <c r="R195" s="59"/>
      <c r="S195" s="59"/>
      <c r="T195" s="59"/>
      <c r="U195" s="104"/>
      <c r="V195" s="130"/>
      <c r="X195" s="54"/>
      <c r="Y195" s="56"/>
      <c r="AA195" s="105"/>
      <c r="AB195" s="105"/>
      <c r="AC195" s="134"/>
    </row>
    <row r="196" spans="1:29" ht="15.75">
      <c r="A196" s="29"/>
      <c r="B196" s="55"/>
      <c r="C196" s="55"/>
      <c r="D196" s="55"/>
      <c r="E196" s="55"/>
      <c r="F196" s="55"/>
      <c r="G196" s="55"/>
      <c r="H196" s="56"/>
      <c r="I196" s="82"/>
      <c r="J196" s="116"/>
      <c r="K196" s="125"/>
      <c r="L196" s="58"/>
      <c r="M196" s="58"/>
      <c r="N196" s="58"/>
      <c r="O196" s="58"/>
      <c r="P196" s="59"/>
      <c r="Q196" s="59"/>
      <c r="R196" s="59"/>
      <c r="S196" s="59"/>
      <c r="T196" s="59"/>
      <c r="U196" s="104"/>
      <c r="V196" s="130"/>
      <c r="X196" s="54"/>
      <c r="Y196" s="56"/>
      <c r="AA196" s="105"/>
      <c r="AB196" s="105"/>
      <c r="AC196" s="134"/>
    </row>
    <row r="197" spans="1:29" ht="15.75">
      <c r="A197" s="29"/>
      <c r="B197" s="55"/>
      <c r="C197" s="55"/>
      <c r="D197" s="55"/>
      <c r="E197" s="55"/>
      <c r="F197" s="55"/>
      <c r="G197" s="55"/>
      <c r="H197" s="56"/>
      <c r="I197" s="82"/>
      <c r="J197" s="116"/>
      <c r="K197" s="125"/>
      <c r="L197" s="58"/>
      <c r="M197" s="58"/>
      <c r="N197" s="58"/>
      <c r="O197" s="58"/>
      <c r="P197" s="59"/>
      <c r="Q197" s="59"/>
      <c r="R197" s="59"/>
      <c r="S197" s="59"/>
      <c r="T197" s="59"/>
      <c r="U197" s="104"/>
      <c r="V197" s="130"/>
      <c r="X197" s="54"/>
      <c r="Y197" s="56"/>
      <c r="AA197" s="105"/>
      <c r="AB197" s="105"/>
      <c r="AC197" s="134"/>
    </row>
    <row r="198" spans="1:29" ht="15.75">
      <c r="A198" s="29"/>
      <c r="B198" s="55"/>
      <c r="C198" s="55"/>
      <c r="D198" s="55"/>
      <c r="E198" s="55"/>
      <c r="F198" s="55"/>
      <c r="G198" s="55"/>
      <c r="H198" s="56"/>
      <c r="I198" s="82"/>
      <c r="J198" s="116"/>
      <c r="K198" s="125"/>
      <c r="L198" s="58"/>
      <c r="M198" s="58"/>
      <c r="N198" s="58"/>
      <c r="O198" s="58"/>
      <c r="P198" s="59"/>
      <c r="Q198" s="59"/>
      <c r="R198" s="59"/>
      <c r="S198" s="59"/>
      <c r="T198" s="59"/>
      <c r="U198" s="104"/>
      <c r="V198" s="130"/>
      <c r="X198" s="54"/>
      <c r="Y198" s="56"/>
      <c r="AA198" s="105"/>
      <c r="AB198" s="105"/>
      <c r="AC198" s="134"/>
    </row>
    <row r="199" spans="1:29" ht="15.75">
      <c r="A199" s="29"/>
      <c r="B199" s="55"/>
      <c r="C199" s="55"/>
      <c r="D199" s="55"/>
      <c r="E199" s="55"/>
      <c r="F199" s="55"/>
      <c r="G199" s="55"/>
      <c r="H199" s="56"/>
      <c r="I199" s="82"/>
      <c r="J199" s="116"/>
      <c r="K199" s="125"/>
      <c r="L199" s="58"/>
      <c r="M199" s="58"/>
      <c r="N199" s="58"/>
      <c r="O199" s="58"/>
      <c r="P199" s="59"/>
      <c r="Q199" s="59"/>
      <c r="R199" s="59"/>
      <c r="S199" s="59"/>
      <c r="T199" s="59"/>
      <c r="U199" s="104"/>
      <c r="V199" s="130"/>
      <c r="X199" s="54"/>
      <c r="Y199" s="56"/>
      <c r="AA199" s="105"/>
      <c r="AB199" s="105"/>
      <c r="AC199" s="134"/>
    </row>
    <row r="200" spans="1:29" ht="15.75">
      <c r="A200" s="29"/>
      <c r="B200" s="55"/>
      <c r="C200" s="55"/>
      <c r="D200" s="55"/>
      <c r="E200" s="55"/>
      <c r="F200" s="55"/>
      <c r="G200" s="55"/>
      <c r="H200" s="56"/>
      <c r="I200" s="82"/>
      <c r="J200" s="116"/>
      <c r="K200" s="125"/>
      <c r="L200" s="58"/>
      <c r="M200" s="58"/>
      <c r="N200" s="58"/>
      <c r="O200" s="58"/>
      <c r="P200" s="59"/>
      <c r="Q200" s="59"/>
      <c r="R200" s="59"/>
      <c r="S200" s="59"/>
      <c r="T200" s="59"/>
      <c r="U200" s="104"/>
      <c r="V200" s="130"/>
      <c r="X200" s="54"/>
      <c r="Y200" s="56"/>
      <c r="AA200" s="105"/>
      <c r="AB200" s="105"/>
      <c r="AC200" s="134"/>
    </row>
    <row r="201" spans="1:29" ht="15.75">
      <c r="A201" s="29"/>
      <c r="B201" s="55"/>
      <c r="C201" s="55"/>
      <c r="D201" s="55"/>
      <c r="E201" s="55"/>
      <c r="F201" s="55"/>
      <c r="G201" s="55"/>
      <c r="H201" s="56"/>
      <c r="I201" s="82"/>
      <c r="J201" s="116"/>
      <c r="K201" s="125"/>
      <c r="L201" s="58"/>
      <c r="M201" s="58"/>
      <c r="N201" s="58"/>
      <c r="O201" s="58"/>
      <c r="P201" s="59"/>
      <c r="Q201" s="59"/>
      <c r="R201" s="59"/>
      <c r="S201" s="59"/>
      <c r="T201" s="59"/>
      <c r="U201" s="104"/>
      <c r="V201" s="130"/>
      <c r="X201" s="54"/>
      <c r="Y201" s="56"/>
      <c r="AA201" s="105"/>
      <c r="AB201" s="105"/>
      <c r="AC201" s="134"/>
    </row>
    <row r="202" spans="1:29" ht="16.5" thickBot="1">
      <c r="A202" s="30"/>
      <c r="B202" s="31"/>
      <c r="C202" s="31"/>
      <c r="D202" s="31"/>
      <c r="E202" s="31"/>
      <c r="F202" s="31"/>
      <c r="G202" s="31"/>
      <c r="H202" s="32"/>
      <c r="I202" s="82"/>
      <c r="J202" s="126"/>
      <c r="K202" s="127"/>
      <c r="L202" s="50"/>
      <c r="M202" s="50"/>
      <c r="N202" s="50"/>
      <c r="O202" s="50"/>
      <c r="P202" s="51"/>
      <c r="Q202" s="51"/>
      <c r="R202" s="51"/>
      <c r="S202" s="51"/>
      <c r="T202" s="51"/>
      <c r="U202" s="52"/>
      <c r="V202" s="131"/>
      <c r="X202" s="30"/>
      <c r="Y202" s="32"/>
      <c r="AA202" s="62"/>
      <c r="AB202" s="62"/>
      <c r="AC202" s="135"/>
    </row>
  </sheetData>
  <autoFilter ref="A2:AC146" xr:uid="{969E45CB-FC1E-4835-BA2F-DA99948549B1}"/>
  <mergeCells count="1">
    <mergeCell ref="AA1:AB1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CA1F-E93A-4E8B-9B8F-6FEC8AE0B7A0}">
  <dimension ref="A1:AC202"/>
  <sheetViews>
    <sheetView showGridLines="0" zoomScale="95" zoomScaleNormal="95" workbookViewId="0">
      <pane xSplit="4" ySplit="2" topLeftCell="F3" activePane="bottomRight" state="frozen"/>
      <selection pane="bottomRight" activeCell="A2" sqref="A2"/>
      <selection pane="bottomLeft" activeCell="A3" sqref="A3"/>
      <selection pane="topRight" activeCell="E1" sqref="E1"/>
    </sheetView>
  </sheetViews>
  <sheetFormatPr defaultColWidth="8.7109375" defaultRowHeight="15"/>
  <cols>
    <col min="1" max="1" width="8.7109375" style="5" customWidth="1"/>
    <col min="2" max="2" width="20.7109375" style="5" customWidth="1"/>
    <col min="3" max="3" width="15.7109375" style="5" customWidth="1"/>
    <col min="4" max="4" width="23.7109375" style="5" customWidth="1"/>
    <col min="5" max="8" width="10.7109375" style="5" customWidth="1"/>
    <col min="9" max="9" width="3.7109375" style="8" customWidth="1"/>
    <col min="10" max="10" width="10.7109375" style="5" customWidth="1"/>
    <col min="11" max="11" width="12.42578125" style="12" customWidth="1"/>
    <col min="12" max="12" width="10.7109375" style="8" customWidth="1"/>
    <col min="13" max="13" width="10" style="8" customWidth="1"/>
    <col min="14" max="14" width="10.7109375" style="8" customWidth="1"/>
    <col min="15" max="15" width="9.7109375" style="8" customWidth="1"/>
    <col min="16" max="21" width="10.7109375" style="5" customWidth="1"/>
    <col min="22" max="22" width="10.7109375" style="15" customWidth="1"/>
    <col min="23" max="23" width="1.7109375" style="8" customWidth="1"/>
    <col min="24" max="24" width="12.7109375" style="5" customWidth="1"/>
    <col min="25" max="25" width="12.140625" style="5" customWidth="1"/>
    <col min="26" max="26" width="1.7109375" style="8" customWidth="1"/>
    <col min="27" max="28" width="10.7109375" style="8" customWidth="1"/>
    <col min="29" max="29" width="20.7109375" style="8" customWidth="1"/>
    <col min="30" max="984" width="10.7109375" style="8" customWidth="1"/>
    <col min="985" max="16384" width="8.7109375" style="8"/>
  </cols>
  <sheetData>
    <row r="1" spans="1:29" ht="28.5" customHeight="1" thickBot="1">
      <c r="A1" s="4"/>
      <c r="B1" s="4"/>
      <c r="C1" s="4"/>
      <c r="D1" s="24"/>
      <c r="E1" s="25"/>
      <c r="F1" s="4"/>
      <c r="I1" s="6"/>
      <c r="K1" s="7"/>
      <c r="L1" s="6"/>
      <c r="M1" s="6"/>
      <c r="N1" s="6"/>
      <c r="O1" s="6"/>
      <c r="W1" s="6"/>
      <c r="AA1" s="145">
        <v>45777</v>
      </c>
      <c r="AB1" s="146"/>
      <c r="AC1" s="75">
        <f>SUM(AC3:AC46)</f>
        <v>115627.82582027945</v>
      </c>
    </row>
    <row r="2" spans="1:29" s="45" customFormat="1" ht="50.25" customHeight="1" thickBot="1">
      <c r="A2" s="107" t="s">
        <v>0</v>
      </c>
      <c r="B2" s="108" t="s">
        <v>1</v>
      </c>
      <c r="C2" s="108" t="s">
        <v>2</v>
      </c>
      <c r="D2" s="108" t="s">
        <v>3</v>
      </c>
      <c r="E2" s="108" t="s">
        <v>4</v>
      </c>
      <c r="F2" s="108" t="s">
        <v>5</v>
      </c>
      <c r="G2" s="108" t="s">
        <v>6</v>
      </c>
      <c r="H2" s="109" t="s">
        <v>7</v>
      </c>
      <c r="J2" s="107" t="s">
        <v>8</v>
      </c>
      <c r="K2" s="110" t="s">
        <v>372</v>
      </c>
      <c r="L2" s="110" t="s">
        <v>373</v>
      </c>
      <c r="M2" s="111" t="s">
        <v>12</v>
      </c>
      <c r="N2" s="111" t="s">
        <v>13</v>
      </c>
      <c r="O2" s="111" t="s">
        <v>14</v>
      </c>
      <c r="P2" s="112" t="s">
        <v>15</v>
      </c>
      <c r="Q2" s="112" t="s">
        <v>16</v>
      </c>
      <c r="R2" s="112" t="s">
        <v>17</v>
      </c>
      <c r="S2" s="112" t="s">
        <v>18</v>
      </c>
      <c r="T2" s="112" t="s">
        <v>19</v>
      </c>
      <c r="U2" s="112" t="s">
        <v>20</v>
      </c>
      <c r="V2" s="113" t="s">
        <v>21</v>
      </c>
      <c r="X2" s="107" t="s">
        <v>22</v>
      </c>
      <c r="Y2" s="109" t="s">
        <v>23</v>
      </c>
      <c r="AA2" s="114" t="s">
        <v>24</v>
      </c>
      <c r="AB2" s="114" t="s">
        <v>25</v>
      </c>
      <c r="AC2" s="115" t="s">
        <v>26</v>
      </c>
    </row>
    <row r="3" spans="1:29" ht="15.75">
      <c r="A3" s="67" t="s">
        <v>27</v>
      </c>
      <c r="B3" s="68" t="s">
        <v>28</v>
      </c>
      <c r="C3" s="69" t="s">
        <v>29</v>
      </c>
      <c r="D3" s="68" t="s">
        <v>30</v>
      </c>
      <c r="E3" s="68" t="str">
        <f t="shared" ref="E3:E51" si="0">IF(B3="","",IF(D3="Godfroy","Godfroy",(IF(LEFT(B3,1)="1","Hiwa","Direct"))))</f>
        <v>Hiwa</v>
      </c>
      <c r="F3" s="68" t="s">
        <v>31</v>
      </c>
      <c r="G3" s="68">
        <v>80</v>
      </c>
      <c r="H3" s="70">
        <f>G3*215</f>
        <v>17200</v>
      </c>
      <c r="I3" s="82" t="b">
        <v>1</v>
      </c>
      <c r="J3" s="116">
        <f t="shared" ref="J3:J10" si="1">+K3/H3</f>
        <v>1.0022066936373668</v>
      </c>
      <c r="K3" s="117">
        <f>18748/1.0876</f>
        <v>17237.95513056271</v>
      </c>
      <c r="L3" s="17"/>
      <c r="M3" s="17">
        <v>57.56</v>
      </c>
      <c r="N3" s="17"/>
      <c r="O3" s="16">
        <v>1113.75</v>
      </c>
      <c r="P3" s="16">
        <f>(27*42.45)+42.45+42.45+42.45+42.45+42.45+2.93+2.93+2.93+2.93+2.93+2.93+3.06+3.06+1.53+1.53</f>
        <v>1385.1600000000005</v>
      </c>
      <c r="Q3" s="16">
        <f>1.78+1.79+1.84+1.87+1.84+1.82+1.81+1.72+1.64+1.67+1.66+1.66+1.66+1.63+1.61+0.11+0.12+0.12+0.12+0.06</f>
        <v>26.53</v>
      </c>
      <c r="R3" s="16">
        <f>51.74+54.64+54.64+54.64+54.64+(57.04*(1/4))</f>
        <v>284.55999999999995</v>
      </c>
      <c r="S3" s="16">
        <f>14.75+18.66+14.75+15.4</f>
        <v>63.559999999999995</v>
      </c>
      <c r="T3" s="16">
        <f>395+180+280+1055+172+(215*(1/4))</f>
        <v>2135.75</v>
      </c>
      <c r="U3" s="19">
        <f>IF(B3="","",K3+SUM(L3:Q3))</f>
        <v>19820.95513056271</v>
      </c>
      <c r="V3" s="128">
        <f t="shared" ref="V3:V39" si="2">IF(J3="","",+U3/H3)</f>
        <v>1.152381112242018</v>
      </c>
      <c r="X3" s="40">
        <v>335274</v>
      </c>
      <c r="Y3" s="41">
        <v>45086</v>
      </c>
      <c r="AA3" s="60"/>
      <c r="AB3" s="60" t="str">
        <f>IF(AA3="","",AA3*(H3/G3))</f>
        <v/>
      </c>
      <c r="AC3" s="132" t="str">
        <f t="shared" ref="AC3:AC66" si="3">IF(AB3="","",AB3*V3)</f>
        <v/>
      </c>
    </row>
    <row r="4" spans="1:29" ht="15.75">
      <c r="A4" s="26" t="s">
        <v>32</v>
      </c>
      <c r="B4" s="11" t="s">
        <v>33</v>
      </c>
      <c r="C4" s="3" t="s">
        <v>34</v>
      </c>
      <c r="D4" s="3" t="s">
        <v>35</v>
      </c>
      <c r="E4" s="3" t="str">
        <f t="shared" si="0"/>
        <v>Godfroy</v>
      </c>
      <c r="F4" s="3" t="s">
        <v>36</v>
      </c>
      <c r="G4" s="3">
        <v>256</v>
      </c>
      <c r="H4" s="28">
        <v>2560</v>
      </c>
      <c r="I4" s="82" t="b">
        <v>1</v>
      </c>
      <c r="J4" s="116">
        <f t="shared" si="1"/>
        <v>1.78</v>
      </c>
      <c r="K4" s="117">
        <v>4556.8</v>
      </c>
      <c r="L4" s="17"/>
      <c r="M4" s="17"/>
      <c r="N4" s="17"/>
      <c r="O4" s="17">
        <v>49.65</v>
      </c>
      <c r="P4" s="16">
        <f>82.87+82.87+80.2+82.87+80.2+82.87+62.15+56.14+62.15+60.15+62.15+60.15+62.15+62.15+60.15+62.15+60.15+62.15+62.15+56.14+62.15+60.15</f>
        <v>1464.2600000000004</v>
      </c>
      <c r="Q4" s="16">
        <f>8.54+8.54+8.54+8.54+8.54+8.54+6.4+6.4+6.4+6.4+6.4+6.4+6.4+6.4+6.4+6.4+6.4+6.4+6.4+6.4+6.4+6.4</f>
        <v>153.64000000000007</v>
      </c>
      <c r="R4" s="16" t="s">
        <v>37</v>
      </c>
      <c r="S4" s="16">
        <f>4.3+4.3+1.61</f>
        <v>10.209999999999999</v>
      </c>
      <c r="T4" s="16">
        <v>148</v>
      </c>
      <c r="U4" s="19">
        <f t="shared" ref="U4:U6" si="4">IF(B4="","",K4+SUM(L4:Q4))</f>
        <v>6224.35</v>
      </c>
      <c r="V4" s="128">
        <f t="shared" si="2"/>
        <v>2.4313867187500002</v>
      </c>
      <c r="X4" s="77">
        <v>93104899</v>
      </c>
      <c r="Y4" s="76">
        <v>45131</v>
      </c>
      <c r="AA4" s="78"/>
      <c r="AB4" s="78" t="str">
        <f t="shared" ref="AB4:AB67" si="5">IF(AA4="","",AA4*(H4/G4))</f>
        <v/>
      </c>
      <c r="AC4" s="132" t="str">
        <f t="shared" si="3"/>
        <v/>
      </c>
    </row>
    <row r="5" spans="1:29" ht="15.75">
      <c r="A5" s="26" t="s">
        <v>38</v>
      </c>
      <c r="B5" s="3" t="s">
        <v>39</v>
      </c>
      <c r="C5" s="3" t="s">
        <v>34</v>
      </c>
      <c r="D5" s="3" t="s">
        <v>35</v>
      </c>
      <c r="E5" s="3" t="str">
        <f t="shared" si="0"/>
        <v>Godfroy</v>
      </c>
      <c r="F5" s="3" t="s">
        <v>36</v>
      </c>
      <c r="G5" s="3">
        <v>128</v>
      </c>
      <c r="H5" s="28">
        <v>1280</v>
      </c>
      <c r="I5" s="82" t="b">
        <v>1</v>
      </c>
      <c r="J5" s="116">
        <f t="shared" si="1"/>
        <v>2.88</v>
      </c>
      <c r="K5" s="117">
        <v>3686.4</v>
      </c>
      <c r="L5" s="17"/>
      <c r="M5" s="17"/>
      <c r="N5" s="17"/>
      <c r="O5" s="17">
        <v>27</v>
      </c>
      <c r="P5" s="16">
        <f>41.44+20.72+20.04+20.72+20.05+20.72+20.72+18.71+20.72+20.05+20.72+20.05+20.72+20.72+20.05+20.72+20.05+20.72+20.72+8.03</f>
        <v>416.39</v>
      </c>
      <c r="Q5" s="16">
        <f>5.74+2.87+2.87+2.87+2.87+2.87+2.87+2.87+2.87+2.87+2.87+2.87+2.87+2.87+2.87+2.87+2.87+2.87+2.87+2.87</f>
        <v>60.269999999999982</v>
      </c>
      <c r="R5" s="16" t="s">
        <v>37</v>
      </c>
      <c r="S5" s="16">
        <f>4.3+4.3+1.61+1.61</f>
        <v>11.819999999999999</v>
      </c>
      <c r="T5" s="16">
        <f>241+97.72</f>
        <v>338.72</v>
      </c>
      <c r="U5" s="19">
        <f t="shared" si="4"/>
        <v>4190.0600000000004</v>
      </c>
      <c r="V5" s="128">
        <f t="shared" si="2"/>
        <v>3.2734843750000002</v>
      </c>
      <c r="X5" s="77">
        <v>93104898</v>
      </c>
      <c r="Y5" s="76">
        <v>45131</v>
      </c>
      <c r="AA5" s="78"/>
      <c r="AB5" s="78" t="str">
        <f t="shared" si="5"/>
        <v/>
      </c>
      <c r="AC5" s="132" t="str">
        <f t="shared" si="3"/>
        <v/>
      </c>
    </row>
    <row r="6" spans="1:29" ht="15" customHeight="1">
      <c r="A6" s="26" t="s">
        <v>40</v>
      </c>
      <c r="B6" s="11" t="s">
        <v>41</v>
      </c>
      <c r="C6" s="3" t="s">
        <v>34</v>
      </c>
      <c r="D6" s="3" t="s">
        <v>35</v>
      </c>
      <c r="E6" s="3" t="str">
        <f t="shared" si="0"/>
        <v>Godfroy</v>
      </c>
      <c r="F6" s="3" t="s">
        <v>36</v>
      </c>
      <c r="G6" s="3">
        <v>1664</v>
      </c>
      <c r="H6" s="28">
        <v>16640</v>
      </c>
      <c r="I6" s="82" t="b">
        <v>1</v>
      </c>
      <c r="J6" s="116">
        <f t="shared" si="1"/>
        <v>2.52</v>
      </c>
      <c r="K6" s="117">
        <v>41932.800000000003</v>
      </c>
      <c r="L6" s="17"/>
      <c r="M6" s="17"/>
      <c r="N6" s="17"/>
      <c r="O6" s="17">
        <v>327</v>
      </c>
      <c r="P6" s="16">
        <f>497.23+414.36+400.99+414.36+400.99+414.36+393.64+355.55+393.64+380.94+352.21+280.7+145.03+145.03+140.35+145.03+140.35+145.03+145.03+117.63+100.25</f>
        <v>5922.7</v>
      </c>
      <c r="Q6" s="16">
        <f>61.82+49.91+49.91+49.91+49.91+49.91+47.33+47.33+47.33+47.33+42.18+34.45+16.42+16.42+16.42+16.42+16.42+16.42+16.42+16.42+11.27</f>
        <v>719.94999999999959</v>
      </c>
      <c r="R6" s="16" t="s">
        <v>37</v>
      </c>
      <c r="S6" s="16">
        <f>17*(4.3+1.61)+1.61+17.2+7.2+1.61</f>
        <v>128.09</v>
      </c>
      <c r="T6" s="16">
        <f>141.37+42.85+150.47+128.25+121.18+296+210+196+213.4+190+(162+(162*9%))+372.4</f>
        <v>2238.5</v>
      </c>
      <c r="U6" s="19">
        <f t="shared" si="4"/>
        <v>48902.450000000004</v>
      </c>
      <c r="V6" s="128">
        <f t="shared" si="2"/>
        <v>2.9388491586538463</v>
      </c>
      <c r="X6" s="77">
        <v>93104900</v>
      </c>
      <c r="Y6" s="76">
        <v>45131</v>
      </c>
      <c r="AA6" s="78"/>
      <c r="AB6" s="78" t="str">
        <f t="shared" si="5"/>
        <v/>
      </c>
      <c r="AC6" s="132" t="str">
        <f t="shared" si="3"/>
        <v/>
      </c>
    </row>
    <row r="7" spans="1:29" ht="15.75">
      <c r="A7" s="26" t="s">
        <v>42</v>
      </c>
      <c r="B7" s="3" t="s">
        <v>43</v>
      </c>
      <c r="C7" s="3" t="s">
        <v>374</v>
      </c>
      <c r="D7" s="13" t="s">
        <v>45</v>
      </c>
      <c r="E7" s="3" t="str">
        <f t="shared" si="0"/>
        <v>Hiwa</v>
      </c>
      <c r="F7" s="3" t="s">
        <v>46</v>
      </c>
      <c r="G7" s="3">
        <v>72</v>
      </c>
      <c r="H7" s="28">
        <v>1440</v>
      </c>
      <c r="I7" s="82" t="b">
        <v>1</v>
      </c>
      <c r="J7" s="116">
        <f t="shared" si="1"/>
        <v>2.2220138888888887</v>
      </c>
      <c r="K7" s="117">
        <v>3199.7</v>
      </c>
      <c r="L7" s="17"/>
      <c r="M7" s="17">
        <v>223.81</v>
      </c>
      <c r="N7" s="17"/>
      <c r="O7" s="18">
        <v>132.0289156626506</v>
      </c>
      <c r="P7" s="16">
        <f>(19*18.03)+18.03+18.03+18.03+18.03+18.03+18.03+18.03+18.03+18.03+18.03+18.03+18.82+18.82+9.41+9.41+9.41+9.41+9.41+9.41</f>
        <v>634.99999999999966</v>
      </c>
      <c r="Q7" s="16">
        <f>0.84+0.83+0.82+0.81+0.82+0.81+0.83+0.82+0.83+0.82+0.81+0.8+0.81+0.84+0.84+0.84+0.43+0.42+0.4</f>
        <v>14.420000000000002</v>
      </c>
      <c r="R7" s="16">
        <v>57.04</v>
      </c>
      <c r="S7" s="16">
        <v>0</v>
      </c>
      <c r="T7" s="16">
        <v>0</v>
      </c>
      <c r="U7" s="19">
        <f t="shared" ref="U7:U48" si="6">IF(B7="","",K7+SUM(L7:Q7))</f>
        <v>4204.9589156626498</v>
      </c>
      <c r="V7" s="128">
        <f t="shared" si="2"/>
        <v>2.9201103580990622</v>
      </c>
      <c r="X7" s="29">
        <v>342136</v>
      </c>
      <c r="Y7" s="42">
        <v>45209</v>
      </c>
      <c r="AA7" s="61">
        <v>36</v>
      </c>
      <c r="AB7" s="61">
        <f t="shared" si="5"/>
        <v>720</v>
      </c>
      <c r="AC7" s="132">
        <f t="shared" si="3"/>
        <v>2102.4794578313249</v>
      </c>
    </row>
    <row r="8" spans="1:29" ht="15.75">
      <c r="A8" s="26" t="s">
        <v>47</v>
      </c>
      <c r="B8" s="3" t="s">
        <v>48</v>
      </c>
      <c r="C8" s="3" t="s">
        <v>374</v>
      </c>
      <c r="D8" s="13" t="s">
        <v>45</v>
      </c>
      <c r="E8" s="3" t="str">
        <f t="shared" si="0"/>
        <v>Hiwa</v>
      </c>
      <c r="F8" s="3" t="s">
        <v>46</v>
      </c>
      <c r="G8" s="3">
        <v>714</v>
      </c>
      <c r="H8" s="28">
        <v>14280</v>
      </c>
      <c r="I8" s="82" t="b">
        <v>1</v>
      </c>
      <c r="J8" s="116">
        <f t="shared" si="1"/>
        <v>2.0831407563025208</v>
      </c>
      <c r="K8" s="117">
        <v>29747.25</v>
      </c>
      <c r="L8" s="17"/>
      <c r="M8" s="17">
        <v>1181</v>
      </c>
      <c r="N8" s="17"/>
      <c r="O8" s="18">
        <v>1309.2867469879518</v>
      </c>
      <c r="P8" s="16">
        <f>(19*115.67)+39.34+115.67+10.26+115.67+10.26+115.67+10.26+115.67+10.26+115.67+10.26+115.67+10.26+115.67+10.26+115.67+10.26+115.67+10.26+115.67+10.26+115.67+10.26+120.75+10.72+120.75+10.72+87.82+10.72+87.82+10.72+87.82+10.72+87.82+10.72+87.82+10.72+87.82+9.93</f>
        <v>4475.6900000000032</v>
      </c>
      <c r="Q8" s="16">
        <f>(7.84+7.7+7.63+7.59+6.76+6.68+6.8+5.4+5.42+4.95+4.87+4.82+4.87+5.04+5.06+5.17+3.74+3.69+3.53)+(0.43+0.43+0.43+0.45+0.45+0.46+0.46+0.45+0.43)</f>
        <v>111.55000000000001</v>
      </c>
      <c r="R8" s="16">
        <f>54.64+54.64</f>
        <v>109.28</v>
      </c>
      <c r="S8" s="16">
        <v>0</v>
      </c>
      <c r="T8" s="16">
        <f>235+280+(390/2)</f>
        <v>710</v>
      </c>
      <c r="U8" s="19">
        <f t="shared" si="6"/>
        <v>36824.776746987955</v>
      </c>
      <c r="V8" s="128">
        <f t="shared" si="2"/>
        <v>2.5787658786406129</v>
      </c>
      <c r="X8" s="79" t="s">
        <v>49</v>
      </c>
      <c r="Y8" s="43">
        <v>45209</v>
      </c>
      <c r="AA8" s="61">
        <f>252+38</f>
        <v>290</v>
      </c>
      <c r="AB8" s="61">
        <f t="shared" si="5"/>
        <v>5800</v>
      </c>
      <c r="AC8" s="132">
        <f t="shared" si="3"/>
        <v>14956.842096115555</v>
      </c>
    </row>
    <row r="9" spans="1:29" ht="15.75">
      <c r="A9" s="29" t="s">
        <v>50</v>
      </c>
      <c r="B9" s="3" t="s">
        <v>51</v>
      </c>
      <c r="C9" s="9" t="s">
        <v>52</v>
      </c>
      <c r="D9" s="13" t="s">
        <v>30</v>
      </c>
      <c r="E9" s="3" t="str">
        <f t="shared" si="0"/>
        <v>Hiwa</v>
      </c>
      <c r="F9" s="3" t="s">
        <v>46</v>
      </c>
      <c r="G9" s="1">
        <v>80</v>
      </c>
      <c r="H9" s="27">
        <v>16800</v>
      </c>
      <c r="I9" s="82" t="b">
        <v>1</v>
      </c>
      <c r="J9" s="116">
        <f t="shared" si="1"/>
        <v>3.5660660660660657</v>
      </c>
      <c r="K9" s="117">
        <f>63840/1.0656</f>
        <v>59909.909909909904</v>
      </c>
      <c r="L9" s="17">
        <f>1200/1.0656</f>
        <v>1126.1261261261261</v>
      </c>
      <c r="M9" s="17">
        <v>94.01</v>
      </c>
      <c r="N9" s="17">
        <v>275</v>
      </c>
      <c r="O9" s="17">
        <v>1224</v>
      </c>
      <c r="P9" s="16">
        <f>(4*89.88)+89.88+89.88+67.41+67.41+67.41+67.41+50.56+22.47+22.47+22.47+23.47+23.47</f>
        <v>973.82999999999993</v>
      </c>
      <c r="Q9" s="16">
        <f>16.47+16.47+13.18+13.18+9.88+9.88+3.29+3.29</f>
        <v>85.64</v>
      </c>
      <c r="R9" s="16">
        <f>54.64+54.64+54.64+54.64</f>
        <v>218.56</v>
      </c>
      <c r="S9" s="16">
        <v>0</v>
      </c>
      <c r="T9" s="16">
        <v>0</v>
      </c>
      <c r="U9" s="19">
        <f t="shared" si="6"/>
        <v>63688.516036036031</v>
      </c>
      <c r="V9" s="128">
        <f t="shared" si="2"/>
        <v>3.7909830973830969</v>
      </c>
      <c r="X9" s="29">
        <v>354004</v>
      </c>
      <c r="Y9" s="42">
        <v>45429</v>
      </c>
      <c r="AA9" s="61"/>
      <c r="AB9" s="61" t="str">
        <f t="shared" si="5"/>
        <v/>
      </c>
      <c r="AC9" s="132" t="str">
        <f t="shared" si="3"/>
        <v/>
      </c>
    </row>
    <row r="10" spans="1:29" ht="15.75">
      <c r="A10" s="29" t="s">
        <v>53</v>
      </c>
      <c r="B10" s="3" t="s">
        <v>54</v>
      </c>
      <c r="C10" s="9" t="s">
        <v>55</v>
      </c>
      <c r="D10" s="13" t="s">
        <v>30</v>
      </c>
      <c r="E10" s="3" t="str">
        <f t="shared" si="0"/>
        <v>Hiwa</v>
      </c>
      <c r="F10" s="10" t="s">
        <v>46</v>
      </c>
      <c r="G10" s="1">
        <v>46</v>
      </c>
      <c r="H10" s="27">
        <f>G10*220</f>
        <v>10120</v>
      </c>
      <c r="I10" s="82" t="b">
        <v>1</v>
      </c>
      <c r="J10" s="116">
        <f t="shared" si="1"/>
        <v>1.35</v>
      </c>
      <c r="K10" s="117">
        <v>13662</v>
      </c>
      <c r="L10" s="17"/>
      <c r="M10" s="17">
        <v>61</v>
      </c>
      <c r="N10" s="17"/>
      <c r="O10" s="17">
        <f>582+33</f>
        <v>615</v>
      </c>
      <c r="P10" s="16">
        <f>(3*75.7)+75.7+75.7+75.7+75.7+59.76+59.76+59.76+59.76+43.82+43.82+45.75+45.75+45.75+45.75+45.75+45.75+45.75+29.11</f>
        <v>1205.9399999999998</v>
      </c>
      <c r="Q10" s="16">
        <f>3.54+2.93+2.93+2.93+2.31+2.31+1.69+1.69+1.69+1.69+1.08</f>
        <v>24.790000000000006</v>
      </c>
      <c r="R10" s="16">
        <f>54.64+54.64+54.64</f>
        <v>163.92000000000002</v>
      </c>
      <c r="S10" s="16">
        <v>0</v>
      </c>
      <c r="T10" s="16">
        <f>230+230+230+230</f>
        <v>920</v>
      </c>
      <c r="U10" s="19">
        <f t="shared" si="6"/>
        <v>15568.73</v>
      </c>
      <c r="V10" s="128">
        <f t="shared" si="2"/>
        <v>1.5384120553359684</v>
      </c>
      <c r="X10" s="29">
        <v>354761</v>
      </c>
      <c r="Y10" s="42">
        <v>45447</v>
      </c>
      <c r="AA10" s="61">
        <v>14</v>
      </c>
      <c r="AB10" s="61">
        <f t="shared" si="5"/>
        <v>3080</v>
      </c>
      <c r="AC10" s="132">
        <f t="shared" si="3"/>
        <v>4738.3091304347827</v>
      </c>
    </row>
    <row r="11" spans="1:29" ht="16.5" customHeight="1">
      <c r="A11" s="29" t="s">
        <v>56</v>
      </c>
      <c r="B11" s="3" t="s">
        <v>57</v>
      </c>
      <c r="C11" s="9" t="s">
        <v>58</v>
      </c>
      <c r="D11" s="13" t="s">
        <v>30</v>
      </c>
      <c r="E11" s="3" t="str">
        <f t="shared" si="0"/>
        <v>Hiwa</v>
      </c>
      <c r="F11" s="10" t="s">
        <v>59</v>
      </c>
      <c r="G11" s="1">
        <v>124</v>
      </c>
      <c r="H11" s="27">
        <f>G11*190</f>
        <v>23560</v>
      </c>
      <c r="I11" s="82" t="b">
        <v>1</v>
      </c>
      <c r="J11" s="116">
        <f t="shared" ref="J11:J39" si="7">IF(H11="","",+K11/H11)</f>
        <v>0.63635525223646594</v>
      </c>
      <c r="K11" s="117">
        <f>16256.4/1.0843</f>
        <v>14992.529742691137</v>
      </c>
      <c r="L11" s="17">
        <f>((2250/1.0749)/140)*124</f>
        <v>1853.9930624775725</v>
      </c>
      <c r="M11" s="17">
        <v>2573.5</v>
      </c>
      <c r="N11" s="17">
        <f>275+165+78</f>
        <v>518</v>
      </c>
      <c r="O11" s="17">
        <f>1505-172</f>
        <v>1333</v>
      </c>
      <c r="P11" s="16">
        <f>108.29+68.99+68.99+68.99+68.99+68.99+68.99+68.99+68.99+68.99+68.99+68.99+72.07+72.07</f>
        <v>1011.3199999999999</v>
      </c>
      <c r="Q11" s="16">
        <f>7.55+4.73+4.68+4.73+4.9+4.92+5.02</f>
        <v>36.53</v>
      </c>
      <c r="R11" s="16">
        <f>2*54.64</f>
        <v>109.28</v>
      </c>
      <c r="S11" s="16">
        <v>1092.7</v>
      </c>
      <c r="T11" s="16">
        <f>((1760/108)*45)+((1600/108)*79)</f>
        <v>1903.7037037037039</v>
      </c>
      <c r="U11" s="19">
        <f t="shared" si="6"/>
        <v>22318.872805168707</v>
      </c>
      <c r="V11" s="128">
        <f t="shared" si="2"/>
        <v>0.94732057746896037</v>
      </c>
      <c r="X11" s="29">
        <v>356799</v>
      </c>
      <c r="Y11" s="42">
        <v>45482</v>
      </c>
      <c r="AA11" s="61"/>
      <c r="AB11" s="61" t="str">
        <f t="shared" si="5"/>
        <v/>
      </c>
      <c r="AC11" s="132" t="str">
        <f t="shared" si="3"/>
        <v/>
      </c>
    </row>
    <row r="12" spans="1:29" ht="15.75">
      <c r="A12" s="29" t="s">
        <v>60</v>
      </c>
      <c r="B12" s="3" t="s">
        <v>61</v>
      </c>
      <c r="C12" s="9" t="s">
        <v>62</v>
      </c>
      <c r="D12" s="13" t="s">
        <v>63</v>
      </c>
      <c r="E12" s="3" t="str">
        <f t="shared" si="0"/>
        <v>Hiwa</v>
      </c>
      <c r="F12" s="10" t="s">
        <v>46</v>
      </c>
      <c r="G12" s="1">
        <v>120</v>
      </c>
      <c r="H12" s="27">
        <v>22800</v>
      </c>
      <c r="I12" s="82" t="b">
        <v>1</v>
      </c>
      <c r="J12" s="116">
        <f t="shared" si="7"/>
        <v>1.3771578947368421</v>
      </c>
      <c r="K12" s="118">
        <v>31399.200000000001</v>
      </c>
      <c r="L12" s="17"/>
      <c r="M12" s="17">
        <f>60.78+33.23</f>
        <v>94.009999999999991</v>
      </c>
      <c r="N12" s="17"/>
      <c r="O12" s="17">
        <v>1311.7</v>
      </c>
      <c r="P12" s="16">
        <f>140.08+39.22+39.22+39.22+39.22+39.22+35.11+35.11+35.11</f>
        <v>441.5100000000001</v>
      </c>
      <c r="Q12" s="16">
        <f>8.14+2.04+2.04+1.75</f>
        <v>13.969999999999999</v>
      </c>
      <c r="R12" s="16">
        <f>54.64+54.64+54.64+(57.04*(24/76))</f>
        <v>181.93263157894739</v>
      </c>
      <c r="S12" s="16">
        <f>(77.52*(6/19))</f>
        <v>24.479999999999997</v>
      </c>
      <c r="T12" s="16">
        <f>460+2350+225+(1650*(24/76))</f>
        <v>3556.0526315789475</v>
      </c>
      <c r="U12" s="19">
        <f t="shared" si="6"/>
        <v>33260.39</v>
      </c>
      <c r="V12" s="128">
        <f t="shared" si="2"/>
        <v>1.4587890350877193</v>
      </c>
      <c r="X12" s="29">
        <v>361283</v>
      </c>
      <c r="Y12" s="42">
        <v>45558</v>
      </c>
      <c r="AA12" s="61"/>
      <c r="AB12" s="61" t="str">
        <f t="shared" si="5"/>
        <v/>
      </c>
      <c r="AC12" s="132" t="str">
        <f t="shared" si="3"/>
        <v/>
      </c>
    </row>
    <row r="13" spans="1:29" ht="18" customHeight="1">
      <c r="A13" s="29" t="s">
        <v>64</v>
      </c>
      <c r="B13" s="3" t="s">
        <v>65</v>
      </c>
      <c r="C13" s="3" t="s">
        <v>375</v>
      </c>
      <c r="D13" s="13" t="s">
        <v>30</v>
      </c>
      <c r="E13" s="3" t="str">
        <f t="shared" si="0"/>
        <v>Hiwa</v>
      </c>
      <c r="F13" s="10" t="s">
        <v>46</v>
      </c>
      <c r="G13" s="1">
        <v>96</v>
      </c>
      <c r="H13" s="27">
        <v>19200</v>
      </c>
      <c r="I13" s="82" t="b">
        <v>1</v>
      </c>
      <c r="J13" s="116">
        <f t="shared" si="7"/>
        <v>1.8336847895846704</v>
      </c>
      <c r="K13" s="118">
        <f>38400/1.0907</f>
        <v>35206.74796002567</v>
      </c>
      <c r="L13" s="17"/>
      <c r="M13" s="17">
        <v>61</v>
      </c>
      <c r="N13" s="17">
        <v>38</v>
      </c>
      <c r="O13" s="17">
        <v>1008.94</v>
      </c>
      <c r="P13" s="16">
        <f>96.09+96.09+96.09+96.09+96.09+96.09+96.06+96.06+27.88+27.88+27.88+27.88+27.88+27.88+27.88+27.88</f>
        <v>991.7</v>
      </c>
      <c r="Q13" s="16">
        <f>8.88+6.66+6.85+7.09+1.97+1.97+1.9</f>
        <v>35.32</v>
      </c>
      <c r="R13" s="16">
        <f>54.64+54.64+57.04</f>
        <v>166.32</v>
      </c>
      <c r="S13" s="16">
        <v>110.87</v>
      </c>
      <c r="T13" s="16">
        <f>715+800</f>
        <v>1515</v>
      </c>
      <c r="U13" s="19">
        <f t="shared" si="6"/>
        <v>37341.707960025669</v>
      </c>
      <c r="V13" s="128">
        <f t="shared" si="2"/>
        <v>1.9448806229180036</v>
      </c>
      <c r="X13" s="29">
        <v>359055</v>
      </c>
      <c r="Y13" s="42">
        <v>45525</v>
      </c>
      <c r="AA13" s="61"/>
      <c r="AB13" s="61" t="str">
        <f t="shared" si="5"/>
        <v/>
      </c>
      <c r="AC13" s="132" t="str">
        <f t="shared" si="3"/>
        <v/>
      </c>
    </row>
    <row r="14" spans="1:29" ht="15.75">
      <c r="A14" s="29" t="s">
        <v>67</v>
      </c>
      <c r="B14" s="3" t="s">
        <v>68</v>
      </c>
      <c r="C14" s="3" t="s">
        <v>375</v>
      </c>
      <c r="D14" s="13" t="s">
        <v>30</v>
      </c>
      <c r="E14" s="3" t="str">
        <f t="shared" si="0"/>
        <v>Hiwa</v>
      </c>
      <c r="F14" s="10" t="s">
        <v>46</v>
      </c>
      <c r="G14" s="1">
        <v>240</v>
      </c>
      <c r="H14" s="27">
        <v>4800</v>
      </c>
      <c r="I14" s="82" t="b">
        <v>1</v>
      </c>
      <c r="J14" s="116">
        <f t="shared" si="7"/>
        <v>1.8336847895846704</v>
      </c>
      <c r="K14" s="118">
        <f>9600/1.0907</f>
        <v>8801.6869900064175</v>
      </c>
      <c r="L14" s="20"/>
      <c r="M14" s="17">
        <v>60.78</v>
      </c>
      <c r="N14" s="17"/>
      <c r="O14" s="17">
        <v>351.35</v>
      </c>
      <c r="P14" s="16">
        <f>57.36+57.36+57.36+57.36+57.36+57.36+57.36+47.84+49.9+49.9</f>
        <v>549.16</v>
      </c>
      <c r="Q14" s="16">
        <f>2.22+2.22+2.28+2.36+2</f>
        <v>11.08</v>
      </c>
      <c r="R14" s="16">
        <v>54.64</v>
      </c>
      <c r="S14" s="16">
        <v>0</v>
      </c>
      <c r="T14" s="16">
        <f>350+730</f>
        <v>1080</v>
      </c>
      <c r="U14" s="19">
        <f t="shared" si="6"/>
        <v>9774.0569900064183</v>
      </c>
      <c r="V14" s="128">
        <f t="shared" si="2"/>
        <v>2.0362618729180038</v>
      </c>
      <c r="X14" s="29">
        <v>359056</v>
      </c>
      <c r="Y14" s="42">
        <v>45525</v>
      </c>
      <c r="AA14" s="61"/>
      <c r="AB14" s="61" t="str">
        <f t="shared" si="5"/>
        <v/>
      </c>
      <c r="AC14" s="132" t="str">
        <f t="shared" si="3"/>
        <v/>
      </c>
    </row>
    <row r="15" spans="1:29" ht="15.75">
      <c r="A15" s="29" t="s">
        <v>69</v>
      </c>
      <c r="B15" s="3" t="s">
        <v>28</v>
      </c>
      <c r="C15" s="9" t="s">
        <v>29</v>
      </c>
      <c r="D15" s="9" t="s">
        <v>70</v>
      </c>
      <c r="E15" s="3" t="str">
        <f t="shared" si="0"/>
        <v>Hiwa</v>
      </c>
      <c r="F15" s="10" t="s">
        <v>46</v>
      </c>
      <c r="G15" s="1">
        <v>80</v>
      </c>
      <c r="H15" s="27">
        <f>G15*215</f>
        <v>17200</v>
      </c>
      <c r="I15" s="82" t="b">
        <v>1</v>
      </c>
      <c r="J15" s="116">
        <f t="shared" si="7"/>
        <v>0.90497737556561086</v>
      </c>
      <c r="K15" s="118">
        <f>17200/1.105</f>
        <v>15565.610859728507</v>
      </c>
      <c r="L15" s="20"/>
      <c r="M15" s="21">
        <v>60.78</v>
      </c>
      <c r="N15" s="17"/>
      <c r="O15" s="17">
        <v>1077.8</v>
      </c>
      <c r="P15" s="16">
        <f>123.05+123.05+123.05+64.25+64.25+64.25+64.25+56.22+56.22+56.22+56.22</f>
        <v>851.03000000000009</v>
      </c>
      <c r="Q15" s="16">
        <f>4.29+4.3+2.2+2.19+1.89+1.8</f>
        <v>16.669999999999998</v>
      </c>
      <c r="R15" s="16">
        <f>54.64+(57.04*(3/4))+57.04</f>
        <v>154.46</v>
      </c>
      <c r="S15" s="16">
        <f>15.4+(26.21/2)</f>
        <v>28.505000000000003</v>
      </c>
      <c r="T15" s="16">
        <f>1580+(250/2)+(215*(3/4))</f>
        <v>1866.25</v>
      </c>
      <c r="U15" s="19">
        <f t="shared" si="6"/>
        <v>17571.890859728508</v>
      </c>
      <c r="V15" s="128">
        <f t="shared" si="2"/>
        <v>1.0216215616121225</v>
      </c>
      <c r="X15" s="29">
        <v>362336</v>
      </c>
      <c r="Y15" s="42">
        <v>45610</v>
      </c>
      <c r="AA15" s="61">
        <v>35</v>
      </c>
      <c r="AB15" s="61">
        <f t="shared" si="5"/>
        <v>7525</v>
      </c>
      <c r="AC15" s="132">
        <f t="shared" si="3"/>
        <v>7687.7022511312216</v>
      </c>
    </row>
    <row r="16" spans="1:29" ht="15.75">
      <c r="A16" s="29" t="s">
        <v>71</v>
      </c>
      <c r="B16" s="3" t="s">
        <v>72</v>
      </c>
      <c r="C16" s="9" t="s">
        <v>55</v>
      </c>
      <c r="D16" s="3" t="s">
        <v>73</v>
      </c>
      <c r="E16" s="3" t="str">
        <f t="shared" si="0"/>
        <v>Hiwa</v>
      </c>
      <c r="F16" s="10" t="s">
        <v>46</v>
      </c>
      <c r="G16" s="1">
        <v>136</v>
      </c>
      <c r="H16" s="27">
        <f>G16*190</f>
        <v>25840</v>
      </c>
      <c r="I16" s="82" t="b">
        <v>1</v>
      </c>
      <c r="J16" s="116">
        <f t="shared" si="7"/>
        <v>1.5</v>
      </c>
      <c r="K16" s="118">
        <v>38760</v>
      </c>
      <c r="L16" s="17"/>
      <c r="M16" s="17">
        <v>61</v>
      </c>
      <c r="N16" s="17"/>
      <c r="O16" s="17">
        <v>1396.79</v>
      </c>
      <c r="P16" s="16">
        <f>176.68+72.75+72.75+72.75+72.75+72.75+75.98+75.98</f>
        <v>692.3900000000001</v>
      </c>
      <c r="Q16" s="16">
        <f>11.18+4.6+4.6</f>
        <v>20.38</v>
      </c>
      <c r="R16" s="16">
        <f>54.64</f>
        <v>54.64</v>
      </c>
      <c r="S16" s="16">
        <v>1068.53</v>
      </c>
      <c r="T16" s="16">
        <f>((1950/108)*80)+((1600/108)*56)</f>
        <v>2274.0740740740744</v>
      </c>
      <c r="U16" s="19">
        <f t="shared" si="6"/>
        <v>40930.559999999998</v>
      </c>
      <c r="V16" s="128">
        <f t="shared" si="2"/>
        <v>1.5839999999999999</v>
      </c>
      <c r="X16" s="29">
        <v>361363</v>
      </c>
      <c r="Y16" s="42">
        <v>45560</v>
      </c>
      <c r="AA16" s="61"/>
      <c r="AB16" s="61" t="str">
        <f t="shared" si="5"/>
        <v/>
      </c>
      <c r="AC16" s="132" t="str">
        <f t="shared" si="3"/>
        <v/>
      </c>
    </row>
    <row r="17" spans="1:29" ht="15.75">
      <c r="A17" s="29" t="s">
        <v>74</v>
      </c>
      <c r="B17" s="3" t="s">
        <v>72</v>
      </c>
      <c r="C17" s="9" t="s">
        <v>55</v>
      </c>
      <c r="D17" s="3" t="s">
        <v>73</v>
      </c>
      <c r="E17" s="3" t="str">
        <f t="shared" si="0"/>
        <v>Hiwa</v>
      </c>
      <c r="F17" s="10" t="s">
        <v>46</v>
      </c>
      <c r="G17" s="1">
        <v>136</v>
      </c>
      <c r="H17" s="27">
        <f>G17*190</f>
        <v>25840</v>
      </c>
      <c r="I17" s="82" t="b">
        <v>1</v>
      </c>
      <c r="J17" s="116">
        <f t="shared" si="7"/>
        <v>1.5</v>
      </c>
      <c r="K17" s="118">
        <v>38760</v>
      </c>
      <c r="L17" s="17"/>
      <c r="M17" s="17">
        <v>63.45</v>
      </c>
      <c r="N17" s="17">
        <v>115</v>
      </c>
      <c r="O17" s="17">
        <v>1465.13</v>
      </c>
      <c r="P17" s="16">
        <f>184.52+113.97+113.97+113.97+113.97+113.97+113.97</f>
        <v>868.34000000000015</v>
      </c>
      <c r="Q17" s="16">
        <f>11.18+6.9+6.9+6.9</f>
        <v>31.879999999999995</v>
      </c>
      <c r="R17" s="16"/>
      <c r="S17" s="16">
        <v>1023.16</v>
      </c>
      <c r="T17" s="16">
        <f>((1600/108)*52)</f>
        <v>770.37037037037032</v>
      </c>
      <c r="U17" s="19">
        <f t="shared" si="6"/>
        <v>41303.800000000003</v>
      </c>
      <c r="V17" s="128">
        <f t="shared" si="2"/>
        <v>1.5984442724458205</v>
      </c>
      <c r="X17" s="29">
        <v>366387</v>
      </c>
      <c r="Y17" s="42">
        <v>45672</v>
      </c>
      <c r="AA17" s="61">
        <v>84</v>
      </c>
      <c r="AB17" s="61">
        <f t="shared" si="5"/>
        <v>15960</v>
      </c>
      <c r="AC17" s="132">
        <f t="shared" si="3"/>
        <v>25511.170588235294</v>
      </c>
    </row>
    <row r="18" spans="1:29" ht="15.75">
      <c r="A18" s="29" t="s">
        <v>75</v>
      </c>
      <c r="B18" s="3" t="s">
        <v>68</v>
      </c>
      <c r="C18" s="9" t="s">
        <v>375</v>
      </c>
      <c r="D18" s="3" t="s">
        <v>30</v>
      </c>
      <c r="E18" s="3" t="str">
        <f t="shared" si="0"/>
        <v>Hiwa</v>
      </c>
      <c r="F18" s="10" t="s">
        <v>46</v>
      </c>
      <c r="G18" s="1">
        <v>972</v>
      </c>
      <c r="H18" s="27">
        <v>19440</v>
      </c>
      <c r="I18" s="82" t="b">
        <v>1</v>
      </c>
      <c r="J18" s="116">
        <f t="shared" si="7"/>
        <v>1.9102673553501577</v>
      </c>
      <c r="K18" s="118">
        <f>(42184.8/1.1041)-(1200/1.1196)</f>
        <v>37135.597388007067</v>
      </c>
      <c r="L18" s="22"/>
      <c r="M18" s="22">
        <v>63.45</v>
      </c>
      <c r="N18" s="22"/>
      <c r="O18" s="22">
        <v>1636.58</v>
      </c>
      <c r="P18" s="23">
        <f>232.29+232.29+232.29+232.29+242.49+242.49+242.29+161.66+161.66+80.83+80.83+80.83</f>
        <v>2222.2400000000002</v>
      </c>
      <c r="Q18" s="23">
        <f>10.01+10.36+10.5+6.91+3.33+2.11</f>
        <v>43.22</v>
      </c>
      <c r="R18" s="16">
        <f>57.04+57.04+57.04</f>
        <v>171.12</v>
      </c>
      <c r="S18" s="16"/>
      <c r="T18" s="16">
        <f>715+715</f>
        <v>1430</v>
      </c>
      <c r="U18" s="19">
        <f t="shared" si="6"/>
        <v>41101.087388007065</v>
      </c>
      <c r="V18" s="128">
        <f t="shared" si="2"/>
        <v>2.1142534664612689</v>
      </c>
      <c r="X18" s="29">
        <v>362550</v>
      </c>
      <c r="Y18" s="42">
        <v>45587</v>
      </c>
      <c r="AA18" s="61">
        <v>216</v>
      </c>
      <c r="AB18" s="61">
        <f t="shared" si="5"/>
        <v>4320</v>
      </c>
      <c r="AC18" s="132">
        <f t="shared" si="3"/>
        <v>9133.5749751126823</v>
      </c>
    </row>
    <row r="19" spans="1:29" ht="15.75">
      <c r="A19" s="29" t="s">
        <v>76</v>
      </c>
      <c r="B19" s="3" t="s">
        <v>77</v>
      </c>
      <c r="C19" s="9" t="s">
        <v>375</v>
      </c>
      <c r="D19" s="3" t="s">
        <v>30</v>
      </c>
      <c r="E19" s="3" t="str">
        <f t="shared" si="0"/>
        <v>Hiwa</v>
      </c>
      <c r="F19" s="10" t="s">
        <v>46</v>
      </c>
      <c r="G19" s="1">
        <v>108</v>
      </c>
      <c r="H19" s="27">
        <v>2160</v>
      </c>
      <c r="I19" s="82" t="b">
        <v>1</v>
      </c>
      <c r="J19" s="116">
        <f t="shared" si="7"/>
        <v>1.7842586722217189</v>
      </c>
      <c r="K19" s="118">
        <f>4255.2/1.1041</f>
        <v>3853.9987319989127</v>
      </c>
      <c r="L19" s="22"/>
      <c r="M19" s="22">
        <v>63.45</v>
      </c>
      <c r="N19" s="22"/>
      <c r="O19" s="22">
        <v>198.27</v>
      </c>
      <c r="P19" s="23">
        <f>25.81+25.81+25.81+25.81+26.94+26.94+13.47+13.47+13.47+13.47+13.47+13.47</f>
        <v>237.94</v>
      </c>
      <c r="Q19" s="23">
        <f>1.01+1.05+1.06+0.52+0.51+0.48</f>
        <v>4.6300000000000008</v>
      </c>
      <c r="R19" s="16"/>
      <c r="S19" s="16"/>
      <c r="T19" s="16">
        <f>(390/2)</f>
        <v>195</v>
      </c>
      <c r="U19" s="19">
        <f t="shared" si="6"/>
        <v>4358.2887319989131</v>
      </c>
      <c r="V19" s="128">
        <f t="shared" si="2"/>
        <v>2.0177262648143115</v>
      </c>
      <c r="X19" s="29">
        <v>362551</v>
      </c>
      <c r="Y19" s="42">
        <v>45587</v>
      </c>
      <c r="AA19" s="61">
        <v>54</v>
      </c>
      <c r="AB19" s="61">
        <f t="shared" si="5"/>
        <v>1080</v>
      </c>
      <c r="AC19" s="132">
        <f t="shared" si="3"/>
        <v>2179.1443659994566</v>
      </c>
    </row>
    <row r="20" spans="1:29" ht="15.75">
      <c r="A20" s="29" t="s">
        <v>78</v>
      </c>
      <c r="B20" s="3" t="s">
        <v>79</v>
      </c>
      <c r="C20" s="3" t="s">
        <v>80</v>
      </c>
      <c r="D20" s="3" t="s">
        <v>73</v>
      </c>
      <c r="E20" s="3" t="str">
        <f t="shared" si="0"/>
        <v>Hiwa</v>
      </c>
      <c r="F20" s="3" t="s">
        <v>31</v>
      </c>
      <c r="G20" s="3">
        <v>112</v>
      </c>
      <c r="H20" s="28">
        <v>24080</v>
      </c>
      <c r="I20" s="82" t="b">
        <v>1</v>
      </c>
      <c r="J20" s="116">
        <f t="shared" si="7"/>
        <v>1.9651047756093174</v>
      </c>
      <c r="K20" s="117">
        <f>52614.8/1.1119</f>
        <v>47319.722996672361</v>
      </c>
      <c r="L20" s="22"/>
      <c r="M20" s="22">
        <v>1917.72</v>
      </c>
      <c r="N20" s="22"/>
      <c r="O20" s="22">
        <v>1309.5999999999999</v>
      </c>
      <c r="P20" s="23">
        <f>15.81+15.81+15.81+16.52+16.52+16.52+16.52+16.52+16.52</f>
        <v>146.55000000000001</v>
      </c>
      <c r="Q20" s="23">
        <f>14.26+2.05+2.09+2.08+2.05+1.96</f>
        <v>24.49</v>
      </c>
      <c r="R20" s="23">
        <v>54.64</v>
      </c>
      <c r="S20" s="23">
        <f>559.77+(1013.44*16/(84+16))</f>
        <v>721.92039999999997</v>
      </c>
      <c r="T20" s="23">
        <f>1725+(1600*(16/(84+16)))</f>
        <v>1981</v>
      </c>
      <c r="U20" s="19">
        <f t="shared" si="6"/>
        <v>50718.082996672361</v>
      </c>
      <c r="V20" s="128">
        <f t="shared" si="2"/>
        <v>2.1062326825860613</v>
      </c>
      <c r="X20" s="29">
        <v>362958</v>
      </c>
      <c r="Y20" s="42">
        <v>45601</v>
      </c>
      <c r="AA20" s="61"/>
      <c r="AB20" s="61" t="str">
        <f t="shared" si="5"/>
        <v/>
      </c>
      <c r="AC20" s="132" t="str">
        <f t="shared" si="3"/>
        <v/>
      </c>
    </row>
    <row r="21" spans="1:29" ht="15.75">
      <c r="A21" s="29" t="s">
        <v>81</v>
      </c>
      <c r="B21" s="3" t="s">
        <v>82</v>
      </c>
      <c r="C21" s="3" t="s">
        <v>376</v>
      </c>
      <c r="D21" s="3" t="s">
        <v>73</v>
      </c>
      <c r="E21" s="3" t="str">
        <f t="shared" si="0"/>
        <v>Hiwa</v>
      </c>
      <c r="F21" s="3" t="s">
        <v>59</v>
      </c>
      <c r="G21" s="3">
        <v>128</v>
      </c>
      <c r="H21" s="28">
        <f>G21*204</f>
        <v>26112</v>
      </c>
      <c r="I21" s="82" t="b">
        <v>1</v>
      </c>
      <c r="J21" s="116">
        <f t="shared" si="7"/>
        <v>0.61734082742098972</v>
      </c>
      <c r="K21" s="117">
        <f>17495.04/1.0853</f>
        <v>16120.003685616883</v>
      </c>
      <c r="L21" s="22">
        <f>1546/1.0853</f>
        <v>1424.4909241684327</v>
      </c>
      <c r="M21" s="22">
        <v>3329.07</v>
      </c>
      <c r="N21" s="22"/>
      <c r="O21" s="22">
        <v>1264.83</v>
      </c>
      <c r="P21" s="23">
        <f>119.96+52.48+52.48+54.82+54.82+54.82+54.82</f>
        <v>444.2</v>
      </c>
      <c r="Q21" s="23">
        <f>4.83+2.12+2.17+2.16</f>
        <v>11.280000000000001</v>
      </c>
      <c r="R21" s="23">
        <f>54.64+57.04</f>
        <v>111.68</v>
      </c>
      <c r="S21" s="23">
        <f>557.99+((102+480.48)*(56/100))</f>
        <v>884.17880000000002</v>
      </c>
      <c r="T21" s="23">
        <f>1745+(1600*(56/(56+44)))</f>
        <v>2641</v>
      </c>
      <c r="U21" s="19">
        <f t="shared" si="6"/>
        <v>22593.874609785315</v>
      </c>
      <c r="V21" s="128">
        <f t="shared" si="2"/>
        <v>0.86526786955366553</v>
      </c>
      <c r="X21" s="29">
        <v>363493</v>
      </c>
      <c r="Y21" s="42">
        <v>45608</v>
      </c>
      <c r="AA21" s="61"/>
      <c r="AB21" s="61" t="str">
        <f t="shared" si="5"/>
        <v/>
      </c>
      <c r="AC21" s="132" t="str">
        <f t="shared" si="3"/>
        <v/>
      </c>
    </row>
    <row r="22" spans="1:29" ht="15.75">
      <c r="A22" s="29" t="s">
        <v>84</v>
      </c>
      <c r="B22" s="3" t="s">
        <v>57</v>
      </c>
      <c r="C22" s="3" t="s">
        <v>58</v>
      </c>
      <c r="D22" s="3" t="s">
        <v>73</v>
      </c>
      <c r="E22" s="3" t="str">
        <f t="shared" si="0"/>
        <v>Hiwa</v>
      </c>
      <c r="F22" s="3" t="s">
        <v>59</v>
      </c>
      <c r="G22" s="3">
        <v>140</v>
      </c>
      <c r="H22" s="28">
        <f>G22*190</f>
        <v>26600</v>
      </c>
      <c r="I22" s="82" t="b">
        <v>1</v>
      </c>
      <c r="J22" s="116">
        <f t="shared" si="7"/>
        <v>0.76094276094276092</v>
      </c>
      <c r="K22" s="117">
        <f>21040.6/1.0395</f>
        <v>20241.077441077439</v>
      </c>
      <c r="L22" s="22">
        <f>2350/1.0395</f>
        <v>2260.7022607022604</v>
      </c>
      <c r="M22" s="22">
        <v>3471.76</v>
      </c>
      <c r="N22" s="22">
        <f>104+275+55</f>
        <v>434</v>
      </c>
      <c r="O22" s="22">
        <v>1383.05</v>
      </c>
      <c r="P22" s="23">
        <f>101.26+101.26+101.26+101.26+101.26+101.26</f>
        <v>607.56000000000006</v>
      </c>
      <c r="Q22" s="23">
        <f>8.9+6.96+6.72+6.38</f>
        <v>28.959999999999997</v>
      </c>
      <c r="R22" s="23">
        <f>2*57.04</f>
        <v>114.08</v>
      </c>
      <c r="S22" s="23">
        <f>1019.93+73.92</f>
        <v>1093.8499999999999</v>
      </c>
      <c r="T22" s="23">
        <f>(1600/108)*29</f>
        <v>429.62962962962962</v>
      </c>
      <c r="U22" s="19">
        <f t="shared" si="6"/>
        <v>28427.1097017797</v>
      </c>
      <c r="V22" s="128">
        <f t="shared" si="2"/>
        <v>1.0686883346533722</v>
      </c>
      <c r="X22" s="29">
        <v>366474</v>
      </c>
      <c r="Y22" s="42">
        <v>45981</v>
      </c>
      <c r="AA22" s="61">
        <v>111</v>
      </c>
      <c r="AB22" s="61">
        <f t="shared" si="5"/>
        <v>21090</v>
      </c>
      <c r="AC22" s="132">
        <f t="shared" si="3"/>
        <v>22538.636977839618</v>
      </c>
    </row>
    <row r="23" spans="1:29" ht="15.75">
      <c r="A23" s="29" t="s">
        <v>85</v>
      </c>
      <c r="B23" s="3" t="s">
        <v>86</v>
      </c>
      <c r="C23" s="3" t="s">
        <v>80</v>
      </c>
      <c r="D23" s="13" t="s">
        <v>87</v>
      </c>
      <c r="E23" s="3" t="str">
        <f t="shared" si="0"/>
        <v>Direct</v>
      </c>
      <c r="F23" s="3" t="s">
        <v>46</v>
      </c>
      <c r="G23" s="3">
        <v>112</v>
      </c>
      <c r="H23" s="28">
        <v>24080</v>
      </c>
      <c r="I23" s="82" t="b">
        <v>1</v>
      </c>
      <c r="J23" s="116">
        <f t="shared" si="7"/>
        <v>1.6750737603502428</v>
      </c>
      <c r="K23" s="117">
        <f>42380.8/1.0507</f>
        <v>40335.776149233847</v>
      </c>
      <c r="L23" s="22">
        <v>1099.6500000000001</v>
      </c>
      <c r="M23" s="22"/>
      <c r="N23" s="22"/>
      <c r="O23" s="22"/>
      <c r="P23" s="23"/>
      <c r="Q23" s="23"/>
      <c r="R23" s="23"/>
      <c r="S23" s="23"/>
      <c r="T23" s="23"/>
      <c r="U23" s="19">
        <f t="shared" si="6"/>
        <v>41435.426149233848</v>
      </c>
      <c r="V23" s="128">
        <f t="shared" si="2"/>
        <v>1.7207402885894456</v>
      </c>
      <c r="X23" s="29"/>
      <c r="Y23" s="28"/>
      <c r="AA23" s="61"/>
      <c r="AB23" s="61" t="str">
        <f t="shared" si="5"/>
        <v/>
      </c>
      <c r="AC23" s="132" t="str">
        <f t="shared" si="3"/>
        <v/>
      </c>
    </row>
    <row r="24" spans="1:29" ht="15.75">
      <c r="A24" s="73" t="s">
        <v>88</v>
      </c>
      <c r="B24" s="55" t="s">
        <v>89</v>
      </c>
      <c r="C24" s="55" t="s">
        <v>90</v>
      </c>
      <c r="D24" s="55" t="s">
        <v>30</v>
      </c>
      <c r="E24" s="55" t="str">
        <f t="shared" si="0"/>
        <v>Hiwa</v>
      </c>
      <c r="F24" s="55" t="s">
        <v>59</v>
      </c>
      <c r="G24" s="1">
        <v>256</v>
      </c>
      <c r="H24" s="27">
        <f>G24*205</f>
        <v>52480</v>
      </c>
      <c r="I24" s="82" t="b">
        <v>1</v>
      </c>
      <c r="J24" s="116">
        <f t="shared" si="7"/>
        <v>0.61004670670098182</v>
      </c>
      <c r="K24" s="117">
        <f>33587.2/1.0491</f>
        <v>32015.251167667524</v>
      </c>
      <c r="L24" s="22">
        <f>3092/1.0491</f>
        <v>2947.2881517491187</v>
      </c>
      <c r="M24" s="22">
        <f>1991.26+1991.26</f>
        <v>3982.52</v>
      </c>
      <c r="N24" s="22"/>
      <c r="O24" s="22">
        <v>2480.44</v>
      </c>
      <c r="P24" s="23">
        <f>125.31+125.31+24.48+17.62+24.48+17.62+24.48+17.62+5.87+5.87+1.96+1.96</f>
        <v>392.58000000000004</v>
      </c>
      <c r="Q24" s="23">
        <f>0.93+0.67+0.22+0.07+0.07</f>
        <v>1.9600000000000002</v>
      </c>
      <c r="R24" s="23">
        <f>57.04+57.04+57.04+(57.04*(33/110))</f>
        <v>188.232</v>
      </c>
      <c r="S24" s="23">
        <f>(26.21/2)+15.4</f>
        <v>28.505000000000003</v>
      </c>
      <c r="T24" s="23">
        <f>(250/2)+235</f>
        <v>360</v>
      </c>
      <c r="U24" s="19">
        <f t="shared" si="6"/>
        <v>41820.039319416639</v>
      </c>
      <c r="V24" s="128">
        <f t="shared" si="2"/>
        <v>0.79687574922668902</v>
      </c>
      <c r="X24" s="80" t="s">
        <v>91</v>
      </c>
      <c r="Y24" s="72">
        <v>45657</v>
      </c>
      <c r="AA24" s="61">
        <v>2</v>
      </c>
      <c r="AB24" s="61">
        <f t="shared" si="5"/>
        <v>410</v>
      </c>
      <c r="AC24" s="132">
        <f t="shared" si="3"/>
        <v>326.71905718294249</v>
      </c>
    </row>
    <row r="25" spans="1:29" ht="15.75">
      <c r="A25" s="29" t="s">
        <v>92</v>
      </c>
      <c r="B25" s="3" t="s">
        <v>93</v>
      </c>
      <c r="C25" s="9" t="s">
        <v>90</v>
      </c>
      <c r="D25" s="3" t="s">
        <v>94</v>
      </c>
      <c r="E25" s="3" t="str">
        <f t="shared" si="0"/>
        <v>Direct</v>
      </c>
      <c r="F25" s="10" t="s">
        <v>59</v>
      </c>
      <c r="G25" s="1">
        <v>128</v>
      </c>
      <c r="H25" s="27">
        <v>26240</v>
      </c>
      <c r="I25" s="82" t="b">
        <v>1</v>
      </c>
      <c r="J25" s="116">
        <f t="shared" si="7"/>
        <v>0.61579909554507839</v>
      </c>
      <c r="K25" s="117">
        <f>16793.6/1.0393</f>
        <v>16158.568267102857</v>
      </c>
      <c r="L25" s="22">
        <f>1841/1.0393</f>
        <v>1771.3845857788899</v>
      </c>
      <c r="M25" s="22"/>
      <c r="N25" s="22"/>
      <c r="O25" s="22"/>
      <c r="P25" s="23"/>
      <c r="Q25" s="23"/>
      <c r="R25" s="23"/>
      <c r="S25" s="23"/>
      <c r="T25" s="23"/>
      <c r="U25" s="19">
        <f t="shared" si="6"/>
        <v>17929.952852881746</v>
      </c>
      <c r="V25" s="128">
        <f t="shared" si="2"/>
        <v>0.68330613006409091</v>
      </c>
      <c r="X25" s="29"/>
      <c r="Y25" s="28"/>
      <c r="AA25" s="2"/>
      <c r="AB25" s="2" t="str">
        <f t="shared" si="5"/>
        <v/>
      </c>
      <c r="AC25" s="132" t="str">
        <f t="shared" si="3"/>
        <v/>
      </c>
    </row>
    <row r="26" spans="1:29" ht="15.75">
      <c r="A26" s="29" t="s">
        <v>95</v>
      </c>
      <c r="B26" s="3" t="s">
        <v>82</v>
      </c>
      <c r="C26" s="3" t="s">
        <v>83</v>
      </c>
      <c r="D26" s="3" t="s">
        <v>73</v>
      </c>
      <c r="E26" s="3" t="str">
        <f t="shared" si="0"/>
        <v>Hiwa</v>
      </c>
      <c r="F26" s="3" t="s">
        <v>59</v>
      </c>
      <c r="G26" s="3">
        <v>128</v>
      </c>
      <c r="H26" s="28">
        <f>G26*204</f>
        <v>26112</v>
      </c>
      <c r="I26" s="82" t="b">
        <v>1</v>
      </c>
      <c r="J26" s="116">
        <f t="shared" si="7"/>
        <v>0.65397755002440217</v>
      </c>
      <c r="K26" s="117">
        <f>17495.04/1.0245</f>
        <v>17076.66178623719</v>
      </c>
      <c r="L26" s="22">
        <f>1546/1.0396</f>
        <v>1487.1104270873411</v>
      </c>
      <c r="M26" s="22">
        <v>2077.94</v>
      </c>
      <c r="N26" s="22">
        <v>170</v>
      </c>
      <c r="O26" s="22">
        <v>1298.76</v>
      </c>
      <c r="P26" s="23">
        <f>82.24+82.24+82.24</f>
        <v>246.71999999999997</v>
      </c>
      <c r="Q26" s="23">
        <f>8.78+5.56</f>
        <v>14.34</v>
      </c>
      <c r="R26" s="23">
        <f>57.04</f>
        <v>57.04</v>
      </c>
      <c r="S26" s="23">
        <f>((102+480.48)*(44/100))+(1013.44*84/(84+16))</f>
        <v>1107.5808000000002</v>
      </c>
      <c r="T26" s="23">
        <f>(1600*(44/(44+56)))+(1600*(84/(84+16)))</f>
        <v>2048</v>
      </c>
      <c r="U26" s="19">
        <f>IF(B26="","",K26+SUM(L26:Q26))</f>
        <v>22371.532213324532</v>
      </c>
      <c r="V26" s="128">
        <f t="shared" si="2"/>
        <v>0.8567529187088132</v>
      </c>
      <c r="X26" s="29">
        <v>368131</v>
      </c>
      <c r="Y26" s="42">
        <v>45706</v>
      </c>
      <c r="AA26" s="2"/>
      <c r="AB26" s="2" t="str">
        <f t="shared" si="5"/>
        <v/>
      </c>
      <c r="AC26" s="132" t="str">
        <f t="shared" si="3"/>
        <v/>
      </c>
    </row>
    <row r="27" spans="1:29" ht="15.75">
      <c r="A27" s="29" t="s">
        <v>96</v>
      </c>
      <c r="B27" s="3" t="s">
        <v>93</v>
      </c>
      <c r="C27" s="3" t="s">
        <v>90</v>
      </c>
      <c r="D27" s="3" t="s">
        <v>97</v>
      </c>
      <c r="E27" s="3" t="str">
        <f t="shared" si="0"/>
        <v>Direct</v>
      </c>
      <c r="F27" s="10" t="s">
        <v>59</v>
      </c>
      <c r="G27" s="3">
        <v>256</v>
      </c>
      <c r="H27" s="28">
        <f>G27*205</f>
        <v>52480</v>
      </c>
      <c r="I27" s="82" t="b">
        <v>1</v>
      </c>
      <c r="J27" s="116">
        <f t="shared" si="7"/>
        <v>0.59369912860289187</v>
      </c>
      <c r="K27" s="117">
        <f>32537.6/1.0443</f>
        <v>31157.330269079765</v>
      </c>
      <c r="L27" s="22">
        <f>(6653*2)/1.0465</f>
        <v>12714.763497372192</v>
      </c>
      <c r="M27" s="22"/>
      <c r="N27" s="22"/>
      <c r="O27" s="22"/>
      <c r="P27" s="23"/>
      <c r="Q27" s="23"/>
      <c r="R27" s="23"/>
      <c r="S27" s="23"/>
      <c r="T27" s="23"/>
      <c r="U27" s="19">
        <f t="shared" si="6"/>
        <v>43872.093766451959</v>
      </c>
      <c r="V27" s="128">
        <f t="shared" si="2"/>
        <v>0.83597739646440472</v>
      </c>
      <c r="X27" s="29"/>
      <c r="Y27" s="28"/>
      <c r="AA27" s="2"/>
      <c r="AB27" s="2" t="str">
        <f t="shared" si="5"/>
        <v/>
      </c>
      <c r="AC27" s="132" t="str">
        <f t="shared" si="3"/>
        <v/>
      </c>
    </row>
    <row r="28" spans="1:29" ht="15.75">
      <c r="A28" s="29" t="s">
        <v>98</v>
      </c>
      <c r="B28" s="3" t="s">
        <v>93</v>
      </c>
      <c r="C28" s="9" t="s">
        <v>90</v>
      </c>
      <c r="D28" s="3" t="s">
        <v>94</v>
      </c>
      <c r="E28" s="3" t="str">
        <f t="shared" si="0"/>
        <v>Direct</v>
      </c>
      <c r="F28" s="10" t="s">
        <v>59</v>
      </c>
      <c r="G28" s="1">
        <v>128</v>
      </c>
      <c r="H28" s="27">
        <v>26240</v>
      </c>
      <c r="I28" s="82" t="b">
        <v>1</v>
      </c>
      <c r="J28" s="116">
        <f t="shared" si="7"/>
        <v>0.6201550387596898</v>
      </c>
      <c r="K28" s="117">
        <f>16793.6/1.032</f>
        <v>16272.868217054262</v>
      </c>
      <c r="L28" s="22">
        <f>1920/1.0845</f>
        <v>1770.4011065006916</v>
      </c>
      <c r="M28" s="22"/>
      <c r="N28" s="22"/>
      <c r="O28" s="22"/>
      <c r="P28" s="23"/>
      <c r="Q28" s="23"/>
      <c r="R28" s="23"/>
      <c r="S28" s="23"/>
      <c r="T28" s="23"/>
      <c r="U28" s="19">
        <f t="shared" si="6"/>
        <v>18043.269323554952</v>
      </c>
      <c r="V28" s="128">
        <f t="shared" si="2"/>
        <v>0.68762459312328328</v>
      </c>
      <c r="X28" s="29"/>
      <c r="Y28" s="28"/>
      <c r="AA28" s="2"/>
      <c r="AB28" s="2" t="str">
        <f t="shared" si="5"/>
        <v/>
      </c>
      <c r="AC28" s="132" t="str">
        <f t="shared" si="3"/>
        <v/>
      </c>
    </row>
    <row r="29" spans="1:29" ht="15.75">
      <c r="A29" s="29" t="s">
        <v>99</v>
      </c>
      <c r="B29" s="3" t="s">
        <v>93</v>
      </c>
      <c r="C29" s="3" t="s">
        <v>90</v>
      </c>
      <c r="D29" s="3" t="s">
        <v>97</v>
      </c>
      <c r="E29" s="3" t="str">
        <f t="shared" si="0"/>
        <v>Direct</v>
      </c>
      <c r="F29" s="10" t="s">
        <v>59</v>
      </c>
      <c r="G29" s="3">
        <v>105</v>
      </c>
      <c r="H29" s="28">
        <f>G29*205</f>
        <v>21525</v>
      </c>
      <c r="I29" s="82" t="b">
        <v>1</v>
      </c>
      <c r="J29" s="116">
        <f t="shared" si="7"/>
        <v>0.59672762271414825</v>
      </c>
      <c r="K29" s="117">
        <f>13345.5/1.039</f>
        <v>12844.562078922041</v>
      </c>
      <c r="L29" s="22">
        <f>6522/1.0897</f>
        <v>5985.1335229879787</v>
      </c>
      <c r="M29" s="22"/>
      <c r="N29" s="22"/>
      <c r="O29" s="22"/>
      <c r="P29" s="23"/>
      <c r="Q29" s="23"/>
      <c r="R29" s="23"/>
      <c r="S29" s="23"/>
      <c r="T29" s="23"/>
      <c r="U29" s="19">
        <f t="shared" si="6"/>
        <v>18829.695601910018</v>
      </c>
      <c r="V29" s="128">
        <f t="shared" si="2"/>
        <v>0.87478260636051186</v>
      </c>
      <c r="X29" s="29"/>
      <c r="Y29" s="28"/>
      <c r="AA29" s="2"/>
      <c r="AB29" s="2" t="str">
        <f t="shared" si="5"/>
        <v/>
      </c>
      <c r="AC29" s="132" t="str">
        <f t="shared" si="3"/>
        <v/>
      </c>
    </row>
    <row r="30" spans="1:29" ht="15.75">
      <c r="A30" s="29" t="s">
        <v>100</v>
      </c>
      <c r="B30" s="3" t="s">
        <v>93</v>
      </c>
      <c r="C30" s="3" t="s">
        <v>90</v>
      </c>
      <c r="D30" s="3" t="s">
        <v>101</v>
      </c>
      <c r="E30" s="3" t="str">
        <f t="shared" si="0"/>
        <v>Direct</v>
      </c>
      <c r="F30" s="10" t="s">
        <v>59</v>
      </c>
      <c r="G30" s="3">
        <f>2*105</f>
        <v>210</v>
      </c>
      <c r="H30" s="28">
        <f>G30*205</f>
        <v>43050</v>
      </c>
      <c r="I30" s="82" t="b">
        <v>1</v>
      </c>
      <c r="J30" s="116">
        <f t="shared" si="7"/>
        <v>0.57976435384327663</v>
      </c>
      <c r="K30" s="117">
        <f>26691/1.0694</f>
        <v>24958.85543295306</v>
      </c>
      <c r="L30" s="22">
        <f>14284/1.0824</f>
        <v>13196.600147819659</v>
      </c>
      <c r="M30" s="22"/>
      <c r="N30" s="22"/>
      <c r="O30" s="22"/>
      <c r="P30" s="23"/>
      <c r="Q30" s="23"/>
      <c r="R30" s="23"/>
      <c r="S30" s="23"/>
      <c r="T30" s="23"/>
      <c r="U30" s="19">
        <f t="shared" si="6"/>
        <v>38155.455580772716</v>
      </c>
      <c r="V30" s="128">
        <f t="shared" si="2"/>
        <v>0.88630558840354745</v>
      </c>
      <c r="X30" s="79"/>
      <c r="Y30" s="42"/>
      <c r="AA30" s="2"/>
      <c r="AB30" s="2" t="str">
        <f t="shared" si="5"/>
        <v/>
      </c>
      <c r="AC30" s="132" t="str">
        <f t="shared" si="3"/>
        <v/>
      </c>
    </row>
    <row r="31" spans="1:29" ht="15.75">
      <c r="A31" s="29" t="s">
        <v>102</v>
      </c>
      <c r="B31" s="3" t="s">
        <v>103</v>
      </c>
      <c r="C31" s="9" t="s">
        <v>62</v>
      </c>
      <c r="D31" s="3" t="s">
        <v>104</v>
      </c>
      <c r="E31" s="3" t="str">
        <f t="shared" si="0"/>
        <v>Direct</v>
      </c>
      <c r="F31" s="10" t="s">
        <v>31</v>
      </c>
      <c r="G31" s="1">
        <v>112</v>
      </c>
      <c r="H31" s="27">
        <f>G31*210</f>
        <v>23520</v>
      </c>
      <c r="I31" s="82" t="b">
        <v>1</v>
      </c>
      <c r="J31" s="116">
        <f t="shared" si="7"/>
        <v>1.2156788487028971</v>
      </c>
      <c r="K31" s="117">
        <f>30199.68/1.0562</f>
        <v>28592.76652149214</v>
      </c>
      <c r="L31" s="22">
        <v>0</v>
      </c>
      <c r="M31" s="22">
        <v>98.14</v>
      </c>
      <c r="N31" s="22"/>
      <c r="O31" s="22"/>
      <c r="P31" s="23"/>
      <c r="Q31" s="23"/>
      <c r="R31" s="23"/>
      <c r="S31" s="23"/>
      <c r="T31" s="23"/>
      <c r="U31" s="19">
        <f t="shared" si="6"/>
        <v>28690.906521492139</v>
      </c>
      <c r="V31" s="128">
        <f t="shared" si="2"/>
        <v>1.2198514677505161</v>
      </c>
      <c r="X31" s="29">
        <v>366458</v>
      </c>
      <c r="Y31" s="42">
        <v>45671</v>
      </c>
      <c r="AA31" s="2"/>
      <c r="AB31" s="2" t="str">
        <f t="shared" si="5"/>
        <v/>
      </c>
      <c r="AC31" s="132" t="str">
        <f t="shared" si="3"/>
        <v/>
      </c>
    </row>
    <row r="32" spans="1:29" ht="15.75">
      <c r="A32" s="29" t="s">
        <v>105</v>
      </c>
      <c r="B32" s="3" t="s">
        <v>106</v>
      </c>
      <c r="C32" s="3" t="s">
        <v>62</v>
      </c>
      <c r="D32" s="3" t="s">
        <v>104</v>
      </c>
      <c r="E32" s="3" t="str">
        <f t="shared" si="0"/>
        <v>Direct</v>
      </c>
      <c r="F32" s="3" t="s">
        <v>31</v>
      </c>
      <c r="G32" s="3">
        <f>9*112</f>
        <v>1008</v>
      </c>
      <c r="H32" s="28">
        <f>G32*210</f>
        <v>211680</v>
      </c>
      <c r="I32" s="82" t="b">
        <v>1</v>
      </c>
      <c r="J32" s="116">
        <f t="shared" si="7"/>
        <v>1.2497650915023166</v>
      </c>
      <c r="K32" s="117">
        <f>279418/1.0562</f>
        <v>264550.27456921036</v>
      </c>
      <c r="L32" s="22">
        <v>0</v>
      </c>
      <c r="M32" s="22">
        <f>392.56</f>
        <v>392.56</v>
      </c>
      <c r="N32" s="22"/>
      <c r="O32" s="22"/>
      <c r="P32" s="23"/>
      <c r="Q32" s="23"/>
      <c r="R32" s="23">
        <v>57.04</v>
      </c>
      <c r="S32" s="23"/>
      <c r="T32" s="23"/>
      <c r="U32" s="19">
        <f t="shared" si="6"/>
        <v>264942.83456921036</v>
      </c>
      <c r="V32" s="128">
        <f t="shared" si="2"/>
        <v>1.2516195888568138</v>
      </c>
      <c r="X32" s="79" t="s">
        <v>107</v>
      </c>
      <c r="Y32" s="42">
        <v>45671</v>
      </c>
      <c r="AA32" s="2"/>
      <c r="AB32" s="2" t="str">
        <f t="shared" si="5"/>
        <v/>
      </c>
      <c r="AC32" s="132" t="str">
        <f t="shared" si="3"/>
        <v/>
      </c>
    </row>
    <row r="33" spans="1:29" ht="15.75">
      <c r="A33" s="29" t="s">
        <v>108</v>
      </c>
      <c r="B33" s="3" t="s">
        <v>61</v>
      </c>
      <c r="C33" s="3" t="s">
        <v>62</v>
      </c>
      <c r="D33" s="3" t="s">
        <v>30</v>
      </c>
      <c r="E33" s="3" t="str">
        <f t="shared" si="0"/>
        <v>Hiwa</v>
      </c>
      <c r="F33" s="3" t="s">
        <v>31</v>
      </c>
      <c r="G33" s="3">
        <v>112</v>
      </c>
      <c r="H33" s="28">
        <v>23520</v>
      </c>
      <c r="I33" s="82" t="b">
        <v>1</v>
      </c>
      <c r="J33" s="116">
        <f>IF(H33="","",+K33/H33)</f>
        <v>1.395</v>
      </c>
      <c r="K33" s="117">
        <v>32810.400000000001</v>
      </c>
      <c r="L33" s="22"/>
      <c r="M33" s="22">
        <v>98.14</v>
      </c>
      <c r="N33" s="22">
        <v>170</v>
      </c>
      <c r="O33" s="22">
        <v>1431.4</v>
      </c>
      <c r="P33" s="23">
        <f>163.85+128.74+128.74+52.67+52.67+52.67+52.67</f>
        <v>632.01</v>
      </c>
      <c r="Q33" s="23">
        <f>85+6.68+2.73+2.73</f>
        <v>97.140000000000015</v>
      </c>
      <c r="R33" s="23">
        <f>(57.04*(52/76))</f>
        <v>39.027368421052635</v>
      </c>
      <c r="S33" s="23">
        <f>(77.52*(13/19))</f>
        <v>53.04</v>
      </c>
      <c r="T33" s="23">
        <f>689+(1650*(52/76))+1000</f>
        <v>2817.9473684210525</v>
      </c>
      <c r="U33" s="19">
        <f t="shared" si="6"/>
        <v>35239.090000000004</v>
      </c>
      <c r="V33" s="128">
        <f t="shared" si="2"/>
        <v>1.4982606292517009</v>
      </c>
      <c r="X33" s="29">
        <v>366388</v>
      </c>
      <c r="Y33" s="42">
        <v>45671</v>
      </c>
      <c r="AA33" s="2"/>
      <c r="AB33" s="2" t="str">
        <f t="shared" si="5"/>
        <v/>
      </c>
      <c r="AC33" s="132" t="str">
        <f t="shared" si="3"/>
        <v/>
      </c>
    </row>
    <row r="34" spans="1:29" ht="15.75">
      <c r="A34" s="29" t="s">
        <v>109</v>
      </c>
      <c r="B34" s="3" t="s">
        <v>103</v>
      </c>
      <c r="C34" s="3" t="s">
        <v>62</v>
      </c>
      <c r="D34" s="3" t="s">
        <v>104</v>
      </c>
      <c r="E34" s="3" t="str">
        <f t="shared" si="0"/>
        <v>Direct</v>
      </c>
      <c r="F34" s="3" t="s">
        <v>31</v>
      </c>
      <c r="G34" s="3">
        <v>336</v>
      </c>
      <c r="H34" s="28">
        <f>G34*210</f>
        <v>70560</v>
      </c>
      <c r="I34" s="82" t="b">
        <v>1</v>
      </c>
      <c r="J34" s="116">
        <f t="shared" si="7"/>
        <v>1.2839999999999998</v>
      </c>
      <c r="K34" s="117">
        <v>90599.039999999994</v>
      </c>
      <c r="L34" s="22">
        <v>0</v>
      </c>
      <c r="M34" s="22">
        <f>(34.69+63.45)*2</f>
        <v>196.28</v>
      </c>
      <c r="N34" s="22"/>
      <c r="O34" s="22"/>
      <c r="P34" s="23"/>
      <c r="Q34" s="23"/>
      <c r="R34" s="23">
        <f>2*57.04</f>
        <v>114.08</v>
      </c>
      <c r="S34" s="23"/>
      <c r="T34" s="23"/>
      <c r="U34" s="19">
        <f t="shared" si="6"/>
        <v>90795.319999999992</v>
      </c>
      <c r="V34" s="128">
        <f t="shared" si="2"/>
        <v>1.2867817460317459</v>
      </c>
      <c r="X34" s="79" t="s">
        <v>110</v>
      </c>
      <c r="Y34" s="42">
        <v>45672</v>
      </c>
      <c r="AA34" s="2"/>
      <c r="AB34" s="2" t="str">
        <f t="shared" si="5"/>
        <v/>
      </c>
      <c r="AC34" s="132" t="str">
        <f t="shared" si="3"/>
        <v/>
      </c>
    </row>
    <row r="35" spans="1:29" ht="15.75">
      <c r="A35" s="29" t="s">
        <v>111</v>
      </c>
      <c r="B35" s="3" t="s">
        <v>93</v>
      </c>
      <c r="C35" s="3" t="s">
        <v>90</v>
      </c>
      <c r="D35" s="3" t="s">
        <v>112</v>
      </c>
      <c r="E35" s="3" t="str">
        <f t="shared" si="0"/>
        <v>Direct</v>
      </c>
      <c r="F35" s="3" t="s">
        <v>59</v>
      </c>
      <c r="G35" s="3">
        <v>112</v>
      </c>
      <c r="H35" s="28">
        <f>G35*205</f>
        <v>22960</v>
      </c>
      <c r="I35" s="82" t="b">
        <v>1</v>
      </c>
      <c r="J35" s="116">
        <f t="shared" si="7"/>
        <v>0.69424215943295464</v>
      </c>
      <c r="K35" s="117">
        <f>16416.4/1.0299</f>
        <v>15939.799980580639</v>
      </c>
      <c r="L35" s="22">
        <f>(1656/1.0198)+328+69.25+834+80+35+55</f>
        <v>3025.0978132967248</v>
      </c>
      <c r="M35" s="22">
        <f>1903.63+38.07+96</f>
        <v>2037.7</v>
      </c>
      <c r="N35" s="22">
        <f>300+227.5</f>
        <v>527.5</v>
      </c>
      <c r="O35" s="22"/>
      <c r="P35" s="23"/>
      <c r="Q35" s="23"/>
      <c r="R35" s="23"/>
      <c r="S35" s="23"/>
      <c r="T35" s="23"/>
      <c r="U35" s="19">
        <f t="shared" si="6"/>
        <v>21530.097793877365</v>
      </c>
      <c r="V35" s="128">
        <f t="shared" si="2"/>
        <v>0.93772202935005944</v>
      </c>
      <c r="X35" s="79"/>
      <c r="Y35" s="42"/>
      <c r="AA35" s="2"/>
      <c r="AB35" s="2" t="str">
        <f t="shared" si="5"/>
        <v/>
      </c>
      <c r="AC35" s="132" t="str">
        <f t="shared" si="3"/>
        <v/>
      </c>
    </row>
    <row r="36" spans="1:29" ht="15.75">
      <c r="A36" s="54" t="s">
        <v>113</v>
      </c>
      <c r="B36" s="3" t="s">
        <v>89</v>
      </c>
      <c r="C36" s="9" t="s">
        <v>90</v>
      </c>
      <c r="D36" s="3" t="s">
        <v>30</v>
      </c>
      <c r="E36" s="3" t="str">
        <f t="shared" si="0"/>
        <v>Hiwa</v>
      </c>
      <c r="F36" s="10" t="s">
        <v>59</v>
      </c>
      <c r="G36" s="1">
        <v>256</v>
      </c>
      <c r="H36" s="27">
        <f>G36*205</f>
        <v>52480</v>
      </c>
      <c r="I36" s="82" t="b">
        <v>1</v>
      </c>
      <c r="J36" s="116">
        <f t="shared" si="7"/>
        <v>0.62141955529663062</v>
      </c>
      <c r="K36" s="117">
        <f>33587.2/1.0299</f>
        <v>32612.098261967178</v>
      </c>
      <c r="L36" s="58">
        <f>3092/1.0198</f>
        <v>3031.9670523632085</v>
      </c>
      <c r="M36" s="58">
        <f>2003.73+1988.57</f>
        <v>3992.3</v>
      </c>
      <c r="N36" s="58">
        <v>120</v>
      </c>
      <c r="O36" s="58">
        <f>61.61+2584.52+712.22</f>
        <v>3358.3500000000004</v>
      </c>
      <c r="P36" s="59">
        <f>0.98+72.45</f>
        <v>73.430000000000007</v>
      </c>
      <c r="Q36" s="59">
        <f>4.68+4.72</f>
        <v>9.3999999999999986</v>
      </c>
      <c r="R36" s="59">
        <f>57.04+(57.04*(77/110))+57.04</f>
        <v>154.00799999999998</v>
      </c>
      <c r="S36" s="59"/>
      <c r="T36" s="59"/>
      <c r="U36" s="19">
        <f t="shared" si="6"/>
        <v>43197.545314330389</v>
      </c>
      <c r="V36" s="128">
        <f t="shared" si="2"/>
        <v>0.8231239579712345</v>
      </c>
      <c r="X36" s="80" t="s">
        <v>114</v>
      </c>
      <c r="Y36" s="72">
        <v>45705</v>
      </c>
      <c r="AA36" s="2"/>
      <c r="AB36" s="2" t="str">
        <f t="shared" si="5"/>
        <v/>
      </c>
      <c r="AC36" s="132" t="str">
        <f t="shared" si="3"/>
        <v/>
      </c>
    </row>
    <row r="37" spans="1:29" ht="15.75">
      <c r="A37" s="29" t="s">
        <v>115</v>
      </c>
      <c r="B37" s="3" t="s">
        <v>106</v>
      </c>
      <c r="C37" s="55" t="s">
        <v>62</v>
      </c>
      <c r="D37" s="55" t="s">
        <v>116</v>
      </c>
      <c r="E37" s="55" t="str">
        <f t="shared" si="0"/>
        <v>Direct</v>
      </c>
      <c r="F37" s="55" t="s">
        <v>31</v>
      </c>
      <c r="G37" s="55">
        <f>9*112</f>
        <v>1008</v>
      </c>
      <c r="H37" s="56">
        <f>G37*210</f>
        <v>211680</v>
      </c>
      <c r="I37" s="82" t="b">
        <v>1</v>
      </c>
      <c r="J37" s="116">
        <f t="shared" si="7"/>
        <v>1.41</v>
      </c>
      <c r="K37" s="119">
        <v>298468.8</v>
      </c>
      <c r="L37" s="58">
        <v>19739</v>
      </c>
      <c r="M37" s="58">
        <v>320</v>
      </c>
      <c r="N37" s="58">
        <v>500</v>
      </c>
      <c r="O37" s="58"/>
      <c r="P37" s="59"/>
      <c r="Q37" s="59"/>
      <c r="R37" s="59"/>
      <c r="S37" s="59"/>
      <c r="T37" s="59"/>
      <c r="U37" s="19">
        <f t="shared" si="6"/>
        <v>319027.8</v>
      </c>
      <c r="V37" s="128">
        <f t="shared" si="2"/>
        <v>1.5071230158730158</v>
      </c>
      <c r="X37" s="54"/>
      <c r="Y37" s="56"/>
      <c r="AA37" s="2"/>
      <c r="AB37" s="2" t="str">
        <f t="shared" si="5"/>
        <v/>
      </c>
      <c r="AC37" s="132" t="str">
        <f t="shared" si="3"/>
        <v/>
      </c>
    </row>
    <row r="38" spans="1:29" ht="15.75">
      <c r="A38" s="54" t="s">
        <v>117</v>
      </c>
      <c r="B38" s="3" t="s">
        <v>118</v>
      </c>
      <c r="C38" s="9" t="s">
        <v>119</v>
      </c>
      <c r="D38" s="13" t="s">
        <v>120</v>
      </c>
      <c r="E38" s="3" t="str">
        <f>IF(B38="","",IF(D38="Godfroy","Godfroy",(IF(LEFT(B38,1)="1","Hiwa","Direct"))))</f>
        <v>Direct</v>
      </c>
      <c r="F38" s="10" t="s">
        <v>121</v>
      </c>
      <c r="G38" s="1">
        <v>52</v>
      </c>
      <c r="H38" s="27">
        <v>10400</v>
      </c>
      <c r="I38" s="82" t="b">
        <v>1</v>
      </c>
      <c r="J38" s="116">
        <f t="shared" si="7"/>
        <v>1.54</v>
      </c>
      <c r="K38" s="119">
        <v>16016</v>
      </c>
      <c r="L38" s="58">
        <v>1750</v>
      </c>
      <c r="M38" s="58"/>
      <c r="N38" s="58"/>
      <c r="O38" s="58"/>
      <c r="P38" s="59"/>
      <c r="Q38" s="59"/>
      <c r="R38" s="59"/>
      <c r="S38" s="59"/>
      <c r="T38" s="59"/>
      <c r="U38" s="19">
        <f t="shared" si="6"/>
        <v>17766</v>
      </c>
      <c r="V38" s="128">
        <f t="shared" si="2"/>
        <v>1.7082692307692309</v>
      </c>
      <c r="X38" s="54"/>
      <c r="Y38" s="56"/>
      <c r="AA38" s="2"/>
      <c r="AB38" s="2" t="str">
        <f t="shared" si="5"/>
        <v/>
      </c>
      <c r="AC38" s="132" t="str">
        <f t="shared" si="3"/>
        <v/>
      </c>
    </row>
    <row r="39" spans="1:29" ht="15.75">
      <c r="A39" s="29" t="s">
        <v>122</v>
      </c>
      <c r="B39" s="3" t="s">
        <v>123</v>
      </c>
      <c r="C39" s="9" t="s">
        <v>52</v>
      </c>
      <c r="D39" s="13" t="s">
        <v>30</v>
      </c>
      <c r="E39" s="3" t="str">
        <f t="shared" ref="E39" si="8">IF(B39="","",IF(D39="Godfroy","Godfroy",(IF(LEFT(B39,1)="1","Hiwa","Direct"))))</f>
        <v>Hiwa</v>
      </c>
      <c r="F39" s="3" t="s">
        <v>46</v>
      </c>
      <c r="G39" s="1">
        <v>80</v>
      </c>
      <c r="H39" s="27">
        <v>16800</v>
      </c>
      <c r="I39" s="82" t="b">
        <v>1</v>
      </c>
      <c r="J39" s="116">
        <f t="shared" si="7"/>
        <v>3.705842718259698</v>
      </c>
      <c r="K39" s="119">
        <f>64680/1.0389</f>
        <v>62258.157666762927</v>
      </c>
      <c r="L39" s="58">
        <f>2425/1.0389</f>
        <v>2334.1996342285111</v>
      </c>
      <c r="M39" s="58">
        <v>98.14</v>
      </c>
      <c r="N39" s="58"/>
      <c r="O39" s="58">
        <v>1155.18</v>
      </c>
      <c r="P39" s="59">
        <f>78.68+55.07+55.07+55.07</f>
        <v>243.89</v>
      </c>
      <c r="Q39" s="59">
        <f>16.46+16.23+10.86</f>
        <v>43.55</v>
      </c>
      <c r="R39" s="59">
        <f>57.04+57.04</f>
        <v>114.08</v>
      </c>
      <c r="S39" s="59"/>
      <c r="T39" s="59"/>
      <c r="U39" s="19">
        <f t="shared" si="6"/>
        <v>66133.117300991435</v>
      </c>
      <c r="V39" s="128">
        <f t="shared" si="2"/>
        <v>3.9364950774399663</v>
      </c>
      <c r="X39" s="54">
        <v>367271</v>
      </c>
      <c r="Y39" s="72">
        <v>45691</v>
      </c>
      <c r="AA39" s="2">
        <v>32</v>
      </c>
      <c r="AB39" s="2">
        <f t="shared" si="5"/>
        <v>6720</v>
      </c>
      <c r="AC39" s="132">
        <f t="shared" si="3"/>
        <v>26453.246920396574</v>
      </c>
    </row>
    <row r="40" spans="1:29" ht="15.75">
      <c r="A40" s="54" t="s">
        <v>124</v>
      </c>
      <c r="B40" s="3" t="s">
        <v>125</v>
      </c>
      <c r="C40" s="3" t="s">
        <v>126</v>
      </c>
      <c r="D40" s="3" t="s">
        <v>127</v>
      </c>
      <c r="E40" s="3" t="str">
        <f>IF(B40="","",IF(D40="Godfroy","Godfroy",(IF(LEFT(B40,1)="1","Hiwa","Direct"))))</f>
        <v>Direct</v>
      </c>
      <c r="F40" s="3" t="s">
        <v>128</v>
      </c>
      <c r="G40" s="3">
        <v>4</v>
      </c>
      <c r="H40" s="28">
        <v>880</v>
      </c>
      <c r="I40" s="82" t="b">
        <v>1</v>
      </c>
      <c r="J40" s="116">
        <f>IF(H40="","",+K40/H40)</f>
        <v>0.92045454545454541</v>
      </c>
      <c r="K40" s="119">
        <v>810</v>
      </c>
      <c r="L40" s="58">
        <v>294</v>
      </c>
      <c r="M40" s="58"/>
      <c r="N40" s="58"/>
      <c r="O40" s="58"/>
      <c r="P40" s="59"/>
      <c r="Q40" s="59"/>
      <c r="R40" s="59"/>
      <c r="S40" s="59"/>
      <c r="T40" s="59"/>
      <c r="U40" s="19">
        <f t="shared" si="6"/>
        <v>1104</v>
      </c>
      <c r="V40" s="128">
        <f>IF(J40="","",+U40/H40)</f>
        <v>1.2545454545454546</v>
      </c>
      <c r="X40" s="54"/>
      <c r="Y40" s="56"/>
      <c r="AA40" s="2"/>
      <c r="AB40" s="2" t="str">
        <f t="shared" si="5"/>
        <v/>
      </c>
      <c r="AC40" s="132" t="str">
        <f t="shared" si="3"/>
        <v/>
      </c>
    </row>
    <row r="41" spans="1:29" ht="15.75">
      <c r="A41" s="29" t="s">
        <v>129</v>
      </c>
      <c r="B41" s="3" t="s">
        <v>106</v>
      </c>
      <c r="C41" s="9" t="s">
        <v>62</v>
      </c>
      <c r="D41" s="3" t="s">
        <v>104</v>
      </c>
      <c r="E41" s="3" t="str">
        <f t="shared" ref="E41:E45" si="9">IF(B41="","",IF(D41="Godfroy","Godfroy",(IF(LEFT(B41,1)="1","Hiwa","Direct"))))</f>
        <v>Direct</v>
      </c>
      <c r="F41" s="10" t="s">
        <v>31</v>
      </c>
      <c r="G41" s="1">
        <f>6*112</f>
        <v>672</v>
      </c>
      <c r="H41" s="27">
        <f>G41*210</f>
        <v>141120</v>
      </c>
      <c r="I41" s="82" t="b">
        <v>1</v>
      </c>
      <c r="J41" s="116">
        <f>IF(H41="","",+K41/H41)</f>
        <v>1.32</v>
      </c>
      <c r="K41" s="119">
        <v>186278.39999999999</v>
      </c>
      <c r="L41" s="58">
        <v>0</v>
      </c>
      <c r="M41" s="22">
        <f>(34.69+63.45)*4</f>
        <v>392.56</v>
      </c>
      <c r="N41" s="58"/>
      <c r="O41" s="58"/>
      <c r="P41" s="59"/>
      <c r="Q41" s="59"/>
      <c r="R41" s="59">
        <f>3*57.04+57.04+57.04</f>
        <v>285.2</v>
      </c>
      <c r="S41" s="59"/>
      <c r="T41" s="59"/>
      <c r="U41" s="19">
        <f t="shared" si="6"/>
        <v>186670.96</v>
      </c>
      <c r="V41" s="128">
        <f>IF(J41="","",+U41/H41)</f>
        <v>1.3227817460317459</v>
      </c>
      <c r="X41" s="79" t="s">
        <v>130</v>
      </c>
      <c r="Y41" s="42">
        <v>45672</v>
      </c>
      <c r="AA41" s="2"/>
      <c r="AB41" s="2" t="str">
        <f t="shared" si="5"/>
        <v/>
      </c>
      <c r="AC41" s="132" t="str">
        <f t="shared" si="3"/>
        <v/>
      </c>
    </row>
    <row r="42" spans="1:29" ht="15.75">
      <c r="A42" s="54" t="s">
        <v>131</v>
      </c>
      <c r="B42" s="3" t="s">
        <v>132</v>
      </c>
      <c r="C42" s="3" t="s">
        <v>133</v>
      </c>
      <c r="D42" s="13" t="s">
        <v>134</v>
      </c>
      <c r="E42" s="3" t="str">
        <f t="shared" si="9"/>
        <v>Direct</v>
      </c>
      <c r="F42" s="3" t="s">
        <v>121</v>
      </c>
      <c r="G42" s="65">
        <v>32</v>
      </c>
      <c r="H42" s="53">
        <f>G42*220</f>
        <v>7040</v>
      </c>
      <c r="I42" s="82" t="b">
        <v>1</v>
      </c>
      <c r="J42" s="116">
        <f t="shared" ref="J42:J105" si="10">IF(H42="","",+K42/H42)</f>
        <v>1.45</v>
      </c>
      <c r="K42" s="119">
        <v>10208</v>
      </c>
      <c r="L42" s="58">
        <v>704</v>
      </c>
      <c r="M42" s="58"/>
      <c r="N42" s="58"/>
      <c r="O42" s="58"/>
      <c r="P42" s="59"/>
      <c r="Q42" s="59"/>
      <c r="R42" s="59"/>
      <c r="S42" s="59"/>
      <c r="T42" s="59"/>
      <c r="U42" s="19">
        <f t="shared" si="6"/>
        <v>10912</v>
      </c>
      <c r="V42" s="128">
        <f t="shared" ref="V42:V105" si="11">IF(J42="","",+U42/H42)</f>
        <v>1.55</v>
      </c>
      <c r="X42" s="54"/>
      <c r="Y42" s="56"/>
      <c r="AA42" s="2"/>
      <c r="AB42" s="2" t="str">
        <f t="shared" si="5"/>
        <v/>
      </c>
      <c r="AC42" s="132" t="str">
        <f t="shared" si="3"/>
        <v/>
      </c>
    </row>
    <row r="43" spans="1:29" ht="15.75">
      <c r="A43" s="29" t="s">
        <v>135</v>
      </c>
      <c r="B43" s="3" t="s">
        <v>136</v>
      </c>
      <c r="C43" s="3" t="s">
        <v>133</v>
      </c>
      <c r="D43" s="13" t="s">
        <v>134</v>
      </c>
      <c r="E43" s="3" t="str">
        <f t="shared" si="9"/>
        <v>Direct</v>
      </c>
      <c r="F43" s="3" t="s">
        <v>121</v>
      </c>
      <c r="G43" s="65">
        <v>8</v>
      </c>
      <c r="H43" s="53">
        <f>G43*220</f>
        <v>1760</v>
      </c>
      <c r="I43" s="82" t="b">
        <v>1</v>
      </c>
      <c r="J43" s="116">
        <f t="shared" si="10"/>
        <v>1.24</v>
      </c>
      <c r="K43" s="119">
        <v>2182.4</v>
      </c>
      <c r="L43" s="58">
        <v>176</v>
      </c>
      <c r="M43" s="58"/>
      <c r="N43" s="58"/>
      <c r="O43" s="58"/>
      <c r="P43" s="59"/>
      <c r="Q43" s="59"/>
      <c r="R43" s="59"/>
      <c r="S43" s="59"/>
      <c r="T43" s="59"/>
      <c r="U43" s="19">
        <f t="shared" si="6"/>
        <v>2358.4</v>
      </c>
      <c r="V43" s="128">
        <f t="shared" si="11"/>
        <v>1.34</v>
      </c>
      <c r="X43" s="54"/>
      <c r="Y43" s="56"/>
      <c r="AA43" s="2"/>
      <c r="AB43" s="2" t="str">
        <f t="shared" si="5"/>
        <v/>
      </c>
      <c r="AC43" s="132" t="str">
        <f t="shared" si="3"/>
        <v/>
      </c>
    </row>
    <row r="44" spans="1:29" ht="15.75">
      <c r="A44" s="54" t="s">
        <v>137</v>
      </c>
      <c r="B44" s="3" t="s">
        <v>103</v>
      </c>
      <c r="C44" s="9" t="s">
        <v>62</v>
      </c>
      <c r="D44" s="3" t="s">
        <v>104</v>
      </c>
      <c r="E44" s="3" t="str">
        <f t="shared" si="9"/>
        <v>Direct</v>
      </c>
      <c r="F44" s="10" t="s">
        <v>31</v>
      </c>
      <c r="G44" s="1">
        <f>6*112</f>
        <v>672</v>
      </c>
      <c r="H44" s="27">
        <f>G44*210</f>
        <v>141120</v>
      </c>
      <c r="I44" s="82" t="b">
        <v>1</v>
      </c>
      <c r="J44" s="116">
        <f t="shared" si="10"/>
        <v>1.2899999999999998</v>
      </c>
      <c r="K44" s="117">
        <v>182044.79999999999</v>
      </c>
      <c r="L44" s="22">
        <v>0</v>
      </c>
      <c r="M44" s="22">
        <f>(98.14*(6/18))+(98.14*(6/18))-(98.14*(6/18))</f>
        <v>32.713333333333331</v>
      </c>
      <c r="N44" s="22"/>
      <c r="O44" s="22"/>
      <c r="P44" s="23"/>
      <c r="Q44" s="23"/>
      <c r="R44" s="23"/>
      <c r="S44" s="23"/>
      <c r="T44" s="23"/>
      <c r="U44" s="19">
        <f t="shared" si="6"/>
        <v>182077.51333333334</v>
      </c>
      <c r="V44" s="128">
        <f t="shared" si="11"/>
        <v>1.2902318121693122</v>
      </c>
      <c r="X44" s="54"/>
      <c r="Y44" s="56"/>
      <c r="AA44" s="2"/>
      <c r="AB44" s="2" t="str">
        <f t="shared" si="5"/>
        <v/>
      </c>
      <c r="AC44" s="132" t="str">
        <f t="shared" si="3"/>
        <v/>
      </c>
    </row>
    <row r="45" spans="1:29" ht="15.75">
      <c r="A45" s="29" t="s">
        <v>138</v>
      </c>
      <c r="B45" s="3" t="s">
        <v>106</v>
      </c>
      <c r="C45" s="3" t="s">
        <v>62</v>
      </c>
      <c r="D45" s="3" t="s">
        <v>104</v>
      </c>
      <c r="E45" s="3" t="str">
        <f t="shared" si="9"/>
        <v>Direct</v>
      </c>
      <c r="F45" s="3" t="s">
        <v>31</v>
      </c>
      <c r="G45" s="3">
        <f>12*112</f>
        <v>1344</v>
      </c>
      <c r="H45" s="28">
        <f>G45*210</f>
        <v>282240</v>
      </c>
      <c r="I45" s="82" t="b">
        <v>1</v>
      </c>
      <c r="J45" s="116">
        <f t="shared" si="10"/>
        <v>1.33</v>
      </c>
      <c r="K45" s="117">
        <v>375379.20000000001</v>
      </c>
      <c r="L45" s="22">
        <v>0</v>
      </c>
      <c r="M45" s="22">
        <f>(98.14*(12/18))+(98.14*(12/18))-(98.14*(12/18))</f>
        <v>65.426666666666662</v>
      </c>
      <c r="N45" s="22"/>
      <c r="O45" s="22"/>
      <c r="P45" s="23"/>
      <c r="Q45" s="23"/>
      <c r="R45" s="23">
        <v>57.04</v>
      </c>
      <c r="S45" s="23"/>
      <c r="T45" s="23"/>
      <c r="U45" s="19">
        <f>IF(B45="","",K45+SUM(L45:Q45))</f>
        <v>375444.62666666671</v>
      </c>
      <c r="V45" s="128">
        <f t="shared" si="11"/>
        <v>1.3302318121693124</v>
      </c>
      <c r="X45" s="54"/>
      <c r="Y45" s="56"/>
      <c r="AA45" s="2"/>
      <c r="AB45" s="2" t="str">
        <f t="shared" si="5"/>
        <v/>
      </c>
      <c r="AC45" s="132" t="str">
        <f t="shared" si="3"/>
        <v/>
      </c>
    </row>
    <row r="46" spans="1:29" ht="15.75">
      <c r="A46" s="29" t="s">
        <v>139</v>
      </c>
      <c r="B46" s="3" t="s">
        <v>140</v>
      </c>
      <c r="C46" s="3" t="s">
        <v>62</v>
      </c>
      <c r="D46" s="3" t="s">
        <v>104</v>
      </c>
      <c r="E46" s="3" t="str">
        <f t="shared" si="0"/>
        <v>Direct</v>
      </c>
      <c r="F46" s="3" t="s">
        <v>31</v>
      </c>
      <c r="G46" s="3">
        <v>896</v>
      </c>
      <c r="H46" s="28">
        <f>+G46*210</f>
        <v>188160</v>
      </c>
      <c r="I46" s="82" t="b">
        <v>1</v>
      </c>
      <c r="J46" s="116">
        <f t="shared" si="10"/>
        <v>1.07</v>
      </c>
      <c r="K46" s="117">
        <v>201331.20000000001</v>
      </c>
      <c r="L46" s="22">
        <v>0</v>
      </c>
      <c r="M46" s="22">
        <v>686.98</v>
      </c>
      <c r="N46" s="22"/>
      <c r="O46" s="22"/>
      <c r="P46" s="23"/>
      <c r="Q46" s="23"/>
      <c r="R46" s="23">
        <v>57.04</v>
      </c>
      <c r="S46" s="23"/>
      <c r="T46" s="23"/>
      <c r="U46" s="19">
        <f t="shared" si="6"/>
        <v>202018.18000000002</v>
      </c>
      <c r="V46" s="128">
        <f t="shared" si="11"/>
        <v>1.0736510416666667</v>
      </c>
      <c r="X46" s="80" t="s">
        <v>141</v>
      </c>
      <c r="Y46" s="72">
        <v>45726</v>
      </c>
      <c r="AA46" s="2"/>
      <c r="AB46" s="2" t="str">
        <f t="shared" si="5"/>
        <v/>
      </c>
      <c r="AC46" s="132" t="str">
        <f t="shared" si="3"/>
        <v/>
      </c>
    </row>
    <row r="47" spans="1:29" ht="15.75">
      <c r="A47" s="29" t="s">
        <v>142</v>
      </c>
      <c r="B47" s="3" t="s">
        <v>143</v>
      </c>
      <c r="C47" s="9" t="s">
        <v>119</v>
      </c>
      <c r="D47" s="3" t="s">
        <v>144</v>
      </c>
      <c r="E47" s="3" t="str">
        <f t="shared" si="0"/>
        <v>Direct</v>
      </c>
      <c r="F47" s="10" t="s">
        <v>121</v>
      </c>
      <c r="G47" s="1">
        <v>110</v>
      </c>
      <c r="H47" s="27">
        <v>1100</v>
      </c>
      <c r="I47" s="82" t="b">
        <v>1</v>
      </c>
      <c r="J47" s="116">
        <f t="shared" si="10"/>
        <v>1.085</v>
      </c>
      <c r="K47" s="117">
        <v>1193.5</v>
      </c>
      <c r="L47" s="22">
        <v>485</v>
      </c>
      <c r="M47" s="22"/>
      <c r="N47" s="22"/>
      <c r="O47" s="22"/>
      <c r="P47" s="23"/>
      <c r="Q47" s="23"/>
      <c r="R47" s="23"/>
      <c r="S47" s="23"/>
      <c r="T47" s="23"/>
      <c r="U47" s="19">
        <f t="shared" si="6"/>
        <v>1678.5</v>
      </c>
      <c r="V47" s="128">
        <f t="shared" si="11"/>
        <v>1.5259090909090909</v>
      </c>
      <c r="X47" s="54"/>
      <c r="Y47" s="56"/>
      <c r="AA47" s="2"/>
      <c r="AB47" s="2" t="str">
        <f t="shared" si="5"/>
        <v/>
      </c>
      <c r="AC47" s="132" t="str">
        <f t="shared" si="3"/>
        <v/>
      </c>
    </row>
    <row r="48" spans="1:29" ht="15.75">
      <c r="A48" s="29" t="s">
        <v>145</v>
      </c>
      <c r="B48" s="3" t="s">
        <v>93</v>
      </c>
      <c r="C48" s="3" t="s">
        <v>90</v>
      </c>
      <c r="D48" s="3" t="s">
        <v>112</v>
      </c>
      <c r="E48" s="3" t="str">
        <f t="shared" si="0"/>
        <v>Direct</v>
      </c>
      <c r="F48" s="3" t="s">
        <v>59</v>
      </c>
      <c r="G48" s="3">
        <v>112</v>
      </c>
      <c r="H48" s="28">
        <f>G48*205</f>
        <v>22960</v>
      </c>
      <c r="I48" s="82" t="b">
        <v>1</v>
      </c>
      <c r="J48" s="116">
        <f t="shared" si="10"/>
        <v>0.62488129154795824</v>
      </c>
      <c r="K48" s="117">
        <f>15107.68/1.053</f>
        <v>14347.274453941121</v>
      </c>
      <c r="L48" s="22">
        <f>(1798/1.037)+(528+69.25+450+80+35+1190+842.65)</f>
        <v>4928.7476374156222</v>
      </c>
      <c r="M48" s="22">
        <f>1782.27+35.65+96</f>
        <v>1913.92</v>
      </c>
      <c r="N48" s="22">
        <f>195+300+110</f>
        <v>605</v>
      </c>
      <c r="O48" s="22"/>
      <c r="P48" s="23"/>
      <c r="Q48" s="23"/>
      <c r="R48" s="23">
        <v>6.5</v>
      </c>
      <c r="S48" s="23"/>
      <c r="T48" s="23"/>
      <c r="U48" s="19">
        <f t="shared" si="6"/>
        <v>21794.942091356745</v>
      </c>
      <c r="V48" s="128">
        <f t="shared" si="11"/>
        <v>0.94925705972808117</v>
      </c>
      <c r="X48" s="54"/>
      <c r="Y48" s="56"/>
      <c r="AA48" s="2"/>
      <c r="AB48" s="2" t="str">
        <f t="shared" si="5"/>
        <v/>
      </c>
      <c r="AC48" s="132" t="str">
        <f t="shared" si="3"/>
        <v/>
      </c>
    </row>
    <row r="49" spans="1:29" ht="15.75">
      <c r="A49" s="29" t="s">
        <v>146</v>
      </c>
      <c r="B49" s="3" t="s">
        <v>147</v>
      </c>
      <c r="C49" s="3" t="s">
        <v>133</v>
      </c>
      <c r="D49" s="3" t="s">
        <v>148</v>
      </c>
      <c r="E49" s="3" t="str">
        <f t="shared" si="0"/>
        <v>Direct</v>
      </c>
      <c r="F49" s="3" t="s">
        <v>121</v>
      </c>
      <c r="G49" s="3">
        <v>12</v>
      </c>
      <c r="H49" s="28">
        <f>G49*220</f>
        <v>2640</v>
      </c>
      <c r="I49" s="82" t="b">
        <v>1</v>
      </c>
      <c r="J49" s="116">
        <f t="shared" si="10"/>
        <v>1.8099999999999998</v>
      </c>
      <c r="K49" s="117">
        <v>4778.3999999999996</v>
      </c>
      <c r="L49" s="22">
        <v>380</v>
      </c>
      <c r="M49" s="22"/>
      <c r="N49" s="22"/>
      <c r="O49" s="22"/>
      <c r="P49" s="23"/>
      <c r="Q49" s="23"/>
      <c r="R49" s="23"/>
      <c r="S49" s="23"/>
      <c r="T49" s="23"/>
      <c r="U49" s="19">
        <f t="shared" ref="U49:U112" si="12">IF(B49="","",K49+SUM(L49:Q49))</f>
        <v>5158.3999999999996</v>
      </c>
      <c r="V49" s="128">
        <f t="shared" si="11"/>
        <v>1.9539393939393939</v>
      </c>
      <c r="X49" s="54"/>
      <c r="Y49" s="56"/>
      <c r="AA49" s="2"/>
      <c r="AB49" s="2" t="str">
        <f t="shared" si="5"/>
        <v/>
      </c>
      <c r="AC49" s="132" t="str">
        <f t="shared" si="3"/>
        <v/>
      </c>
    </row>
    <row r="50" spans="1:29" ht="15.75">
      <c r="A50" s="29" t="s">
        <v>149</v>
      </c>
      <c r="B50" s="3" t="s">
        <v>143</v>
      </c>
      <c r="C50" s="9" t="s">
        <v>119</v>
      </c>
      <c r="D50" s="3" t="s">
        <v>150</v>
      </c>
      <c r="E50" s="3" t="str">
        <f t="shared" si="0"/>
        <v>Direct</v>
      </c>
      <c r="F50" s="10" t="s">
        <v>121</v>
      </c>
      <c r="G50" s="1">
        <v>110</v>
      </c>
      <c r="H50" s="27">
        <v>1100</v>
      </c>
      <c r="I50" s="82" t="b">
        <v>1</v>
      </c>
      <c r="J50" s="116">
        <f t="shared" si="10"/>
        <v>1.085</v>
      </c>
      <c r="K50" s="117">
        <v>1193.5</v>
      </c>
      <c r="L50" s="22">
        <v>480</v>
      </c>
      <c r="M50" s="22"/>
      <c r="N50" s="22"/>
      <c r="O50" s="22"/>
      <c r="P50" s="23"/>
      <c r="Q50" s="23"/>
      <c r="R50" s="23"/>
      <c r="S50" s="23"/>
      <c r="T50" s="23"/>
      <c r="U50" s="19">
        <f t="shared" si="12"/>
        <v>1673.5</v>
      </c>
      <c r="V50" s="128">
        <f t="shared" si="11"/>
        <v>1.5213636363636365</v>
      </c>
      <c r="X50" s="54"/>
      <c r="Y50" s="56"/>
      <c r="AA50" s="2"/>
      <c r="AB50" s="2" t="str">
        <f t="shared" si="5"/>
        <v/>
      </c>
      <c r="AC50" s="132" t="str">
        <f t="shared" si="3"/>
        <v/>
      </c>
    </row>
    <row r="51" spans="1:29" ht="15.75">
      <c r="A51" s="29" t="s">
        <v>151</v>
      </c>
      <c r="B51" s="3" t="s">
        <v>143</v>
      </c>
      <c r="C51" s="9" t="s">
        <v>119</v>
      </c>
      <c r="D51" s="3" t="s">
        <v>144</v>
      </c>
      <c r="E51" s="3" t="str">
        <f t="shared" si="0"/>
        <v>Direct</v>
      </c>
      <c r="F51" s="10" t="s">
        <v>121</v>
      </c>
      <c r="G51" s="1">
        <v>110</v>
      </c>
      <c r="H51" s="27">
        <v>1100</v>
      </c>
      <c r="I51" s="82" t="b">
        <v>1</v>
      </c>
      <c r="J51" s="116">
        <f t="shared" si="10"/>
        <v>1.085</v>
      </c>
      <c r="K51" s="117">
        <v>1193.5</v>
      </c>
      <c r="L51" s="22">
        <v>485</v>
      </c>
      <c r="M51" s="22"/>
      <c r="N51" s="22"/>
      <c r="O51" s="22"/>
      <c r="P51" s="23"/>
      <c r="Q51" s="23"/>
      <c r="R51" s="23"/>
      <c r="S51" s="23"/>
      <c r="T51" s="23"/>
      <c r="U51" s="19">
        <f t="shared" si="12"/>
        <v>1678.5</v>
      </c>
      <c r="V51" s="128">
        <f t="shared" si="11"/>
        <v>1.5259090909090909</v>
      </c>
      <c r="X51" s="54"/>
      <c r="Y51" s="56"/>
      <c r="AA51" s="2"/>
      <c r="AB51" s="2" t="str">
        <f t="shared" si="5"/>
        <v/>
      </c>
      <c r="AC51" s="132" t="str">
        <f t="shared" si="3"/>
        <v/>
      </c>
    </row>
    <row r="52" spans="1:29" ht="15.75">
      <c r="A52" s="29" t="s">
        <v>152</v>
      </c>
      <c r="B52" s="3" t="s">
        <v>125</v>
      </c>
      <c r="C52" s="3" t="s">
        <v>126</v>
      </c>
      <c r="D52" s="3" t="s">
        <v>127</v>
      </c>
      <c r="E52" s="3" t="str">
        <f>IF(B52="","",IF(D52="Godfroy","Godfroy",(IF(LEFT(B52,1)="1","Hiwa","Direct"))))</f>
        <v>Direct</v>
      </c>
      <c r="F52" s="3" t="s">
        <v>128</v>
      </c>
      <c r="G52" s="3">
        <v>4</v>
      </c>
      <c r="H52" s="28">
        <v>880</v>
      </c>
      <c r="I52" s="82" t="b">
        <v>1</v>
      </c>
      <c r="J52" s="116">
        <f t="shared" si="10"/>
        <v>0.92999999999999994</v>
      </c>
      <c r="K52" s="117">
        <v>818.4</v>
      </c>
      <c r="L52" s="22">
        <v>197.29</v>
      </c>
      <c r="M52" s="22"/>
      <c r="N52" s="22"/>
      <c r="O52" s="22"/>
      <c r="P52" s="23"/>
      <c r="Q52" s="23"/>
      <c r="R52" s="23"/>
      <c r="S52" s="23"/>
      <c r="T52" s="23"/>
      <c r="U52" s="19">
        <f t="shared" si="12"/>
        <v>1015.6899999999999</v>
      </c>
      <c r="V52" s="128">
        <f t="shared" si="11"/>
        <v>1.1541931818181816</v>
      </c>
      <c r="X52" s="54"/>
      <c r="Y52" s="56"/>
      <c r="AA52" s="2"/>
      <c r="AB52" s="2" t="str">
        <f t="shared" si="5"/>
        <v/>
      </c>
      <c r="AC52" s="132" t="str">
        <f t="shared" si="3"/>
        <v/>
      </c>
    </row>
    <row r="53" spans="1:29" ht="15.75">
      <c r="A53" s="29" t="s">
        <v>154</v>
      </c>
      <c r="B53" s="3" t="s">
        <v>89</v>
      </c>
      <c r="C53" s="9" t="s">
        <v>90</v>
      </c>
      <c r="D53" s="3" t="s">
        <v>30</v>
      </c>
      <c r="E53" s="3" t="str">
        <f t="shared" ref="E53" si="13">IF(B53="","",IF(D53="Godfroy","Godfroy",(IF(LEFT(B53,1)="1","Hiwa","Direct"))))</f>
        <v>Hiwa</v>
      </c>
      <c r="F53" s="10" t="s">
        <v>59</v>
      </c>
      <c r="G53" s="1">
        <v>512</v>
      </c>
      <c r="H53" s="27">
        <f>G53*205</f>
        <v>104960</v>
      </c>
      <c r="I53" s="82" t="b">
        <v>1</v>
      </c>
      <c r="J53" s="116">
        <f t="shared" si="10"/>
        <v>0.6457739791073126</v>
      </c>
      <c r="K53" s="117">
        <f>71372.8/1.053</f>
        <v>67780.436847103527</v>
      </c>
      <c r="L53" s="22">
        <f>6184/1.037</f>
        <v>5963.3558341369335</v>
      </c>
      <c r="M53" s="22">
        <f>2116.54+2116.54+4233.08</f>
        <v>8466.16</v>
      </c>
      <c r="N53" s="22"/>
      <c r="O53" s="22">
        <v>5051.28</v>
      </c>
      <c r="P53" s="23">
        <f>125.31+48.95+125.31+48.95+47.97</f>
        <v>396.49</v>
      </c>
      <c r="Q53" s="23">
        <f>(4.95*4)+1.85</f>
        <v>21.650000000000002</v>
      </c>
      <c r="R53" s="23">
        <f>57.04+(2*57.04)+114.08+57.04+57.04</f>
        <v>399.28000000000003</v>
      </c>
      <c r="S53" s="23"/>
      <c r="T53" s="23"/>
      <c r="U53" s="19">
        <f>IF(B53="","",K53+SUM(L53:Q53))</f>
        <v>87679.372681240464</v>
      </c>
      <c r="V53" s="128">
        <f>IF(J53="","",+U53/H53)</f>
        <v>0.83535987691730629</v>
      </c>
      <c r="X53" s="80" t="s">
        <v>155</v>
      </c>
      <c r="Y53" s="72">
        <v>45719</v>
      </c>
      <c r="AA53" s="2">
        <v>49</v>
      </c>
      <c r="AB53" s="2">
        <f t="shared" si="5"/>
        <v>10045</v>
      </c>
      <c r="AC53" s="132">
        <f t="shared" si="3"/>
        <v>8391.1899636343423</v>
      </c>
    </row>
    <row r="54" spans="1:29" ht="15.75">
      <c r="A54" s="29" t="s">
        <v>156</v>
      </c>
      <c r="B54" s="3" t="s">
        <v>157</v>
      </c>
      <c r="C54" s="3" t="s">
        <v>126</v>
      </c>
      <c r="D54" s="3" t="s">
        <v>158</v>
      </c>
      <c r="E54" s="3" t="str">
        <f>IF(B54="","",IF(D54="Godfroy","Godfroy",(IF(LEFT(B54,1)="1","Hiwa","Direct"))))</f>
        <v>Direct</v>
      </c>
      <c r="F54" s="3" t="s">
        <v>128</v>
      </c>
      <c r="G54" s="3">
        <v>24</v>
      </c>
      <c r="H54" s="28">
        <f>G54*21</f>
        <v>504</v>
      </c>
      <c r="I54" s="82" t="b">
        <v>1</v>
      </c>
      <c r="J54" s="116">
        <f t="shared" si="10"/>
        <v>1</v>
      </c>
      <c r="K54" s="117">
        <v>504</v>
      </c>
      <c r="L54" s="22">
        <v>270</v>
      </c>
      <c r="M54" s="22"/>
      <c r="N54" s="22"/>
      <c r="O54" s="22"/>
      <c r="P54" s="23"/>
      <c r="Q54" s="23"/>
      <c r="R54" s="23"/>
      <c r="S54" s="23"/>
      <c r="T54" s="23"/>
      <c r="U54" s="19">
        <f t="shared" si="12"/>
        <v>774</v>
      </c>
      <c r="V54" s="128">
        <f t="shared" si="11"/>
        <v>1.5357142857142858</v>
      </c>
      <c r="X54" s="54"/>
      <c r="Y54" s="56"/>
      <c r="AA54" s="2"/>
      <c r="AB54" s="2" t="str">
        <f t="shared" si="5"/>
        <v/>
      </c>
      <c r="AC54" s="132" t="str">
        <f t="shared" si="3"/>
        <v/>
      </c>
    </row>
    <row r="55" spans="1:29" ht="15.75">
      <c r="A55" s="29" t="s">
        <v>159</v>
      </c>
      <c r="B55" s="3" t="s">
        <v>157</v>
      </c>
      <c r="C55" s="3" t="s">
        <v>126</v>
      </c>
      <c r="D55" s="3" t="s">
        <v>158</v>
      </c>
      <c r="E55" s="3" t="str">
        <f>IF(B55="","",IF(D55="Godfroy","Godfroy",(IF(LEFT(B55,1)="1","Hiwa","Direct"))))</f>
        <v>Direct</v>
      </c>
      <c r="F55" s="3" t="s">
        <v>128</v>
      </c>
      <c r="G55" s="3">
        <v>24</v>
      </c>
      <c r="H55" s="28">
        <f>G55*21</f>
        <v>504</v>
      </c>
      <c r="I55" s="82" t="b">
        <v>1</v>
      </c>
      <c r="J55" s="116">
        <f t="shared" si="10"/>
        <v>1</v>
      </c>
      <c r="K55" s="117">
        <v>504</v>
      </c>
      <c r="L55" s="22">
        <v>265</v>
      </c>
      <c r="M55" s="22"/>
      <c r="N55" s="22"/>
      <c r="O55" s="22"/>
      <c r="P55" s="23"/>
      <c r="Q55" s="23"/>
      <c r="R55" s="23"/>
      <c r="S55" s="23"/>
      <c r="T55" s="23"/>
      <c r="U55" s="19">
        <f t="shared" si="12"/>
        <v>769</v>
      </c>
      <c r="V55" s="128">
        <f t="shared" si="11"/>
        <v>1.5257936507936507</v>
      </c>
      <c r="X55" s="54"/>
      <c r="Y55" s="56"/>
      <c r="AA55" s="2"/>
      <c r="AB55" s="2" t="str">
        <f t="shared" si="5"/>
        <v/>
      </c>
      <c r="AC55" s="132" t="str">
        <f t="shared" si="3"/>
        <v/>
      </c>
    </row>
    <row r="56" spans="1:29" ht="15.75">
      <c r="A56" s="29" t="s">
        <v>160</v>
      </c>
      <c r="B56" s="3" t="s">
        <v>103</v>
      </c>
      <c r="C56" s="9" t="s">
        <v>62</v>
      </c>
      <c r="D56" s="3" t="s">
        <v>104</v>
      </c>
      <c r="E56" s="3" t="str">
        <f t="shared" ref="E56:E60" si="14">IF(B56="","",IF(D56="Godfroy","Godfroy",(IF(LEFT(B56,1)="1","Hiwa","Direct"))))</f>
        <v>Direct</v>
      </c>
      <c r="F56" s="10" t="s">
        <v>31</v>
      </c>
      <c r="G56" s="1">
        <f>3*112</f>
        <v>336</v>
      </c>
      <c r="H56" s="27">
        <f>G56*210</f>
        <v>70560</v>
      </c>
      <c r="I56" s="82" t="b">
        <v>1</v>
      </c>
      <c r="J56" s="116">
        <f t="shared" si="10"/>
        <v>1.3009999999999999</v>
      </c>
      <c r="K56" s="117">
        <v>91798.56</v>
      </c>
      <c r="L56" s="22">
        <v>0</v>
      </c>
      <c r="M56" s="22">
        <f>(2*34.69)+(2*63.45)</f>
        <v>196.28</v>
      </c>
      <c r="N56" s="22"/>
      <c r="O56" s="22"/>
      <c r="P56" s="23"/>
      <c r="Q56" s="23"/>
      <c r="R56" s="23"/>
      <c r="S56" s="23"/>
      <c r="T56" s="23"/>
      <c r="U56" s="19">
        <f t="shared" si="12"/>
        <v>91994.84</v>
      </c>
      <c r="V56" s="128">
        <f t="shared" si="11"/>
        <v>1.303781746031746</v>
      </c>
      <c r="X56" s="80" t="s">
        <v>162</v>
      </c>
      <c r="Y56" s="72">
        <v>45762</v>
      </c>
      <c r="AA56" s="2"/>
      <c r="AB56" s="2" t="str">
        <f t="shared" si="5"/>
        <v/>
      </c>
      <c r="AC56" s="132" t="str">
        <f t="shared" si="3"/>
        <v/>
      </c>
    </row>
    <row r="57" spans="1:29" ht="15.75">
      <c r="A57" s="29" t="s">
        <v>163</v>
      </c>
      <c r="B57" s="3" t="s">
        <v>106</v>
      </c>
      <c r="C57" s="3" t="s">
        <v>62</v>
      </c>
      <c r="D57" s="3" t="s">
        <v>104</v>
      </c>
      <c r="E57" s="3" t="str">
        <f t="shared" si="14"/>
        <v>Direct</v>
      </c>
      <c r="F57" s="3" t="s">
        <v>31</v>
      </c>
      <c r="G57" s="3">
        <f>5*112</f>
        <v>560</v>
      </c>
      <c r="H57" s="28">
        <f>G57*210</f>
        <v>117600</v>
      </c>
      <c r="I57" s="82" t="b">
        <v>1</v>
      </c>
      <c r="J57" s="116">
        <f t="shared" si="10"/>
        <v>1.34</v>
      </c>
      <c r="K57" s="117">
        <v>157584</v>
      </c>
      <c r="L57" s="22">
        <v>0</v>
      </c>
      <c r="M57" s="22">
        <f>(3*34.69)+(3*63.45)</f>
        <v>294.42</v>
      </c>
      <c r="N57" s="22"/>
      <c r="O57" s="22"/>
      <c r="P57" s="23"/>
      <c r="Q57" s="23"/>
      <c r="R57" s="23"/>
      <c r="S57" s="23"/>
      <c r="T57" s="23"/>
      <c r="U57" s="19">
        <f t="shared" si="12"/>
        <v>157878.42000000001</v>
      </c>
      <c r="V57" s="128">
        <f t="shared" si="11"/>
        <v>1.3425035714285716</v>
      </c>
      <c r="X57" s="80" t="s">
        <v>164</v>
      </c>
      <c r="Y57" s="72">
        <v>45762</v>
      </c>
      <c r="AA57" s="2"/>
      <c r="AB57" s="2" t="str">
        <f t="shared" si="5"/>
        <v/>
      </c>
      <c r="AC57" s="132" t="str">
        <f t="shared" si="3"/>
        <v/>
      </c>
    </row>
    <row r="58" spans="1:29" ht="15.75">
      <c r="A58" s="29" t="s">
        <v>165</v>
      </c>
      <c r="B58" s="3" t="s">
        <v>86</v>
      </c>
      <c r="C58" s="3" t="s">
        <v>80</v>
      </c>
      <c r="D58" s="13" t="s">
        <v>87</v>
      </c>
      <c r="E58" s="3" t="str">
        <f t="shared" si="14"/>
        <v>Direct</v>
      </c>
      <c r="F58" s="3" t="s">
        <v>46</v>
      </c>
      <c r="G58" s="3">
        <v>112</v>
      </c>
      <c r="H58" s="28">
        <v>24080</v>
      </c>
      <c r="I58" s="82" t="b">
        <v>1</v>
      </c>
      <c r="J58" s="116">
        <f t="shared" si="10"/>
        <v>1.5890613451589062</v>
      </c>
      <c r="K58" s="117">
        <f>41417.6/1.0824</f>
        <v>38264.597191426459</v>
      </c>
      <c r="L58" s="22"/>
      <c r="M58" s="22"/>
      <c r="N58" s="22"/>
      <c r="O58" s="22"/>
      <c r="P58" s="23"/>
      <c r="Q58" s="23"/>
      <c r="R58" s="23"/>
      <c r="S58" s="23"/>
      <c r="T58" s="23"/>
      <c r="U58" s="19">
        <f t="shared" si="12"/>
        <v>38264.597191426459</v>
      </c>
      <c r="V58" s="128">
        <f t="shared" si="11"/>
        <v>1.5890613451589062</v>
      </c>
      <c r="X58" s="54"/>
      <c r="Y58" s="56"/>
      <c r="AA58" s="2"/>
      <c r="AB58" s="2" t="str">
        <f t="shared" si="5"/>
        <v/>
      </c>
      <c r="AC58" s="132" t="str">
        <f t="shared" si="3"/>
        <v/>
      </c>
    </row>
    <row r="59" spans="1:29" ht="15.75">
      <c r="A59" s="29" t="s">
        <v>166</v>
      </c>
      <c r="B59" s="3" t="s">
        <v>89</v>
      </c>
      <c r="C59" s="9" t="s">
        <v>90</v>
      </c>
      <c r="D59" s="3" t="s">
        <v>30</v>
      </c>
      <c r="E59" s="3" t="str">
        <f t="shared" si="14"/>
        <v>Hiwa</v>
      </c>
      <c r="F59" s="10" t="s">
        <v>59</v>
      </c>
      <c r="G59" s="1">
        <v>512</v>
      </c>
      <c r="H59" s="27">
        <f>G59*205</f>
        <v>104960</v>
      </c>
      <c r="I59" s="82" t="b">
        <v>1</v>
      </c>
      <c r="J59" s="116">
        <f t="shared" si="10"/>
        <v>0.6509045659040873</v>
      </c>
      <c r="K59" s="117">
        <f>71372.8/1.0447</f>
        <v>68318.943237293002</v>
      </c>
      <c r="L59" s="22">
        <f>6184/1.0845</f>
        <v>5702.1668971876443</v>
      </c>
      <c r="M59" s="22">
        <v>6087.93</v>
      </c>
      <c r="N59" s="22"/>
      <c r="O59" s="22">
        <v>4996.12</v>
      </c>
      <c r="P59" s="23">
        <f>125.31</f>
        <v>125.31</v>
      </c>
      <c r="Q59" s="23">
        <f>4.73+4.73+4.73+4.73</f>
        <v>18.920000000000002</v>
      </c>
      <c r="R59" s="23">
        <f>(57.04*3)</f>
        <v>171.12</v>
      </c>
      <c r="S59" s="23"/>
      <c r="T59" s="23"/>
      <c r="U59" s="19">
        <f t="shared" si="12"/>
        <v>85249.390134480651</v>
      </c>
      <c r="V59" s="128">
        <f t="shared" si="11"/>
        <v>0.81220836637271965</v>
      </c>
      <c r="X59" s="80" t="s">
        <v>167</v>
      </c>
      <c r="Y59" s="72">
        <v>45750</v>
      </c>
      <c r="AA59" s="2">
        <v>128</v>
      </c>
      <c r="AB59" s="2">
        <f t="shared" si="5"/>
        <v>26240</v>
      </c>
      <c r="AC59" s="132">
        <f t="shared" si="3"/>
        <v>21312.347533620163</v>
      </c>
    </row>
    <row r="60" spans="1:29" ht="15.75">
      <c r="A60" s="29" t="s">
        <v>168</v>
      </c>
      <c r="B60" s="3" t="s">
        <v>89</v>
      </c>
      <c r="C60" s="9" t="s">
        <v>90</v>
      </c>
      <c r="D60" s="3" t="s">
        <v>30</v>
      </c>
      <c r="E60" s="3" t="str">
        <f t="shared" si="14"/>
        <v>Hiwa</v>
      </c>
      <c r="F60" s="10" t="s">
        <v>59</v>
      </c>
      <c r="G60" s="1">
        <v>256</v>
      </c>
      <c r="H60" s="27">
        <f>G60*205</f>
        <v>52480</v>
      </c>
      <c r="I60" s="82" t="b">
        <v>1</v>
      </c>
      <c r="J60" s="116">
        <f t="shared" si="10"/>
        <v>0.64972291228740686</v>
      </c>
      <c r="K60" s="117">
        <f>35686.4/1.0466</f>
        <v>34097.45843684311</v>
      </c>
      <c r="L60" s="22">
        <f>3092/1.0845</f>
        <v>2851.0834485938221</v>
      </c>
      <c r="M60" s="22"/>
      <c r="N60" s="22"/>
      <c r="O60" s="22">
        <v>2573.06</v>
      </c>
      <c r="P60" s="23">
        <f>125.31+125.31</f>
        <v>250.62</v>
      </c>
      <c r="Q60" s="23">
        <f>4.73+4.73</f>
        <v>9.4600000000000009</v>
      </c>
      <c r="R60" s="23"/>
      <c r="S60" s="23"/>
      <c r="T60" s="23"/>
      <c r="U60" s="19">
        <f t="shared" si="12"/>
        <v>39781.681885436934</v>
      </c>
      <c r="V60" s="128">
        <f t="shared" si="11"/>
        <v>0.75803509690238058</v>
      </c>
      <c r="X60" s="80" t="s">
        <v>169</v>
      </c>
      <c r="Y60" s="72">
        <v>45750</v>
      </c>
      <c r="AA60" s="2">
        <f>128+128</f>
        <v>256</v>
      </c>
      <c r="AB60" s="2">
        <f t="shared" si="5"/>
        <v>52480</v>
      </c>
      <c r="AC60" s="132">
        <f t="shared" si="3"/>
        <v>39781.681885436934</v>
      </c>
    </row>
    <row r="61" spans="1:29" ht="15.75">
      <c r="A61" s="29" t="s">
        <v>170</v>
      </c>
      <c r="B61" s="3" t="s">
        <v>171</v>
      </c>
      <c r="C61" s="3" t="s">
        <v>34</v>
      </c>
      <c r="D61" s="3" t="s">
        <v>172</v>
      </c>
      <c r="E61" s="3" t="s">
        <v>173</v>
      </c>
      <c r="F61" s="3" t="s">
        <v>36</v>
      </c>
      <c r="G61" s="3">
        <v>10</v>
      </c>
      <c r="H61" s="28">
        <v>250</v>
      </c>
      <c r="I61" s="82" t="b">
        <v>1</v>
      </c>
      <c r="J61" s="116">
        <f t="shared" si="10"/>
        <v>12.13</v>
      </c>
      <c r="K61" s="117">
        <v>3032.5</v>
      </c>
      <c r="L61" s="22">
        <f>180+(180*9%)</f>
        <v>196.2</v>
      </c>
      <c r="M61" s="22"/>
      <c r="N61" s="22"/>
      <c r="O61" s="22"/>
      <c r="P61" s="23"/>
      <c r="Q61" s="23"/>
      <c r="R61" s="23"/>
      <c r="S61" s="23"/>
      <c r="T61" s="23"/>
      <c r="U61" s="19">
        <f t="shared" si="12"/>
        <v>3228.7</v>
      </c>
      <c r="V61" s="128">
        <f t="shared" si="11"/>
        <v>12.9148</v>
      </c>
      <c r="X61" s="54"/>
      <c r="Y61" s="56"/>
      <c r="AA61" s="2"/>
      <c r="AB61" s="2" t="str">
        <f t="shared" si="5"/>
        <v/>
      </c>
      <c r="AC61" s="132" t="str">
        <f t="shared" si="3"/>
        <v/>
      </c>
    </row>
    <row r="62" spans="1:29" ht="15.75">
      <c r="A62" s="29" t="s">
        <v>174</v>
      </c>
      <c r="B62" s="3" t="s">
        <v>175</v>
      </c>
      <c r="C62" s="9" t="s">
        <v>176</v>
      </c>
      <c r="D62" s="3" t="s">
        <v>177</v>
      </c>
      <c r="E62" s="3" t="str">
        <f t="shared" ref="E62:E76" si="15">IF(B62="","",IF(D62="Godfroy","Godfroy",(IF(LEFT(B62,1)="1","Hiwa","Direct"))))</f>
        <v>Direct</v>
      </c>
      <c r="F62" s="10" t="s">
        <v>128</v>
      </c>
      <c r="G62" s="1">
        <v>14</v>
      </c>
      <c r="H62" s="27">
        <f>G62*24</f>
        <v>336</v>
      </c>
      <c r="I62" s="82" t="b">
        <v>1</v>
      </c>
      <c r="J62" s="116">
        <f>IF(H62="","",+K62/H62)</f>
        <v>2.2000000000000002</v>
      </c>
      <c r="K62" s="117">
        <v>739.2</v>
      </c>
      <c r="L62" s="22">
        <f>560*(14/(10+14))</f>
        <v>326.66666666666669</v>
      </c>
      <c r="M62" s="22"/>
      <c r="N62" s="22"/>
      <c r="O62" s="22"/>
      <c r="P62" s="23"/>
      <c r="Q62" s="23"/>
      <c r="R62" s="23"/>
      <c r="S62" s="23"/>
      <c r="T62" s="23"/>
      <c r="U62" s="19">
        <f>IF(B62="","",K62+SUM(L62:Q62))</f>
        <v>1065.8666666666668</v>
      </c>
      <c r="V62" s="128">
        <f>IF(J62="","",+U62/H62)</f>
        <v>3.1722222222222225</v>
      </c>
      <c r="X62" s="54"/>
      <c r="Y62" s="56"/>
      <c r="AA62" s="2"/>
      <c r="AB62" s="2" t="str">
        <f t="shared" si="5"/>
        <v/>
      </c>
      <c r="AC62" s="132" t="str">
        <f t="shared" si="3"/>
        <v/>
      </c>
    </row>
    <row r="63" spans="1:29" ht="15.75">
      <c r="A63" s="29" t="s">
        <v>178</v>
      </c>
      <c r="B63" s="3" t="s">
        <v>179</v>
      </c>
      <c r="C63" s="9" t="s">
        <v>176</v>
      </c>
      <c r="D63" s="3" t="s">
        <v>177</v>
      </c>
      <c r="E63" s="3" t="str">
        <f t="shared" si="15"/>
        <v>Direct</v>
      </c>
      <c r="F63" s="10" t="s">
        <v>128</v>
      </c>
      <c r="G63" s="1">
        <v>10</v>
      </c>
      <c r="H63" s="27">
        <f>G63*24</f>
        <v>240</v>
      </c>
      <c r="I63" s="82" t="b">
        <v>1</v>
      </c>
      <c r="J63" s="116">
        <f>IF(H63="","",+K63/H63)</f>
        <v>2.8</v>
      </c>
      <c r="K63" s="117">
        <v>672</v>
      </c>
      <c r="L63" s="22">
        <f>560*(10/(10+14))</f>
        <v>233.33333333333334</v>
      </c>
      <c r="M63" s="22"/>
      <c r="N63" s="22"/>
      <c r="O63" s="22"/>
      <c r="P63" s="23"/>
      <c r="Q63" s="23"/>
      <c r="R63" s="23"/>
      <c r="S63" s="23"/>
      <c r="T63" s="23"/>
      <c r="U63" s="19">
        <f>IF(B63="","",K63+SUM(L63:Q63))</f>
        <v>905.33333333333337</v>
      </c>
      <c r="V63" s="128">
        <f>IF(J63="","",+U63/H63)</f>
        <v>3.7722222222222226</v>
      </c>
      <c r="X63" s="54"/>
      <c r="Y63" s="56"/>
      <c r="AA63" s="2"/>
      <c r="AB63" s="2" t="str">
        <f t="shared" si="5"/>
        <v/>
      </c>
      <c r="AC63" s="132" t="str">
        <f t="shared" si="3"/>
        <v/>
      </c>
    </row>
    <row r="64" spans="1:29" ht="15.75">
      <c r="A64" s="29" t="s">
        <v>180</v>
      </c>
      <c r="B64" s="3" t="s">
        <v>103</v>
      </c>
      <c r="C64" s="9" t="s">
        <v>62</v>
      </c>
      <c r="D64" s="3" t="s">
        <v>177</v>
      </c>
      <c r="E64" s="3" t="str">
        <f t="shared" si="15"/>
        <v>Direct</v>
      </c>
      <c r="F64" s="10" t="s">
        <v>46</v>
      </c>
      <c r="G64" s="1">
        <v>112</v>
      </c>
      <c r="H64" s="27">
        <f>G64*210</f>
        <v>23520</v>
      </c>
      <c r="I64" s="82" t="b">
        <v>1</v>
      </c>
      <c r="J64" s="116">
        <f>IF(H64="","",+K64/H64)</f>
        <v>1.35</v>
      </c>
      <c r="K64" s="117">
        <v>31752</v>
      </c>
      <c r="L64" s="22">
        <v>2028.25</v>
      </c>
      <c r="M64" s="22"/>
      <c r="N64" s="22">
        <v>355</v>
      </c>
      <c r="O64" s="22"/>
      <c r="P64" s="23"/>
      <c r="Q64" s="23"/>
      <c r="R64" s="23"/>
      <c r="S64" s="23"/>
      <c r="T64" s="23"/>
      <c r="U64" s="19">
        <f>IF(B64="","",K64+SUM(L64:Q64))</f>
        <v>34135.25</v>
      </c>
      <c r="V64" s="128">
        <f>IF(J64="","",+U64/H64)</f>
        <v>1.4513286564625851</v>
      </c>
      <c r="X64" s="54"/>
      <c r="Y64" s="56"/>
      <c r="AA64" s="2"/>
      <c r="AB64" s="2" t="str">
        <f t="shared" si="5"/>
        <v/>
      </c>
      <c r="AC64" s="132" t="str">
        <f t="shared" si="3"/>
        <v/>
      </c>
    </row>
    <row r="65" spans="1:29" ht="15.75">
      <c r="A65" s="29" t="s">
        <v>181</v>
      </c>
      <c r="B65" s="3" t="s">
        <v>143</v>
      </c>
      <c r="C65" s="9" t="s">
        <v>119</v>
      </c>
      <c r="D65" s="3" t="s">
        <v>144</v>
      </c>
      <c r="E65" s="3" t="str">
        <f t="shared" si="15"/>
        <v>Direct</v>
      </c>
      <c r="F65" s="10" t="s">
        <v>121</v>
      </c>
      <c r="G65" s="1">
        <v>110</v>
      </c>
      <c r="H65" s="27">
        <v>1100</v>
      </c>
      <c r="I65" s="82" t="b">
        <v>1</v>
      </c>
      <c r="J65" s="116">
        <f t="shared" si="10"/>
        <v>1.085</v>
      </c>
      <c r="K65" s="117">
        <v>1193.5</v>
      </c>
      <c r="L65" s="22">
        <v>485</v>
      </c>
      <c r="M65" s="22"/>
      <c r="N65" s="22"/>
      <c r="O65" s="22"/>
      <c r="P65" s="23"/>
      <c r="Q65" s="23"/>
      <c r="R65" s="23"/>
      <c r="S65" s="23"/>
      <c r="T65" s="23"/>
      <c r="U65" s="19">
        <f t="shared" si="12"/>
        <v>1678.5</v>
      </c>
      <c r="V65" s="128">
        <f t="shared" si="11"/>
        <v>1.5259090909090909</v>
      </c>
      <c r="X65" s="54"/>
      <c r="Y65" s="56"/>
      <c r="AA65" s="2"/>
      <c r="AB65" s="2" t="str">
        <f t="shared" si="5"/>
        <v/>
      </c>
      <c r="AC65" s="132" t="str">
        <f t="shared" si="3"/>
        <v/>
      </c>
    </row>
    <row r="66" spans="1:29" ht="15.75">
      <c r="A66" s="29" t="s">
        <v>182</v>
      </c>
      <c r="B66" s="3" t="s">
        <v>183</v>
      </c>
      <c r="C66" s="3" t="s">
        <v>119</v>
      </c>
      <c r="D66" s="13" t="s">
        <v>184</v>
      </c>
      <c r="E66" s="3" t="str">
        <f t="shared" si="15"/>
        <v>Direct</v>
      </c>
      <c r="F66" s="3" t="s">
        <v>121</v>
      </c>
      <c r="G66" s="3">
        <v>4</v>
      </c>
      <c r="H66" s="28">
        <v>840</v>
      </c>
      <c r="I66" s="82" t="b">
        <v>1</v>
      </c>
      <c r="J66" s="116">
        <f t="shared" si="10"/>
        <v>2.1</v>
      </c>
      <c r="K66" s="117">
        <v>1764</v>
      </c>
      <c r="L66" s="22">
        <v>342.43</v>
      </c>
      <c r="M66" s="22"/>
      <c r="N66" s="22"/>
      <c r="O66" s="22"/>
      <c r="P66" s="23"/>
      <c r="Q66" s="23"/>
      <c r="R66" s="23"/>
      <c r="S66" s="23"/>
      <c r="T66" s="23"/>
      <c r="U66" s="19">
        <f t="shared" si="12"/>
        <v>2106.4299999999998</v>
      </c>
      <c r="V66" s="128">
        <f t="shared" si="11"/>
        <v>2.5076547619047616</v>
      </c>
      <c r="X66" s="54"/>
      <c r="Y66" s="56"/>
      <c r="AA66" s="2"/>
      <c r="AB66" s="2" t="str">
        <f t="shared" si="5"/>
        <v/>
      </c>
      <c r="AC66" s="132" t="str">
        <f t="shared" si="3"/>
        <v/>
      </c>
    </row>
    <row r="67" spans="1:29" s="98" customFormat="1" ht="15.75">
      <c r="A67" s="84" t="s">
        <v>185</v>
      </c>
      <c r="B67" s="85" t="s">
        <v>186</v>
      </c>
      <c r="C67" s="86" t="s">
        <v>29</v>
      </c>
      <c r="D67" s="87" t="s">
        <v>97</v>
      </c>
      <c r="E67" s="85" t="str">
        <f t="shared" si="15"/>
        <v>Direct</v>
      </c>
      <c r="F67" s="88" t="s">
        <v>46</v>
      </c>
      <c r="G67" s="89">
        <v>80</v>
      </c>
      <c r="H67" s="90">
        <f>G67*215</f>
        <v>17200</v>
      </c>
      <c r="I67" s="91" t="b">
        <v>0</v>
      </c>
      <c r="J67" s="120">
        <f t="shared" si="10"/>
        <v>0</v>
      </c>
      <c r="K67" s="121"/>
      <c r="L67" s="94"/>
      <c r="M67" s="94"/>
      <c r="N67" s="94"/>
      <c r="O67" s="94"/>
      <c r="P67" s="95"/>
      <c r="Q67" s="95"/>
      <c r="R67" s="95"/>
      <c r="S67" s="95"/>
      <c r="T67" s="95"/>
      <c r="U67" s="96">
        <f t="shared" si="12"/>
        <v>0</v>
      </c>
      <c r="V67" s="129">
        <f t="shared" si="11"/>
        <v>0</v>
      </c>
      <c r="X67" s="99"/>
      <c r="Y67" s="100"/>
      <c r="AA67" s="101"/>
      <c r="AB67" s="101" t="str">
        <f t="shared" si="5"/>
        <v/>
      </c>
      <c r="AC67" s="133" t="str">
        <f t="shared" ref="AC67:AC130" si="16">IF(AB67="","",AB67*V67)</f>
        <v/>
      </c>
    </row>
    <row r="68" spans="1:29" ht="15.75">
      <c r="A68" s="29" t="s">
        <v>187</v>
      </c>
      <c r="B68" s="3" t="s">
        <v>186</v>
      </c>
      <c r="C68" s="9" t="s">
        <v>29</v>
      </c>
      <c r="D68" s="3" t="s">
        <v>188</v>
      </c>
      <c r="E68" s="3" t="str">
        <f t="shared" si="15"/>
        <v>Direct</v>
      </c>
      <c r="F68" s="3" t="s">
        <v>46</v>
      </c>
      <c r="G68" s="3">
        <v>80</v>
      </c>
      <c r="H68" s="28">
        <v>17200</v>
      </c>
      <c r="I68" s="82" t="b">
        <v>1</v>
      </c>
      <c r="J68" s="116">
        <f t="shared" si="10"/>
        <v>0.94934398419549493</v>
      </c>
      <c r="K68" s="117">
        <f>17684/1.083</f>
        <v>16328.716528162513</v>
      </c>
      <c r="L68" s="22"/>
      <c r="M68" s="22"/>
      <c r="N68" s="22"/>
      <c r="O68" s="22"/>
      <c r="P68" s="23"/>
      <c r="Q68" s="23"/>
      <c r="R68" s="23"/>
      <c r="S68" s="23"/>
      <c r="T68" s="23"/>
      <c r="U68" s="19">
        <f t="shared" si="12"/>
        <v>16328.716528162513</v>
      </c>
      <c r="V68" s="128">
        <f t="shared" si="11"/>
        <v>0.94934398419549493</v>
      </c>
      <c r="X68" s="54"/>
      <c r="Y68" s="56"/>
      <c r="AA68" s="2"/>
      <c r="AB68" s="2" t="str">
        <f t="shared" ref="AB68:AB99" si="17">IF(AA68="","",AA68*(H68/G68))</f>
        <v/>
      </c>
      <c r="AC68" s="132" t="str">
        <f t="shared" si="16"/>
        <v/>
      </c>
    </row>
    <row r="69" spans="1:29" ht="15.75">
      <c r="A69" s="29" t="s">
        <v>189</v>
      </c>
      <c r="B69" s="3" t="s">
        <v>186</v>
      </c>
      <c r="C69" s="9" t="s">
        <v>29</v>
      </c>
      <c r="D69" s="3" t="s">
        <v>188</v>
      </c>
      <c r="E69" s="3" t="str">
        <f t="shared" si="15"/>
        <v>Direct</v>
      </c>
      <c r="F69" s="3" t="s">
        <v>46</v>
      </c>
      <c r="G69" s="3">
        <v>80</v>
      </c>
      <c r="H69" s="28">
        <v>17200</v>
      </c>
      <c r="I69" s="82" t="b">
        <v>0</v>
      </c>
      <c r="J69" s="116">
        <f t="shared" si="10"/>
        <v>0</v>
      </c>
      <c r="K69" s="117"/>
      <c r="L69" s="106"/>
      <c r="M69" s="22"/>
      <c r="N69" s="22"/>
      <c r="O69" s="22"/>
      <c r="P69" s="23"/>
      <c r="Q69" s="23"/>
      <c r="R69" s="23"/>
      <c r="S69" s="23"/>
      <c r="T69" s="23"/>
      <c r="U69" s="19">
        <f t="shared" si="12"/>
        <v>0</v>
      </c>
      <c r="V69" s="128">
        <f t="shared" si="11"/>
        <v>0</v>
      </c>
      <c r="X69" s="54"/>
      <c r="Y69" s="56"/>
      <c r="AA69" s="2"/>
      <c r="AB69" s="2" t="str">
        <f t="shared" si="17"/>
        <v/>
      </c>
      <c r="AC69" s="132" t="str">
        <f t="shared" si="16"/>
        <v/>
      </c>
    </row>
    <row r="70" spans="1:29" ht="15.75">
      <c r="A70" s="29" t="s">
        <v>190</v>
      </c>
      <c r="B70" s="3" t="s">
        <v>93</v>
      </c>
      <c r="C70" s="3" t="s">
        <v>90</v>
      </c>
      <c r="D70" s="3" t="s">
        <v>104</v>
      </c>
      <c r="E70" s="3" t="str">
        <f t="shared" si="15"/>
        <v>Direct</v>
      </c>
      <c r="F70" s="3" t="s">
        <v>46</v>
      </c>
      <c r="G70" s="3">
        <f>7*128</f>
        <v>896</v>
      </c>
      <c r="H70" s="28">
        <f>G70*205</f>
        <v>183680</v>
      </c>
      <c r="I70" s="82" t="b">
        <v>1</v>
      </c>
      <c r="J70" s="116">
        <f t="shared" si="10"/>
        <v>0.61366550650302254</v>
      </c>
      <c r="K70" s="117">
        <f>123065.6/1.0918</f>
        <v>112718.08023447517</v>
      </c>
      <c r="L70" s="22">
        <v>0</v>
      </c>
      <c r="M70" s="22"/>
      <c r="N70" s="22"/>
      <c r="O70" s="22"/>
      <c r="P70" s="23"/>
      <c r="Q70" s="23"/>
      <c r="R70" s="23"/>
      <c r="S70" s="23"/>
      <c r="T70" s="23"/>
      <c r="U70" s="19">
        <f t="shared" si="12"/>
        <v>112718.08023447517</v>
      </c>
      <c r="V70" s="128">
        <f t="shared" si="11"/>
        <v>0.61366550650302254</v>
      </c>
      <c r="X70" s="54"/>
      <c r="Y70" s="56"/>
      <c r="AA70" s="2"/>
      <c r="AB70" s="2" t="str">
        <f t="shared" si="17"/>
        <v/>
      </c>
      <c r="AC70" s="132" t="str">
        <f t="shared" si="16"/>
        <v/>
      </c>
    </row>
    <row r="71" spans="1:29" ht="15.75">
      <c r="A71" s="29" t="s">
        <v>191</v>
      </c>
      <c r="B71" s="3" t="s">
        <v>93</v>
      </c>
      <c r="C71" s="3" t="s">
        <v>90</v>
      </c>
      <c r="D71" s="3" t="s">
        <v>104</v>
      </c>
      <c r="E71" s="3" t="str">
        <f t="shared" si="15"/>
        <v>Direct</v>
      </c>
      <c r="F71" s="3" t="s">
        <v>46</v>
      </c>
      <c r="G71" s="3">
        <f>14*128</f>
        <v>1792</v>
      </c>
      <c r="H71" s="28">
        <f>G71*205</f>
        <v>367360</v>
      </c>
      <c r="I71" s="82" t="b">
        <v>0</v>
      </c>
      <c r="J71" s="116">
        <f t="shared" si="10"/>
        <v>0</v>
      </c>
      <c r="K71" s="117"/>
      <c r="L71" s="22">
        <v>0</v>
      </c>
      <c r="M71" s="22"/>
      <c r="N71" s="22"/>
      <c r="O71" s="22"/>
      <c r="P71" s="23"/>
      <c r="Q71" s="23"/>
      <c r="R71" s="23"/>
      <c r="S71" s="23"/>
      <c r="T71" s="23"/>
      <c r="U71" s="19">
        <f t="shared" si="12"/>
        <v>0</v>
      </c>
      <c r="V71" s="128">
        <f t="shared" si="11"/>
        <v>0</v>
      </c>
      <c r="X71" s="54"/>
      <c r="Y71" s="56"/>
      <c r="AA71" s="2"/>
      <c r="AB71" s="2" t="str">
        <f t="shared" si="17"/>
        <v/>
      </c>
      <c r="AC71" s="132" t="str">
        <f t="shared" si="16"/>
        <v/>
      </c>
    </row>
    <row r="72" spans="1:29" ht="15.75">
      <c r="A72" s="29" t="s">
        <v>192</v>
      </c>
      <c r="B72" s="3" t="s">
        <v>193</v>
      </c>
      <c r="C72" s="3" t="s">
        <v>34</v>
      </c>
      <c r="D72" s="3" t="s">
        <v>194</v>
      </c>
      <c r="E72" s="3" t="str">
        <f t="shared" si="15"/>
        <v>Direct</v>
      </c>
      <c r="F72" s="3" t="s">
        <v>36</v>
      </c>
      <c r="G72" s="3">
        <v>1</v>
      </c>
      <c r="H72" s="28">
        <v>20</v>
      </c>
      <c r="I72" s="82" t="b">
        <v>1</v>
      </c>
      <c r="J72" s="116">
        <f t="shared" si="10"/>
        <v>2.68</v>
      </c>
      <c r="K72" s="117">
        <v>53.6</v>
      </c>
      <c r="L72" s="22">
        <v>225</v>
      </c>
      <c r="M72" s="22"/>
      <c r="N72" s="22"/>
      <c r="O72" s="22"/>
      <c r="P72" s="23"/>
      <c r="Q72" s="23"/>
      <c r="R72" s="23"/>
      <c r="S72" s="23"/>
      <c r="T72" s="23"/>
      <c r="U72" s="19">
        <f t="shared" si="12"/>
        <v>278.60000000000002</v>
      </c>
      <c r="V72" s="128">
        <f t="shared" si="11"/>
        <v>13.930000000000001</v>
      </c>
      <c r="X72" s="54"/>
      <c r="Y72" s="56"/>
      <c r="AA72" s="2"/>
      <c r="AB72" s="2" t="str">
        <f t="shared" si="17"/>
        <v/>
      </c>
      <c r="AC72" s="132" t="str">
        <f t="shared" si="16"/>
        <v/>
      </c>
    </row>
    <row r="73" spans="1:29" ht="15.75">
      <c r="A73" s="29" t="s">
        <v>195</v>
      </c>
      <c r="B73" s="3" t="s">
        <v>196</v>
      </c>
      <c r="C73" s="9" t="s">
        <v>176</v>
      </c>
      <c r="D73" s="3" t="s">
        <v>197</v>
      </c>
      <c r="E73" s="3" t="str">
        <f t="shared" si="15"/>
        <v>Direct</v>
      </c>
      <c r="F73" s="10" t="s">
        <v>128</v>
      </c>
      <c r="G73" s="14">
        <v>96</v>
      </c>
      <c r="H73" s="81">
        <f>G73*24</f>
        <v>2304</v>
      </c>
      <c r="I73" s="82" t="b">
        <v>1</v>
      </c>
      <c r="J73" s="116">
        <f t="shared" si="10"/>
        <v>2.0999999999999996</v>
      </c>
      <c r="K73" s="117">
        <v>4838.3999999999996</v>
      </c>
      <c r="L73" s="22">
        <f>2*520</f>
        <v>1040</v>
      </c>
      <c r="M73" s="22"/>
      <c r="N73" s="22"/>
      <c r="O73" s="22"/>
      <c r="P73" s="23"/>
      <c r="Q73" s="23"/>
      <c r="R73" s="23"/>
      <c r="S73" s="23"/>
      <c r="T73" s="23"/>
      <c r="U73" s="19">
        <f t="shared" si="12"/>
        <v>5878.4</v>
      </c>
      <c r="V73" s="128">
        <f t="shared" si="11"/>
        <v>2.5513888888888889</v>
      </c>
      <c r="X73" s="54"/>
      <c r="Y73" s="56"/>
      <c r="AA73" s="2"/>
      <c r="AB73" s="2" t="str">
        <f t="shared" si="17"/>
        <v/>
      </c>
      <c r="AC73" s="132" t="str">
        <f t="shared" si="16"/>
        <v/>
      </c>
    </row>
    <row r="74" spans="1:29" ht="15.75">
      <c r="A74" s="29" t="s">
        <v>198</v>
      </c>
      <c r="B74" s="3" t="s">
        <v>132</v>
      </c>
      <c r="C74" s="3" t="s">
        <v>133</v>
      </c>
      <c r="D74" s="13" t="s">
        <v>134</v>
      </c>
      <c r="E74" s="3" t="str">
        <f t="shared" si="15"/>
        <v>Direct</v>
      </c>
      <c r="F74" s="3" t="s">
        <v>121</v>
      </c>
      <c r="G74" s="65">
        <v>32</v>
      </c>
      <c r="H74" s="53">
        <f>G74*220</f>
        <v>7040</v>
      </c>
      <c r="I74" s="82" t="b">
        <v>1</v>
      </c>
      <c r="J74" s="116">
        <f t="shared" si="10"/>
        <v>1.45</v>
      </c>
      <c r="K74" s="117">
        <v>10208</v>
      </c>
      <c r="L74" s="22">
        <f>950*(32/52)</f>
        <v>584.61538461538464</v>
      </c>
      <c r="M74" s="22"/>
      <c r="N74" s="22"/>
      <c r="O74" s="22"/>
      <c r="P74" s="23"/>
      <c r="Q74" s="23"/>
      <c r="R74" s="23"/>
      <c r="S74" s="23"/>
      <c r="T74" s="23"/>
      <c r="U74" s="19">
        <f t="shared" si="12"/>
        <v>10792.615384615385</v>
      </c>
      <c r="V74" s="128">
        <f t="shared" si="11"/>
        <v>1.5330419580419581</v>
      </c>
      <c r="X74" s="54"/>
      <c r="Y74" s="56"/>
      <c r="AA74" s="2"/>
      <c r="AB74" s="2" t="str">
        <f t="shared" si="17"/>
        <v/>
      </c>
      <c r="AC74" s="132" t="str">
        <f t="shared" si="16"/>
        <v/>
      </c>
    </row>
    <row r="75" spans="1:29" ht="15.75">
      <c r="A75" s="29" t="s">
        <v>199</v>
      </c>
      <c r="B75" s="3" t="s">
        <v>136</v>
      </c>
      <c r="C75" s="3" t="s">
        <v>133</v>
      </c>
      <c r="D75" s="13" t="s">
        <v>134</v>
      </c>
      <c r="E75" s="3" t="str">
        <f t="shared" si="15"/>
        <v>Direct</v>
      </c>
      <c r="F75" s="3" t="s">
        <v>121</v>
      </c>
      <c r="G75" s="65">
        <v>20</v>
      </c>
      <c r="H75" s="53">
        <f>G75*220</f>
        <v>4400</v>
      </c>
      <c r="I75" s="82" t="b">
        <v>1</v>
      </c>
      <c r="J75" s="116">
        <f t="shared" si="10"/>
        <v>1.24</v>
      </c>
      <c r="K75" s="117">
        <v>5456</v>
      </c>
      <c r="L75" s="22">
        <f>950*(20/52)</f>
        <v>365.38461538461542</v>
      </c>
      <c r="M75" s="22"/>
      <c r="N75" s="22"/>
      <c r="O75" s="22"/>
      <c r="P75" s="23"/>
      <c r="Q75" s="23"/>
      <c r="R75" s="23"/>
      <c r="S75" s="23"/>
      <c r="T75" s="23"/>
      <c r="U75" s="19">
        <f t="shared" si="12"/>
        <v>5821.3846153846152</v>
      </c>
      <c r="V75" s="128">
        <f t="shared" si="11"/>
        <v>1.3230419580419579</v>
      </c>
      <c r="X75" s="54"/>
      <c r="Y75" s="56"/>
      <c r="AA75" s="2"/>
      <c r="AB75" s="2" t="str">
        <f t="shared" si="17"/>
        <v/>
      </c>
      <c r="AC75" s="132" t="str">
        <f t="shared" si="16"/>
        <v/>
      </c>
    </row>
    <row r="76" spans="1:29" ht="15.75">
      <c r="A76" s="29" t="s">
        <v>200</v>
      </c>
      <c r="B76" s="3" t="s">
        <v>143</v>
      </c>
      <c r="C76" s="9" t="s">
        <v>119</v>
      </c>
      <c r="D76" s="3" t="s">
        <v>144</v>
      </c>
      <c r="E76" s="3" t="str">
        <f t="shared" si="15"/>
        <v>Direct</v>
      </c>
      <c r="F76" s="10" t="s">
        <v>121</v>
      </c>
      <c r="G76" s="1">
        <v>110</v>
      </c>
      <c r="H76" s="27">
        <v>1100</v>
      </c>
      <c r="I76" s="82" t="b">
        <v>1</v>
      </c>
      <c r="J76" s="116">
        <f t="shared" si="10"/>
        <v>1.085</v>
      </c>
      <c r="K76" s="117">
        <v>1193.5</v>
      </c>
      <c r="L76" s="22"/>
      <c r="M76" s="22"/>
      <c r="N76" s="22"/>
      <c r="O76" s="22"/>
      <c r="P76" s="23"/>
      <c r="Q76" s="23"/>
      <c r="R76" s="23"/>
      <c r="S76" s="23"/>
      <c r="T76" s="23"/>
      <c r="U76" s="19">
        <f t="shared" si="12"/>
        <v>1193.5</v>
      </c>
      <c r="V76" s="128">
        <f t="shared" si="11"/>
        <v>1.085</v>
      </c>
      <c r="X76" s="54"/>
      <c r="Y76" s="56"/>
      <c r="AA76" s="2"/>
      <c r="AB76" s="2" t="str">
        <f t="shared" si="17"/>
        <v/>
      </c>
      <c r="AC76" s="132" t="str">
        <f t="shared" si="16"/>
        <v/>
      </c>
    </row>
    <row r="77" spans="1:29" ht="15.75">
      <c r="A77" s="29" t="s">
        <v>201</v>
      </c>
      <c r="B77" s="3" t="s">
        <v>193</v>
      </c>
      <c r="C77" s="3" t="s">
        <v>34</v>
      </c>
      <c r="D77" s="3" t="s">
        <v>194</v>
      </c>
      <c r="E77" s="3" t="str">
        <f>IF(B77="","",IF(D77="Godfroy","Godfroy",(IF(LEFT(B77,1)="1","Hiwa","Direct"))))</f>
        <v>Direct</v>
      </c>
      <c r="F77" s="3" t="s">
        <v>36</v>
      </c>
      <c r="G77" s="3">
        <v>1</v>
      </c>
      <c r="H77" s="28">
        <v>20</v>
      </c>
      <c r="I77" s="82" t="b">
        <v>1</v>
      </c>
      <c r="J77" s="116">
        <f t="shared" si="10"/>
        <v>2.68</v>
      </c>
      <c r="K77" s="117">
        <v>53.6</v>
      </c>
      <c r="L77" s="22">
        <v>46</v>
      </c>
      <c r="M77" s="22"/>
      <c r="N77" s="22"/>
      <c r="O77" s="22"/>
      <c r="P77" s="23"/>
      <c r="Q77" s="23"/>
      <c r="R77" s="23"/>
      <c r="S77" s="23"/>
      <c r="T77" s="23"/>
      <c r="U77" s="19">
        <f t="shared" si="12"/>
        <v>99.6</v>
      </c>
      <c r="V77" s="128">
        <f t="shared" si="11"/>
        <v>4.9799999999999995</v>
      </c>
      <c r="X77" s="54"/>
      <c r="Y77" s="56"/>
      <c r="AA77" s="2"/>
      <c r="AB77" s="2" t="str">
        <f t="shared" si="17"/>
        <v/>
      </c>
      <c r="AC77" s="132" t="str">
        <f t="shared" si="16"/>
        <v/>
      </c>
    </row>
    <row r="78" spans="1:29" ht="15.75">
      <c r="A78" s="29" t="s">
        <v>202</v>
      </c>
      <c r="B78" s="3" t="s">
        <v>377</v>
      </c>
      <c r="C78" s="3" t="s">
        <v>126</v>
      </c>
      <c r="D78" s="3" t="s">
        <v>127</v>
      </c>
      <c r="E78" s="3" t="str">
        <f>IF(B78="","",IF(D78="Godfroy","Godfroy",(IF(LEFT(B78,1)="1","Hiwa","Direct"))))</f>
        <v>Direct</v>
      </c>
      <c r="F78" s="3" t="s">
        <v>128</v>
      </c>
      <c r="G78" s="3">
        <v>4</v>
      </c>
      <c r="H78" s="28">
        <v>880</v>
      </c>
      <c r="I78" s="82" t="b">
        <v>1</v>
      </c>
      <c r="J78" s="116">
        <f t="shared" si="10"/>
        <v>0.95</v>
      </c>
      <c r="K78" s="117">
        <v>836</v>
      </c>
      <c r="L78" s="22">
        <v>181</v>
      </c>
      <c r="M78" s="22"/>
      <c r="N78" s="22"/>
      <c r="O78" s="22"/>
      <c r="P78" s="23"/>
      <c r="Q78" s="23"/>
      <c r="R78" s="23"/>
      <c r="S78" s="23"/>
      <c r="T78" s="23"/>
      <c r="U78" s="19">
        <f t="shared" si="12"/>
        <v>1017</v>
      </c>
      <c r="V78" s="128">
        <f t="shared" si="11"/>
        <v>1.1556818181818183</v>
      </c>
      <c r="X78" s="54"/>
      <c r="Y78" s="56"/>
      <c r="AA78" s="2"/>
      <c r="AB78" s="2" t="str">
        <f t="shared" si="17"/>
        <v/>
      </c>
      <c r="AC78" s="132" t="str">
        <f t="shared" si="16"/>
        <v/>
      </c>
    </row>
    <row r="79" spans="1:29" ht="15.75">
      <c r="A79" s="29" t="s">
        <v>203</v>
      </c>
      <c r="B79" s="3" t="s">
        <v>123</v>
      </c>
      <c r="C79" s="9" t="s">
        <v>52</v>
      </c>
      <c r="D79" s="13" t="s">
        <v>30</v>
      </c>
      <c r="E79" s="3" t="str">
        <f t="shared" ref="E79:E92" si="18">IF(B79="","",IF(D79="Godfroy","Godfroy",(IF(LEFT(B79,1)="1","Hiwa","Direct"))))</f>
        <v>Hiwa</v>
      </c>
      <c r="F79" s="3" t="s">
        <v>46</v>
      </c>
      <c r="G79" s="1">
        <v>80</v>
      </c>
      <c r="H79" s="27">
        <v>16800</v>
      </c>
      <c r="I79" s="82" t="b">
        <v>0</v>
      </c>
      <c r="J79" s="116">
        <f t="shared" si="10"/>
        <v>0</v>
      </c>
      <c r="K79" s="122"/>
      <c r="L79" s="22"/>
      <c r="M79" s="22"/>
      <c r="N79" s="22"/>
      <c r="O79" s="22"/>
      <c r="P79" s="23"/>
      <c r="Q79" s="23"/>
      <c r="R79" s="23"/>
      <c r="S79" s="23"/>
      <c r="T79" s="23"/>
      <c r="U79" s="19">
        <f t="shared" si="12"/>
        <v>0</v>
      </c>
      <c r="V79" s="128">
        <f t="shared" si="11"/>
        <v>0</v>
      </c>
      <c r="X79" s="54"/>
      <c r="Y79" s="56"/>
      <c r="AA79" s="2"/>
      <c r="AB79" s="2" t="str">
        <f t="shared" si="17"/>
        <v/>
      </c>
      <c r="AC79" s="132" t="str">
        <f t="shared" si="16"/>
        <v/>
      </c>
    </row>
    <row r="80" spans="1:29" ht="15.75">
      <c r="A80" s="29" t="s">
        <v>204</v>
      </c>
      <c r="B80" s="3" t="s">
        <v>89</v>
      </c>
      <c r="C80" s="9" t="s">
        <v>90</v>
      </c>
      <c r="D80" s="3" t="s">
        <v>30</v>
      </c>
      <c r="E80" s="3" t="str">
        <f t="shared" si="18"/>
        <v>Hiwa</v>
      </c>
      <c r="F80" s="10" t="s">
        <v>59</v>
      </c>
      <c r="G80" s="1">
        <v>512</v>
      </c>
      <c r="H80" s="27">
        <f t="shared" ref="H80:H81" si="19">G80*205</f>
        <v>104960</v>
      </c>
      <c r="I80" s="82" t="b">
        <v>1</v>
      </c>
      <c r="J80" s="116">
        <f t="shared" si="10"/>
        <v>0.62945478107932984</v>
      </c>
      <c r="K80" s="123">
        <f>71372.8/1.0803</f>
        <v>66067.573822086459</v>
      </c>
      <c r="L80" s="22">
        <f>6184/1.1324</f>
        <v>5460.9678558813139</v>
      </c>
      <c r="M80" s="22"/>
      <c r="N80" s="22"/>
      <c r="O80" s="22"/>
      <c r="P80" s="23"/>
      <c r="Q80" s="23"/>
      <c r="R80" s="23"/>
      <c r="S80" s="23"/>
      <c r="T80" s="23"/>
      <c r="U80" s="19">
        <f t="shared" si="12"/>
        <v>71528.541677967776</v>
      </c>
      <c r="V80" s="128">
        <f t="shared" si="11"/>
        <v>0.68148381934039426</v>
      </c>
      <c r="X80" s="80"/>
      <c r="Y80" s="72"/>
      <c r="AA80" s="2"/>
      <c r="AB80" s="2" t="str">
        <f t="shared" si="17"/>
        <v/>
      </c>
      <c r="AC80" s="132" t="str">
        <f t="shared" si="16"/>
        <v/>
      </c>
    </row>
    <row r="81" spans="1:29" ht="15.75">
      <c r="A81" s="29" t="s">
        <v>206</v>
      </c>
      <c r="B81" s="3" t="s">
        <v>89</v>
      </c>
      <c r="C81" s="9" t="s">
        <v>90</v>
      </c>
      <c r="D81" s="3" t="s">
        <v>30</v>
      </c>
      <c r="E81" s="3" t="str">
        <f t="shared" si="18"/>
        <v>Hiwa</v>
      </c>
      <c r="F81" s="10" t="s">
        <v>59</v>
      </c>
      <c r="G81" s="1">
        <v>512</v>
      </c>
      <c r="H81" s="27">
        <f t="shared" si="19"/>
        <v>104960</v>
      </c>
      <c r="I81" s="82" t="b">
        <v>0</v>
      </c>
      <c r="J81" s="116">
        <f t="shared" si="10"/>
        <v>0</v>
      </c>
      <c r="K81" s="122"/>
      <c r="L81" s="17"/>
      <c r="M81" s="22"/>
      <c r="N81" s="22"/>
      <c r="O81" s="22"/>
      <c r="P81" s="22"/>
      <c r="Q81" s="23"/>
      <c r="R81" s="23"/>
      <c r="S81" s="23"/>
      <c r="T81" s="23"/>
      <c r="U81" s="19">
        <f t="shared" si="12"/>
        <v>0</v>
      </c>
      <c r="V81" s="128">
        <f t="shared" si="11"/>
        <v>0</v>
      </c>
      <c r="X81" s="80"/>
      <c r="Y81" s="72"/>
      <c r="AA81" s="2"/>
      <c r="AB81" s="2" t="str">
        <f t="shared" si="17"/>
        <v/>
      </c>
      <c r="AC81" s="132" t="str">
        <f t="shared" si="16"/>
        <v/>
      </c>
    </row>
    <row r="82" spans="1:29" ht="15.75">
      <c r="A82" s="29" t="s">
        <v>208</v>
      </c>
      <c r="B82" s="3" t="s">
        <v>106</v>
      </c>
      <c r="C82" s="3" t="s">
        <v>62</v>
      </c>
      <c r="D82" s="3" t="s">
        <v>104</v>
      </c>
      <c r="E82" s="3" t="str">
        <f t="shared" si="18"/>
        <v>Direct</v>
      </c>
      <c r="F82" s="3" t="s">
        <v>31</v>
      </c>
      <c r="G82" s="3">
        <f>(4*112)+(2*114)</f>
        <v>676</v>
      </c>
      <c r="H82" s="28">
        <f>G82*210</f>
        <v>141960</v>
      </c>
      <c r="I82" s="82" t="b">
        <v>1</v>
      </c>
      <c r="J82" s="116">
        <f t="shared" si="10"/>
        <v>1.3399999999999999</v>
      </c>
      <c r="K82" s="123">
        <v>190226.4</v>
      </c>
      <c r="L82" s="22">
        <v>0</v>
      </c>
      <c r="M82" s="22"/>
      <c r="N82" s="22"/>
      <c r="O82" s="22"/>
      <c r="P82" s="23"/>
      <c r="Q82" s="23"/>
      <c r="R82" s="23"/>
      <c r="S82" s="23"/>
      <c r="T82" s="23"/>
      <c r="U82" s="19">
        <f t="shared" si="12"/>
        <v>190226.4</v>
      </c>
      <c r="V82" s="128">
        <f t="shared" si="11"/>
        <v>1.3399999999999999</v>
      </c>
      <c r="X82" s="80"/>
      <c r="Y82" s="56"/>
      <c r="AA82" s="2"/>
      <c r="AB82" s="2" t="str">
        <f t="shared" si="17"/>
        <v/>
      </c>
      <c r="AC82" s="132" t="str">
        <f t="shared" si="16"/>
        <v/>
      </c>
    </row>
    <row r="83" spans="1:29" ht="15.75">
      <c r="A83" s="29" t="s">
        <v>210</v>
      </c>
      <c r="B83" s="3" t="s">
        <v>93</v>
      </c>
      <c r="C83" s="3" t="s">
        <v>90</v>
      </c>
      <c r="D83" s="3" t="s">
        <v>112</v>
      </c>
      <c r="E83" s="3" t="str">
        <f t="shared" si="18"/>
        <v>Direct</v>
      </c>
      <c r="F83" s="3" t="s">
        <v>59</v>
      </c>
      <c r="G83" s="3">
        <v>112</v>
      </c>
      <c r="H83" s="28">
        <f>G83*205</f>
        <v>22960</v>
      </c>
      <c r="I83" s="82" t="b">
        <v>1</v>
      </c>
      <c r="J83" s="116">
        <f t="shared" si="10"/>
        <v>0.631402331331685</v>
      </c>
      <c r="K83" s="122">
        <f>16416.4/1.1324</f>
        <v>14496.997527375486</v>
      </c>
      <c r="L83" s="22">
        <f>1868/1.1376</f>
        <v>1642.0534458509144</v>
      </c>
      <c r="M83" s="22"/>
      <c r="N83" s="22"/>
      <c r="O83" s="22"/>
      <c r="P83" s="23"/>
      <c r="Q83" s="23"/>
      <c r="R83" s="23"/>
      <c r="S83" s="23"/>
      <c r="T83" s="23"/>
      <c r="U83" s="19">
        <f t="shared" si="12"/>
        <v>16139.0509732264</v>
      </c>
      <c r="V83" s="128">
        <f t="shared" si="11"/>
        <v>0.70292033855515679</v>
      </c>
      <c r="X83" s="54"/>
      <c r="Y83" s="56"/>
      <c r="AA83" s="2"/>
      <c r="AB83" s="2" t="str">
        <f t="shared" si="17"/>
        <v/>
      </c>
      <c r="AC83" s="132" t="str">
        <f t="shared" si="16"/>
        <v/>
      </c>
    </row>
    <row r="84" spans="1:29" ht="15.75">
      <c r="A84" s="29" t="s">
        <v>211</v>
      </c>
      <c r="B84" s="3" t="s">
        <v>93</v>
      </c>
      <c r="C84" s="3" t="s">
        <v>90</v>
      </c>
      <c r="D84" s="3" t="s">
        <v>112</v>
      </c>
      <c r="E84" s="3" t="str">
        <f t="shared" si="18"/>
        <v>Direct</v>
      </c>
      <c r="F84" s="3" t="s">
        <v>59</v>
      </c>
      <c r="G84" s="3">
        <v>112</v>
      </c>
      <c r="H84" s="28">
        <f>G84*205</f>
        <v>22960</v>
      </c>
      <c r="I84" s="82" t="b">
        <v>0</v>
      </c>
      <c r="J84" s="116">
        <f t="shared" si="10"/>
        <v>0</v>
      </c>
      <c r="K84" s="122"/>
      <c r="L84" s="22"/>
      <c r="M84" s="22"/>
      <c r="N84" s="22"/>
      <c r="O84" s="22"/>
      <c r="P84" s="23"/>
      <c r="Q84" s="23"/>
      <c r="R84" s="23"/>
      <c r="S84" s="23"/>
      <c r="T84" s="23"/>
      <c r="U84" s="19">
        <f t="shared" si="12"/>
        <v>0</v>
      </c>
      <c r="V84" s="128">
        <f t="shared" si="11"/>
        <v>0</v>
      </c>
      <c r="X84" s="54"/>
      <c r="Y84" s="56"/>
      <c r="AA84" s="2"/>
      <c r="AB84" s="2" t="str">
        <f t="shared" si="17"/>
        <v/>
      </c>
      <c r="AC84" s="132" t="str">
        <f t="shared" si="16"/>
        <v/>
      </c>
    </row>
    <row r="85" spans="1:29" ht="15.75">
      <c r="A85" s="29" t="s">
        <v>212</v>
      </c>
      <c r="B85" s="3" t="s">
        <v>143</v>
      </c>
      <c r="C85" s="9" t="s">
        <v>119</v>
      </c>
      <c r="D85" s="3" t="s">
        <v>144</v>
      </c>
      <c r="E85" s="3" t="str">
        <f t="shared" si="18"/>
        <v>Direct</v>
      </c>
      <c r="F85" s="10" t="s">
        <v>121</v>
      </c>
      <c r="G85" s="1">
        <v>110</v>
      </c>
      <c r="H85" s="27">
        <v>1100</v>
      </c>
      <c r="I85" s="82" t="b">
        <v>0</v>
      </c>
      <c r="J85" s="116">
        <f t="shared" si="10"/>
        <v>0</v>
      </c>
      <c r="K85" s="117"/>
      <c r="L85" s="22"/>
      <c r="M85" s="22"/>
      <c r="N85" s="22"/>
      <c r="O85" s="22"/>
      <c r="P85" s="23"/>
      <c r="Q85" s="23"/>
      <c r="R85" s="23"/>
      <c r="S85" s="23"/>
      <c r="T85" s="23"/>
      <c r="U85" s="19">
        <f t="shared" si="12"/>
        <v>0</v>
      </c>
      <c r="V85" s="128">
        <f t="shared" si="11"/>
        <v>0</v>
      </c>
      <c r="X85" s="54"/>
      <c r="Y85" s="56"/>
      <c r="AA85" s="2"/>
      <c r="AB85" s="2" t="str">
        <f t="shared" si="17"/>
        <v/>
      </c>
      <c r="AC85" s="132" t="str">
        <f t="shared" si="16"/>
        <v/>
      </c>
    </row>
    <row r="86" spans="1:29" ht="15.75">
      <c r="A86" s="29" t="s">
        <v>213</v>
      </c>
      <c r="B86" s="3" t="s">
        <v>214</v>
      </c>
      <c r="C86" s="9" t="s">
        <v>119</v>
      </c>
      <c r="D86" s="3" t="s">
        <v>215</v>
      </c>
      <c r="E86" s="3" t="str">
        <f t="shared" si="18"/>
        <v>Direct</v>
      </c>
      <c r="F86" s="10" t="s">
        <v>121</v>
      </c>
      <c r="G86" s="1">
        <v>4</v>
      </c>
      <c r="H86" s="27">
        <f>+G86*200</f>
        <v>800</v>
      </c>
      <c r="I86" s="82" t="b">
        <v>1</v>
      </c>
      <c r="J86" s="116">
        <f t="shared" si="10"/>
        <v>1.73</v>
      </c>
      <c r="K86" s="117">
        <v>1384</v>
      </c>
      <c r="L86" s="22">
        <v>260</v>
      </c>
      <c r="M86" s="22"/>
      <c r="N86" s="22"/>
      <c r="O86" s="22"/>
      <c r="P86" s="23"/>
      <c r="Q86" s="23"/>
      <c r="R86" s="23"/>
      <c r="S86" s="23"/>
      <c r="T86" s="23"/>
      <c r="U86" s="19">
        <f t="shared" si="12"/>
        <v>1644</v>
      </c>
      <c r="V86" s="128">
        <f t="shared" si="11"/>
        <v>2.0550000000000002</v>
      </c>
      <c r="X86" s="54"/>
      <c r="Y86" s="56"/>
      <c r="AA86" s="2"/>
      <c r="AB86" s="2" t="str">
        <f t="shared" si="17"/>
        <v/>
      </c>
      <c r="AC86" s="132" t="str">
        <f t="shared" si="16"/>
        <v/>
      </c>
    </row>
    <row r="87" spans="1:29" ht="15.75">
      <c r="A87" s="29" t="s">
        <v>216</v>
      </c>
      <c r="B87" s="3" t="s">
        <v>217</v>
      </c>
      <c r="C87" s="9" t="s">
        <v>119</v>
      </c>
      <c r="D87" s="3" t="s">
        <v>215</v>
      </c>
      <c r="E87" s="3" t="str">
        <f t="shared" si="18"/>
        <v>Direct</v>
      </c>
      <c r="F87" s="10" t="s">
        <v>121</v>
      </c>
      <c r="G87" s="1">
        <v>7</v>
      </c>
      <c r="H87" s="27">
        <f>+G87*5</f>
        <v>35</v>
      </c>
      <c r="I87" s="82" t="b">
        <v>1</v>
      </c>
      <c r="J87" s="116">
        <f t="shared" si="10"/>
        <v>4.7</v>
      </c>
      <c r="K87" s="117">
        <v>164.5</v>
      </c>
      <c r="L87" s="22">
        <v>0</v>
      </c>
      <c r="M87" s="22"/>
      <c r="N87" s="22"/>
      <c r="O87" s="22"/>
      <c r="P87" s="23"/>
      <c r="Q87" s="23"/>
      <c r="R87" s="23"/>
      <c r="S87" s="23"/>
      <c r="T87" s="23"/>
      <c r="U87" s="19">
        <f>IF(B87="","",K87+SUM(L87:Q87))</f>
        <v>164.5</v>
      </c>
      <c r="V87" s="128">
        <f t="shared" si="11"/>
        <v>4.7</v>
      </c>
      <c r="X87" s="54"/>
      <c r="Y87" s="56"/>
      <c r="AA87" s="2"/>
      <c r="AB87" s="2" t="str">
        <f t="shared" si="17"/>
        <v/>
      </c>
      <c r="AC87" s="132" t="str">
        <f t="shared" si="16"/>
        <v/>
      </c>
    </row>
    <row r="88" spans="1:29" ht="15.75">
      <c r="A88" s="29" t="s">
        <v>218</v>
      </c>
      <c r="B88" s="3" t="s">
        <v>93</v>
      </c>
      <c r="C88" s="3" t="s">
        <v>90</v>
      </c>
      <c r="D88" s="3" t="s">
        <v>104</v>
      </c>
      <c r="E88" s="3" t="str">
        <f t="shared" si="18"/>
        <v>Direct</v>
      </c>
      <c r="F88" s="3" t="s">
        <v>46</v>
      </c>
      <c r="G88" s="3">
        <f>7*128</f>
        <v>896</v>
      </c>
      <c r="H88" s="28">
        <f>G88*205</f>
        <v>183680</v>
      </c>
      <c r="I88" s="82" t="b">
        <v>1</v>
      </c>
      <c r="J88" s="116">
        <f t="shared" si="10"/>
        <v>0.60595098127882796</v>
      </c>
      <c r="K88" s="117">
        <f>123065.6/1.1057</f>
        <v>111301.07624129512</v>
      </c>
      <c r="L88" s="22">
        <v>0</v>
      </c>
      <c r="M88" s="22"/>
      <c r="N88" s="22"/>
      <c r="O88" s="22"/>
      <c r="P88" s="23"/>
      <c r="Q88" s="23"/>
      <c r="R88" s="23"/>
      <c r="S88" s="23"/>
      <c r="T88" s="23"/>
      <c r="U88" s="19">
        <f t="shared" si="12"/>
        <v>111301.07624129512</v>
      </c>
      <c r="V88" s="128">
        <f t="shared" si="11"/>
        <v>0.60595098127882796</v>
      </c>
      <c r="X88" s="54"/>
      <c r="Y88" s="56"/>
      <c r="AA88" s="2"/>
      <c r="AB88" s="2" t="str">
        <f t="shared" si="17"/>
        <v/>
      </c>
      <c r="AC88" s="132" t="str">
        <f t="shared" si="16"/>
        <v/>
      </c>
    </row>
    <row r="89" spans="1:29" ht="15.75">
      <c r="A89" s="29" t="s">
        <v>219</v>
      </c>
      <c r="B89" s="3" t="s">
        <v>93</v>
      </c>
      <c r="C89" s="3" t="s">
        <v>90</v>
      </c>
      <c r="D89" s="3" t="s">
        <v>104</v>
      </c>
      <c r="E89" s="3" t="str">
        <f t="shared" si="18"/>
        <v>Direct</v>
      </c>
      <c r="F89" s="3" t="s">
        <v>46</v>
      </c>
      <c r="G89" s="3">
        <f>1*128</f>
        <v>128</v>
      </c>
      <c r="H89" s="28">
        <f>G89*205</f>
        <v>26240</v>
      </c>
      <c r="I89" s="82" t="b">
        <v>0</v>
      </c>
      <c r="J89" s="116">
        <f t="shared" si="10"/>
        <v>0</v>
      </c>
      <c r="K89" s="124"/>
      <c r="L89" s="22">
        <v>0</v>
      </c>
      <c r="M89" s="22"/>
      <c r="N89" s="22"/>
      <c r="O89" s="22"/>
      <c r="P89" s="23"/>
      <c r="Q89" s="23"/>
      <c r="R89" s="23"/>
      <c r="S89" s="23"/>
      <c r="T89" s="23"/>
      <c r="U89" s="19">
        <f t="shared" si="12"/>
        <v>0</v>
      </c>
      <c r="V89" s="128">
        <f t="shared" si="11"/>
        <v>0</v>
      </c>
      <c r="X89" s="54"/>
      <c r="Y89" s="56"/>
      <c r="AA89" s="2"/>
      <c r="AB89" s="2" t="str">
        <f t="shared" si="17"/>
        <v/>
      </c>
      <c r="AC89" s="132" t="str">
        <f t="shared" si="16"/>
        <v/>
      </c>
    </row>
    <row r="90" spans="1:29" ht="15.75">
      <c r="A90" s="29" t="s">
        <v>220</v>
      </c>
      <c r="B90" s="3" t="s">
        <v>186</v>
      </c>
      <c r="C90" s="9" t="s">
        <v>29</v>
      </c>
      <c r="D90" s="3" t="s">
        <v>112</v>
      </c>
      <c r="E90" s="3" t="str">
        <f t="shared" si="18"/>
        <v>Direct</v>
      </c>
      <c r="F90" s="3" t="s">
        <v>46</v>
      </c>
      <c r="G90" s="3">
        <f>2*80</f>
        <v>160</v>
      </c>
      <c r="H90" s="28">
        <f>G90*215</f>
        <v>34400</v>
      </c>
      <c r="I90" s="82" t="b">
        <v>0</v>
      </c>
      <c r="J90" s="116">
        <f t="shared" si="10"/>
        <v>0</v>
      </c>
      <c r="K90" s="124"/>
      <c r="L90" s="106"/>
      <c r="M90" s="22"/>
      <c r="N90" s="22"/>
      <c r="O90" s="22"/>
      <c r="P90" s="23"/>
      <c r="Q90" s="23"/>
      <c r="R90" s="23"/>
      <c r="S90" s="23"/>
      <c r="T90" s="23"/>
      <c r="U90" s="19">
        <f t="shared" si="12"/>
        <v>0</v>
      </c>
      <c r="V90" s="128">
        <f t="shared" si="11"/>
        <v>0</v>
      </c>
      <c r="X90" s="54"/>
      <c r="Y90" s="56"/>
      <c r="AA90" s="2"/>
      <c r="AB90" s="2" t="str">
        <f t="shared" si="17"/>
        <v/>
      </c>
      <c r="AC90" s="132" t="str">
        <f t="shared" si="16"/>
        <v/>
      </c>
    </row>
    <row r="91" spans="1:29" ht="15.75">
      <c r="A91" s="29" t="s">
        <v>221</v>
      </c>
      <c r="B91" s="3" t="s">
        <v>132</v>
      </c>
      <c r="C91" s="3" t="s">
        <v>133</v>
      </c>
      <c r="D91" s="3" t="s">
        <v>222</v>
      </c>
      <c r="E91" s="3" t="str">
        <f t="shared" si="18"/>
        <v>Direct</v>
      </c>
      <c r="F91" s="3" t="s">
        <v>121</v>
      </c>
      <c r="G91" s="3">
        <v>4</v>
      </c>
      <c r="H91" s="28">
        <f>G91*220</f>
        <v>880</v>
      </c>
      <c r="I91" s="82" t="b">
        <v>0</v>
      </c>
      <c r="J91" s="116">
        <f t="shared" si="10"/>
        <v>0</v>
      </c>
      <c r="K91" s="124"/>
      <c r="L91" s="22"/>
      <c r="M91" s="22"/>
      <c r="N91" s="22"/>
      <c r="O91" s="22"/>
      <c r="P91" s="23"/>
      <c r="Q91" s="23"/>
      <c r="R91" s="23"/>
      <c r="S91" s="23"/>
      <c r="T91" s="23"/>
      <c r="U91" s="19">
        <f t="shared" si="12"/>
        <v>0</v>
      </c>
      <c r="V91" s="128">
        <f t="shared" si="11"/>
        <v>0</v>
      </c>
      <c r="X91" s="54"/>
      <c r="Y91" s="56"/>
      <c r="AA91" s="2"/>
      <c r="AB91" s="2" t="str">
        <f t="shared" si="17"/>
        <v/>
      </c>
      <c r="AC91" s="132" t="str">
        <f t="shared" si="16"/>
        <v/>
      </c>
    </row>
    <row r="92" spans="1:29" ht="15.75">
      <c r="A92" s="29" t="s">
        <v>223</v>
      </c>
      <c r="B92" s="3" t="s">
        <v>224</v>
      </c>
      <c r="C92" s="3" t="s">
        <v>133</v>
      </c>
      <c r="D92" s="3" t="s">
        <v>222</v>
      </c>
      <c r="E92" s="3" t="str">
        <f t="shared" si="18"/>
        <v>Direct</v>
      </c>
      <c r="F92" s="3" t="s">
        <v>121</v>
      </c>
      <c r="G92" s="3">
        <v>4</v>
      </c>
      <c r="H92" s="28">
        <v>4000</v>
      </c>
      <c r="I92" s="82" t="b">
        <v>0</v>
      </c>
      <c r="J92" s="116">
        <f t="shared" si="10"/>
        <v>0</v>
      </c>
      <c r="K92" s="124"/>
      <c r="L92" s="22"/>
      <c r="M92" s="22"/>
      <c r="N92" s="22"/>
      <c r="O92" s="22"/>
      <c r="P92" s="23"/>
      <c r="Q92" s="23"/>
      <c r="R92" s="23"/>
      <c r="S92" s="23"/>
      <c r="T92" s="23"/>
      <c r="U92" s="19">
        <f t="shared" si="12"/>
        <v>0</v>
      </c>
      <c r="V92" s="128">
        <f t="shared" si="11"/>
        <v>0</v>
      </c>
      <c r="X92" s="54"/>
      <c r="Y92" s="56"/>
      <c r="AA92" s="2"/>
      <c r="AB92" s="2" t="str">
        <f t="shared" si="17"/>
        <v/>
      </c>
      <c r="AC92" s="132" t="str">
        <f t="shared" si="16"/>
        <v/>
      </c>
    </row>
    <row r="93" spans="1:29" ht="15.75">
      <c r="A93" s="29" t="s">
        <v>225</v>
      </c>
      <c r="B93" s="3" t="s">
        <v>157</v>
      </c>
      <c r="C93" s="3" t="s">
        <v>126</v>
      </c>
      <c r="D93" s="3" t="s">
        <v>226</v>
      </c>
      <c r="E93" s="3" t="str">
        <f>IF(B93="","",IF(D93="Godfroy","Godfroy",(IF(LEFT(B93,1)="1","Hiwa","Direct"))))</f>
        <v>Direct</v>
      </c>
      <c r="F93" s="3" t="s">
        <v>128</v>
      </c>
      <c r="G93" s="3">
        <v>10</v>
      </c>
      <c r="H93" s="28">
        <f>G93*21</f>
        <v>210</v>
      </c>
      <c r="I93" s="82" t="b">
        <v>1</v>
      </c>
      <c r="J93" s="116">
        <f t="shared" si="10"/>
        <v>1</v>
      </c>
      <c r="K93" s="124">
        <v>210</v>
      </c>
      <c r="L93" s="22"/>
      <c r="M93" s="22"/>
      <c r="N93" s="22"/>
      <c r="O93" s="22"/>
      <c r="P93" s="23"/>
      <c r="Q93" s="23"/>
      <c r="R93" s="23"/>
      <c r="S93" s="23"/>
      <c r="T93" s="23"/>
      <c r="U93" s="19">
        <f t="shared" si="12"/>
        <v>210</v>
      </c>
      <c r="V93" s="128">
        <f t="shared" si="11"/>
        <v>1</v>
      </c>
      <c r="X93" s="54"/>
      <c r="Y93" s="56"/>
      <c r="AA93" s="2"/>
      <c r="AB93" s="2" t="str">
        <f t="shared" si="17"/>
        <v/>
      </c>
      <c r="AC93" s="132" t="str">
        <f t="shared" si="16"/>
        <v/>
      </c>
    </row>
    <row r="94" spans="1:29" ht="15.75">
      <c r="A94" s="29" t="s">
        <v>227</v>
      </c>
      <c r="B94" s="3" t="s">
        <v>57</v>
      </c>
      <c r="C94" s="3" t="s">
        <v>58</v>
      </c>
      <c r="D94" s="3" t="s">
        <v>73</v>
      </c>
      <c r="E94" s="3" t="str">
        <f t="shared" ref="E94:E98" si="20">IF(B94="","",IF(D94="Godfroy","Godfroy",(IF(LEFT(B94,1)="1","Hiwa","Direct"))))</f>
        <v>Hiwa</v>
      </c>
      <c r="F94" s="3" t="s">
        <v>59</v>
      </c>
      <c r="G94" s="3">
        <v>140</v>
      </c>
      <c r="H94" s="28">
        <f>G94*190</f>
        <v>26600</v>
      </c>
      <c r="I94" s="82" t="b">
        <v>0</v>
      </c>
      <c r="J94" s="116">
        <f t="shared" si="10"/>
        <v>0</v>
      </c>
      <c r="K94" s="124"/>
      <c r="L94" s="22"/>
      <c r="M94" s="22"/>
      <c r="N94" s="22"/>
      <c r="O94" s="22"/>
      <c r="P94" s="23"/>
      <c r="Q94" s="23"/>
      <c r="R94" s="23"/>
      <c r="S94" s="23"/>
      <c r="T94" s="23"/>
      <c r="U94" s="19">
        <f t="shared" si="12"/>
        <v>0</v>
      </c>
      <c r="V94" s="128">
        <f t="shared" si="11"/>
        <v>0</v>
      </c>
      <c r="X94" s="54"/>
      <c r="Y94" s="56"/>
      <c r="AA94" s="2"/>
      <c r="AB94" s="2" t="str">
        <f t="shared" si="17"/>
        <v/>
      </c>
      <c r="AC94" s="132" t="str">
        <f t="shared" si="16"/>
        <v/>
      </c>
    </row>
    <row r="95" spans="1:29" ht="15.75">
      <c r="A95" s="29" t="s">
        <v>228</v>
      </c>
      <c r="B95" s="3" t="s">
        <v>57</v>
      </c>
      <c r="C95" s="3" t="s">
        <v>229</v>
      </c>
      <c r="D95" s="3" t="s">
        <v>73</v>
      </c>
      <c r="E95" s="3" t="str">
        <f t="shared" si="20"/>
        <v>Hiwa</v>
      </c>
      <c r="F95" s="3" t="s">
        <v>59</v>
      </c>
      <c r="G95" s="3">
        <v>140</v>
      </c>
      <c r="H95" s="28">
        <f>G95*190</f>
        <v>26600</v>
      </c>
      <c r="I95" s="82" t="b">
        <v>0</v>
      </c>
      <c r="J95" s="116">
        <f t="shared" si="10"/>
        <v>0</v>
      </c>
      <c r="K95" s="124"/>
      <c r="L95" s="22"/>
      <c r="M95" s="22"/>
      <c r="N95" s="22"/>
      <c r="O95" s="22"/>
      <c r="P95" s="23"/>
      <c r="Q95" s="23"/>
      <c r="R95" s="23"/>
      <c r="S95" s="23"/>
      <c r="T95" s="23"/>
      <c r="U95" s="19">
        <f t="shared" si="12"/>
        <v>0</v>
      </c>
      <c r="V95" s="128">
        <f t="shared" si="11"/>
        <v>0</v>
      </c>
      <c r="X95" s="54"/>
      <c r="Y95" s="56"/>
      <c r="AA95" s="2"/>
      <c r="AB95" s="2" t="str">
        <f t="shared" si="17"/>
        <v/>
      </c>
      <c r="AC95" s="132" t="str">
        <f t="shared" si="16"/>
        <v/>
      </c>
    </row>
    <row r="96" spans="1:29" ht="15.75">
      <c r="A96" s="29" t="s">
        <v>230</v>
      </c>
      <c r="B96" s="3" t="s">
        <v>82</v>
      </c>
      <c r="C96" s="3" t="s">
        <v>83</v>
      </c>
      <c r="D96" s="3" t="s">
        <v>73</v>
      </c>
      <c r="E96" s="3" t="str">
        <f t="shared" si="20"/>
        <v>Hiwa</v>
      </c>
      <c r="F96" s="3" t="s">
        <v>59</v>
      </c>
      <c r="G96" s="3">
        <v>128</v>
      </c>
      <c r="H96" s="28">
        <f>G96*204</f>
        <v>26112</v>
      </c>
      <c r="I96" s="82" t="b">
        <v>0</v>
      </c>
      <c r="J96" s="116">
        <f t="shared" si="10"/>
        <v>0</v>
      </c>
      <c r="K96" s="124"/>
      <c r="L96" s="22"/>
      <c r="M96" s="22"/>
      <c r="N96" s="22"/>
      <c r="O96" s="22"/>
      <c r="P96" s="23"/>
      <c r="Q96" s="23"/>
      <c r="R96" s="23"/>
      <c r="S96" s="23"/>
      <c r="T96" s="23"/>
      <c r="U96" s="19">
        <f t="shared" si="12"/>
        <v>0</v>
      </c>
      <c r="V96" s="128">
        <f t="shared" si="11"/>
        <v>0</v>
      </c>
      <c r="X96" s="54"/>
      <c r="Y96" s="72"/>
      <c r="AA96" s="2"/>
      <c r="AB96" s="2" t="str">
        <f t="shared" si="17"/>
        <v/>
      </c>
      <c r="AC96" s="132" t="str">
        <f t="shared" si="16"/>
        <v/>
      </c>
    </row>
    <row r="97" spans="1:29" ht="15.75">
      <c r="A97" s="29" t="s">
        <v>231</v>
      </c>
      <c r="B97" s="3" t="s">
        <v>82</v>
      </c>
      <c r="C97" s="3" t="s">
        <v>83</v>
      </c>
      <c r="D97" s="3" t="s">
        <v>73</v>
      </c>
      <c r="E97" s="3" t="str">
        <f t="shared" si="20"/>
        <v>Hiwa</v>
      </c>
      <c r="F97" s="3" t="s">
        <v>59</v>
      </c>
      <c r="G97" s="3">
        <v>128</v>
      </c>
      <c r="H97" s="28">
        <f>G97*204</f>
        <v>26112</v>
      </c>
      <c r="I97" s="82" t="b">
        <v>0</v>
      </c>
      <c r="J97" s="116">
        <f t="shared" si="10"/>
        <v>0</v>
      </c>
      <c r="K97" s="124"/>
      <c r="L97" s="22"/>
      <c r="M97" s="22"/>
      <c r="N97" s="22"/>
      <c r="O97" s="22"/>
      <c r="P97" s="23"/>
      <c r="Q97" s="23"/>
      <c r="R97" s="23"/>
      <c r="S97" s="23"/>
      <c r="T97" s="23"/>
      <c r="U97" s="19">
        <f t="shared" si="12"/>
        <v>0</v>
      </c>
      <c r="V97" s="128">
        <f t="shared" si="11"/>
        <v>0</v>
      </c>
      <c r="X97" s="54"/>
      <c r="Y97" s="56"/>
      <c r="AA97" s="2"/>
      <c r="AB97" s="2" t="str">
        <f t="shared" si="17"/>
        <v/>
      </c>
      <c r="AC97" s="132" t="str">
        <f t="shared" si="16"/>
        <v/>
      </c>
    </row>
    <row r="98" spans="1:29" ht="15.75">
      <c r="A98" s="29" t="s">
        <v>232</v>
      </c>
      <c r="B98" s="3" t="s">
        <v>143</v>
      </c>
      <c r="C98" s="9" t="s">
        <v>119</v>
      </c>
      <c r="D98" s="3" t="s">
        <v>144</v>
      </c>
      <c r="E98" s="3" t="str">
        <f t="shared" si="20"/>
        <v>Direct</v>
      </c>
      <c r="F98" s="10" t="s">
        <v>121</v>
      </c>
      <c r="G98" s="1">
        <v>110</v>
      </c>
      <c r="H98" s="27">
        <v>1100</v>
      </c>
      <c r="I98" s="82" t="b">
        <v>0</v>
      </c>
      <c r="J98" s="116">
        <f t="shared" si="10"/>
        <v>0</v>
      </c>
      <c r="K98" s="124"/>
      <c r="L98" s="22"/>
      <c r="M98" s="22"/>
      <c r="N98" s="22"/>
      <c r="O98" s="22"/>
      <c r="P98" s="23"/>
      <c r="Q98" s="23"/>
      <c r="R98" s="23"/>
      <c r="S98" s="23"/>
      <c r="T98" s="23"/>
      <c r="U98" s="19">
        <f t="shared" si="12"/>
        <v>0</v>
      </c>
      <c r="V98" s="128">
        <f t="shared" si="11"/>
        <v>0</v>
      </c>
      <c r="X98" s="54"/>
      <c r="Y98" s="56"/>
      <c r="AA98" s="2"/>
      <c r="AB98" s="2" t="str">
        <f t="shared" si="17"/>
        <v/>
      </c>
      <c r="AC98" s="132" t="str">
        <f t="shared" si="16"/>
        <v/>
      </c>
    </row>
    <row r="99" spans="1:29" ht="15.75">
      <c r="A99" s="29" t="s">
        <v>233</v>
      </c>
      <c r="B99" s="3"/>
      <c r="C99" s="3"/>
      <c r="D99" s="3"/>
      <c r="E99" s="3"/>
      <c r="F99" s="3"/>
      <c r="G99" s="3"/>
      <c r="H99" s="28"/>
      <c r="I99" s="82" t="b">
        <v>0</v>
      </c>
      <c r="J99" s="116" t="str">
        <f t="shared" si="10"/>
        <v/>
      </c>
      <c r="K99" s="124"/>
      <c r="L99" s="22"/>
      <c r="M99" s="22"/>
      <c r="N99" s="22"/>
      <c r="O99" s="22"/>
      <c r="P99" s="23"/>
      <c r="Q99" s="23"/>
      <c r="R99" s="23"/>
      <c r="S99" s="23"/>
      <c r="T99" s="23"/>
      <c r="U99" s="19" t="str">
        <f t="shared" si="12"/>
        <v/>
      </c>
      <c r="V99" s="128" t="str">
        <f t="shared" si="11"/>
        <v/>
      </c>
      <c r="X99" s="54"/>
      <c r="Y99" s="56"/>
      <c r="AA99" s="2"/>
      <c r="AB99" s="2" t="str">
        <f t="shared" si="17"/>
        <v/>
      </c>
      <c r="AC99" s="132" t="str">
        <f t="shared" si="16"/>
        <v/>
      </c>
    </row>
    <row r="100" spans="1:29" ht="15.75">
      <c r="A100" s="29" t="s">
        <v>236</v>
      </c>
      <c r="B100" s="3"/>
      <c r="C100" s="3"/>
      <c r="D100" s="3"/>
      <c r="E100" s="3"/>
      <c r="F100" s="3"/>
      <c r="G100" s="3"/>
      <c r="H100" s="28"/>
      <c r="I100" s="82" t="b">
        <v>0</v>
      </c>
      <c r="J100" s="116" t="str">
        <f t="shared" si="10"/>
        <v/>
      </c>
      <c r="K100" s="124"/>
      <c r="L100" s="22"/>
      <c r="M100" s="22"/>
      <c r="N100" s="22"/>
      <c r="O100" s="22"/>
      <c r="P100" s="23"/>
      <c r="Q100" s="23"/>
      <c r="R100" s="23"/>
      <c r="S100" s="23"/>
      <c r="T100" s="23"/>
      <c r="U100" s="19" t="str">
        <f t="shared" si="12"/>
        <v/>
      </c>
      <c r="V100" s="128" t="str">
        <f t="shared" si="11"/>
        <v/>
      </c>
      <c r="X100" s="54"/>
      <c r="Y100" s="56"/>
      <c r="AA100" s="2"/>
      <c r="AB100" s="2"/>
      <c r="AC100" s="132" t="str">
        <f t="shared" si="16"/>
        <v/>
      </c>
    </row>
    <row r="101" spans="1:29" ht="16.5" customHeight="1">
      <c r="A101" s="29" t="s">
        <v>237</v>
      </c>
      <c r="B101" s="3"/>
      <c r="C101" s="3"/>
      <c r="D101" s="3"/>
      <c r="E101" s="3"/>
      <c r="F101" s="3"/>
      <c r="G101" s="3"/>
      <c r="H101" s="28"/>
      <c r="I101" s="82" t="b">
        <v>0</v>
      </c>
      <c r="J101" s="116" t="str">
        <f t="shared" si="10"/>
        <v/>
      </c>
      <c r="K101" s="124"/>
      <c r="L101" s="22"/>
      <c r="M101" s="22"/>
      <c r="N101" s="22"/>
      <c r="O101" s="22"/>
      <c r="P101" s="23"/>
      <c r="Q101" s="23"/>
      <c r="R101" s="23"/>
      <c r="S101" s="23"/>
      <c r="T101" s="23"/>
      <c r="U101" s="19" t="str">
        <f t="shared" si="12"/>
        <v/>
      </c>
      <c r="V101" s="128" t="str">
        <f t="shared" si="11"/>
        <v/>
      </c>
      <c r="X101" s="54"/>
      <c r="Y101" s="56"/>
      <c r="AA101" s="2"/>
      <c r="AB101" s="2"/>
      <c r="AC101" s="132" t="str">
        <f t="shared" si="16"/>
        <v/>
      </c>
    </row>
    <row r="102" spans="1:29" ht="15.75">
      <c r="A102" s="29" t="s">
        <v>238</v>
      </c>
      <c r="B102" s="3"/>
      <c r="C102" s="3"/>
      <c r="D102" s="3"/>
      <c r="E102" s="3"/>
      <c r="F102" s="3"/>
      <c r="G102" s="3"/>
      <c r="H102" s="28"/>
      <c r="I102" s="82" t="b">
        <v>0</v>
      </c>
      <c r="J102" s="116" t="str">
        <f t="shared" si="10"/>
        <v/>
      </c>
      <c r="K102" s="124"/>
      <c r="L102" s="22"/>
      <c r="M102" s="22"/>
      <c r="N102" s="22"/>
      <c r="O102" s="22"/>
      <c r="P102" s="23"/>
      <c r="Q102" s="23"/>
      <c r="R102" s="23"/>
      <c r="S102" s="23"/>
      <c r="T102" s="23"/>
      <c r="U102" s="19" t="str">
        <f t="shared" si="12"/>
        <v/>
      </c>
      <c r="V102" s="128" t="str">
        <f t="shared" si="11"/>
        <v/>
      </c>
      <c r="X102" s="54"/>
      <c r="Y102" s="56"/>
      <c r="AA102" s="2"/>
      <c r="AB102" s="2"/>
      <c r="AC102" s="132" t="str">
        <f t="shared" si="16"/>
        <v/>
      </c>
    </row>
    <row r="103" spans="1:29" ht="15.75">
      <c r="A103" s="29" t="s">
        <v>242</v>
      </c>
      <c r="B103" s="3"/>
      <c r="C103" s="9"/>
      <c r="D103" s="3"/>
      <c r="E103" s="3"/>
      <c r="F103" s="3"/>
      <c r="G103" s="3"/>
      <c r="H103" s="28"/>
      <c r="I103" s="82" t="b">
        <v>0</v>
      </c>
      <c r="J103" s="116" t="str">
        <f t="shared" si="10"/>
        <v/>
      </c>
      <c r="K103" s="124"/>
      <c r="L103" s="106"/>
      <c r="M103" s="22"/>
      <c r="N103" s="22"/>
      <c r="O103" s="22"/>
      <c r="P103" s="23"/>
      <c r="Q103" s="23"/>
      <c r="R103" s="23"/>
      <c r="S103" s="23"/>
      <c r="T103" s="23"/>
      <c r="U103" s="19" t="str">
        <f t="shared" si="12"/>
        <v/>
      </c>
      <c r="V103" s="128" t="str">
        <f t="shared" si="11"/>
        <v/>
      </c>
      <c r="X103" s="54"/>
      <c r="Y103" s="56"/>
      <c r="AA103" s="2"/>
      <c r="AB103" s="2"/>
      <c r="AC103" s="132" t="str">
        <f t="shared" si="16"/>
        <v/>
      </c>
    </row>
    <row r="104" spans="1:29" ht="15.75">
      <c r="A104" s="29" t="s">
        <v>243</v>
      </c>
      <c r="B104" s="3"/>
      <c r="C104" s="9"/>
      <c r="D104" s="3"/>
      <c r="E104" s="3"/>
      <c r="F104" s="10"/>
      <c r="G104" s="1"/>
      <c r="H104" s="27"/>
      <c r="I104" s="82" t="b">
        <v>0</v>
      </c>
      <c r="J104" s="116" t="str">
        <f t="shared" si="10"/>
        <v/>
      </c>
      <c r="K104" s="124"/>
      <c r="L104" s="22"/>
      <c r="M104" s="22"/>
      <c r="N104" s="22"/>
      <c r="O104" s="22"/>
      <c r="P104" s="23"/>
      <c r="Q104" s="23"/>
      <c r="R104" s="23"/>
      <c r="S104" s="23"/>
      <c r="T104" s="23"/>
      <c r="U104" s="19" t="str">
        <f t="shared" si="12"/>
        <v/>
      </c>
      <c r="V104" s="128" t="str">
        <f t="shared" si="11"/>
        <v/>
      </c>
      <c r="X104" s="54"/>
      <c r="Y104" s="56"/>
      <c r="AA104" s="2"/>
      <c r="AB104" s="2"/>
      <c r="AC104" s="132" t="str">
        <f t="shared" si="16"/>
        <v/>
      </c>
    </row>
    <row r="105" spans="1:29" ht="15.75">
      <c r="A105" s="29" t="s">
        <v>244</v>
      </c>
      <c r="B105" s="3"/>
      <c r="C105" s="9"/>
      <c r="D105" s="3"/>
      <c r="E105" s="3"/>
      <c r="F105" s="3"/>
      <c r="G105" s="3"/>
      <c r="H105" s="28"/>
      <c r="I105" s="82" t="b">
        <v>0</v>
      </c>
      <c r="J105" s="116" t="str">
        <f t="shared" si="10"/>
        <v/>
      </c>
      <c r="K105" s="124"/>
      <c r="L105" s="22"/>
      <c r="M105" s="22"/>
      <c r="N105" s="22"/>
      <c r="O105" s="22"/>
      <c r="P105" s="23"/>
      <c r="Q105" s="23"/>
      <c r="R105" s="23"/>
      <c r="S105" s="23"/>
      <c r="T105" s="23"/>
      <c r="U105" s="19" t="str">
        <f t="shared" si="12"/>
        <v/>
      </c>
      <c r="V105" s="128" t="str">
        <f t="shared" si="11"/>
        <v/>
      </c>
      <c r="X105" s="54"/>
      <c r="Y105" s="56"/>
      <c r="AA105" s="2"/>
      <c r="AB105" s="2"/>
      <c r="AC105" s="132" t="str">
        <f t="shared" si="16"/>
        <v/>
      </c>
    </row>
    <row r="106" spans="1:29" ht="15.75">
      <c r="A106" s="29" t="s">
        <v>245</v>
      </c>
      <c r="B106" s="3"/>
      <c r="C106" s="3"/>
      <c r="D106" s="3"/>
      <c r="E106" s="3"/>
      <c r="F106" s="3"/>
      <c r="G106" s="3"/>
      <c r="H106" s="28"/>
      <c r="I106" s="82" t="b">
        <v>0</v>
      </c>
      <c r="J106" s="116" t="str">
        <f t="shared" ref="J106:J145" si="21">IF(H106="","",+K106/H106)</f>
        <v/>
      </c>
      <c r="K106" s="124"/>
      <c r="L106" s="22"/>
      <c r="M106" s="22"/>
      <c r="N106" s="22"/>
      <c r="O106" s="22"/>
      <c r="P106" s="23"/>
      <c r="Q106" s="23"/>
      <c r="R106" s="23"/>
      <c r="S106" s="23"/>
      <c r="T106" s="23"/>
      <c r="U106" s="19" t="str">
        <f t="shared" si="12"/>
        <v/>
      </c>
      <c r="V106" s="128" t="str">
        <f t="shared" ref="V106:V146" si="22">IF(J106="","",+U106/H106)</f>
        <v/>
      </c>
      <c r="X106" s="54"/>
      <c r="Y106" s="56"/>
      <c r="AA106" s="2"/>
      <c r="AB106" s="2"/>
      <c r="AC106" s="132" t="str">
        <f t="shared" si="16"/>
        <v/>
      </c>
    </row>
    <row r="107" spans="1:29" ht="15.75">
      <c r="A107" s="29" t="s">
        <v>248</v>
      </c>
      <c r="B107" s="3"/>
      <c r="C107" s="9"/>
      <c r="D107" s="3"/>
      <c r="E107" s="3"/>
      <c r="F107" s="3"/>
      <c r="G107" s="3"/>
      <c r="H107" s="28"/>
      <c r="I107" s="82" t="b">
        <v>0</v>
      </c>
      <c r="J107" s="116" t="str">
        <f t="shared" si="21"/>
        <v/>
      </c>
      <c r="K107" s="124"/>
      <c r="L107" s="22"/>
      <c r="M107" s="22"/>
      <c r="N107" s="22"/>
      <c r="O107" s="22"/>
      <c r="P107" s="23"/>
      <c r="Q107" s="23"/>
      <c r="R107" s="23"/>
      <c r="S107" s="23"/>
      <c r="T107" s="23"/>
      <c r="U107" s="19" t="str">
        <f t="shared" si="12"/>
        <v/>
      </c>
      <c r="V107" s="128" t="str">
        <f t="shared" si="22"/>
        <v/>
      </c>
      <c r="X107" s="54"/>
      <c r="Y107" s="56"/>
      <c r="AA107" s="2"/>
      <c r="AB107" s="2"/>
      <c r="AC107" s="132" t="str">
        <f t="shared" si="16"/>
        <v/>
      </c>
    </row>
    <row r="108" spans="1:29" ht="15.75">
      <c r="A108" s="29" t="s">
        <v>249</v>
      </c>
      <c r="B108" s="3"/>
      <c r="C108" s="3"/>
      <c r="D108" s="3"/>
      <c r="E108" s="3"/>
      <c r="F108" s="3"/>
      <c r="G108" s="3"/>
      <c r="H108" s="28"/>
      <c r="I108" s="82" t="b">
        <v>0</v>
      </c>
      <c r="J108" s="116" t="str">
        <f t="shared" si="21"/>
        <v/>
      </c>
      <c r="K108" s="124"/>
      <c r="L108" s="22"/>
      <c r="M108" s="22"/>
      <c r="N108" s="22"/>
      <c r="O108" s="22"/>
      <c r="P108" s="23"/>
      <c r="Q108" s="23"/>
      <c r="R108" s="23"/>
      <c r="S108" s="23"/>
      <c r="T108" s="23"/>
      <c r="U108" s="19" t="str">
        <f t="shared" si="12"/>
        <v/>
      </c>
      <c r="V108" s="128" t="str">
        <f t="shared" si="22"/>
        <v/>
      </c>
      <c r="X108" s="54"/>
      <c r="Y108" s="56"/>
      <c r="AA108" s="2"/>
      <c r="AB108" s="2"/>
      <c r="AC108" s="132" t="str">
        <f t="shared" si="16"/>
        <v/>
      </c>
    </row>
    <row r="109" spans="1:29" ht="15.75">
      <c r="A109" s="29" t="s">
        <v>250</v>
      </c>
      <c r="B109" s="3"/>
      <c r="C109" s="9"/>
      <c r="D109" s="3"/>
      <c r="E109" s="3"/>
      <c r="F109" s="10"/>
      <c r="G109" s="1"/>
      <c r="H109" s="27"/>
      <c r="I109" s="82" t="b">
        <v>0</v>
      </c>
      <c r="J109" s="116" t="str">
        <f t="shared" si="21"/>
        <v/>
      </c>
      <c r="K109" s="124"/>
      <c r="L109" s="22"/>
      <c r="M109" s="22"/>
      <c r="N109" s="22"/>
      <c r="O109" s="22"/>
      <c r="P109" s="23"/>
      <c r="Q109" s="23"/>
      <c r="R109" s="23"/>
      <c r="S109" s="23"/>
      <c r="T109" s="23"/>
      <c r="U109" s="19" t="str">
        <f t="shared" si="12"/>
        <v/>
      </c>
      <c r="V109" s="128" t="str">
        <f t="shared" si="22"/>
        <v/>
      </c>
      <c r="X109" s="54"/>
      <c r="Y109" s="56"/>
      <c r="AA109" s="2"/>
      <c r="AB109" s="2"/>
      <c r="AC109" s="132" t="str">
        <f t="shared" si="16"/>
        <v/>
      </c>
    </row>
    <row r="110" spans="1:29" ht="15.75">
      <c r="A110" s="29" t="s">
        <v>251</v>
      </c>
      <c r="B110" s="3"/>
      <c r="C110" s="9"/>
      <c r="D110" s="3"/>
      <c r="E110" s="3"/>
      <c r="F110" s="10"/>
      <c r="G110" s="1"/>
      <c r="H110" s="27"/>
      <c r="I110" s="82" t="b">
        <v>0</v>
      </c>
      <c r="J110" s="116" t="str">
        <f t="shared" si="21"/>
        <v/>
      </c>
      <c r="K110" s="124"/>
      <c r="L110" s="22"/>
      <c r="M110" s="22"/>
      <c r="N110" s="22"/>
      <c r="O110" s="22"/>
      <c r="P110" s="23"/>
      <c r="Q110" s="23"/>
      <c r="R110" s="23"/>
      <c r="S110" s="23"/>
      <c r="T110" s="23"/>
      <c r="U110" s="19" t="str">
        <f t="shared" si="12"/>
        <v/>
      </c>
      <c r="V110" s="128" t="str">
        <f t="shared" si="22"/>
        <v/>
      </c>
      <c r="X110" s="54"/>
      <c r="Y110" s="56"/>
      <c r="AA110" s="2"/>
      <c r="AB110" s="2"/>
      <c r="AC110" s="132" t="str">
        <f t="shared" si="16"/>
        <v/>
      </c>
    </row>
    <row r="111" spans="1:29" ht="15.75">
      <c r="A111" s="29" t="s">
        <v>253</v>
      </c>
      <c r="B111" s="3"/>
      <c r="C111" s="9"/>
      <c r="D111" s="3"/>
      <c r="E111" s="3"/>
      <c r="F111" s="10"/>
      <c r="G111" s="1"/>
      <c r="H111" s="27"/>
      <c r="I111" s="82" t="b">
        <v>0</v>
      </c>
      <c r="J111" s="116" t="str">
        <f t="shared" si="21"/>
        <v/>
      </c>
      <c r="K111" s="124"/>
      <c r="L111" s="22"/>
      <c r="M111" s="22"/>
      <c r="N111" s="22"/>
      <c r="O111" s="22"/>
      <c r="P111" s="23"/>
      <c r="Q111" s="23"/>
      <c r="R111" s="23"/>
      <c r="S111" s="23"/>
      <c r="T111" s="23"/>
      <c r="U111" s="19" t="str">
        <f t="shared" si="12"/>
        <v/>
      </c>
      <c r="V111" s="128" t="str">
        <f t="shared" si="22"/>
        <v/>
      </c>
      <c r="X111" s="54"/>
      <c r="Y111" s="56"/>
      <c r="AA111" s="2"/>
      <c r="AB111" s="2"/>
      <c r="AC111" s="132" t="str">
        <f t="shared" si="16"/>
        <v/>
      </c>
    </row>
    <row r="112" spans="1:29" ht="15.75">
      <c r="A112" s="29" t="s">
        <v>256</v>
      </c>
      <c r="B112" s="3"/>
      <c r="C112" s="9"/>
      <c r="D112" s="3"/>
      <c r="E112" s="3"/>
      <c r="F112" s="10"/>
      <c r="G112" s="1"/>
      <c r="H112" s="27"/>
      <c r="I112" s="82" t="b">
        <v>0</v>
      </c>
      <c r="J112" s="116" t="str">
        <f t="shared" si="21"/>
        <v/>
      </c>
      <c r="K112" s="124"/>
      <c r="L112" s="22"/>
      <c r="M112" s="22"/>
      <c r="N112" s="22"/>
      <c r="O112" s="22"/>
      <c r="P112" s="23"/>
      <c r="Q112" s="23"/>
      <c r="R112" s="23"/>
      <c r="S112" s="23"/>
      <c r="T112" s="23"/>
      <c r="U112" s="19" t="str">
        <f t="shared" si="12"/>
        <v/>
      </c>
      <c r="V112" s="128" t="str">
        <f t="shared" si="22"/>
        <v/>
      </c>
      <c r="X112" s="54"/>
      <c r="Y112" s="56"/>
      <c r="AA112" s="2"/>
      <c r="AB112" s="2"/>
      <c r="AC112" s="132" t="str">
        <f t="shared" si="16"/>
        <v/>
      </c>
    </row>
    <row r="113" spans="1:29" ht="15.75">
      <c r="A113" s="29" t="s">
        <v>257</v>
      </c>
      <c r="B113" s="3"/>
      <c r="C113" s="9"/>
      <c r="D113" s="3"/>
      <c r="E113" s="3"/>
      <c r="F113" s="10"/>
      <c r="G113" s="1"/>
      <c r="H113" s="27"/>
      <c r="I113" s="82" t="b">
        <v>0</v>
      </c>
      <c r="J113" s="116" t="str">
        <f t="shared" si="21"/>
        <v/>
      </c>
      <c r="K113" s="124"/>
      <c r="L113" s="22"/>
      <c r="M113" s="22"/>
      <c r="N113" s="22"/>
      <c r="O113" s="22"/>
      <c r="P113" s="23"/>
      <c r="Q113" s="23"/>
      <c r="R113" s="23"/>
      <c r="S113" s="23"/>
      <c r="T113" s="23"/>
      <c r="U113" s="19" t="str">
        <f t="shared" ref="U113:U146" si="23">IF(B113="","",K113+SUM(L113:Q113))</f>
        <v/>
      </c>
      <c r="V113" s="128" t="str">
        <f t="shared" si="22"/>
        <v/>
      </c>
      <c r="X113" s="54"/>
      <c r="Y113" s="56"/>
      <c r="AA113" s="2"/>
      <c r="AB113" s="2"/>
      <c r="AC113" s="132" t="str">
        <f t="shared" si="16"/>
        <v/>
      </c>
    </row>
    <row r="114" spans="1:29" ht="15.75">
      <c r="A114" s="29" t="s">
        <v>258</v>
      </c>
      <c r="B114" s="3"/>
      <c r="C114" s="9"/>
      <c r="D114" s="3"/>
      <c r="E114" s="3"/>
      <c r="F114" s="10"/>
      <c r="G114" s="1"/>
      <c r="H114" s="27"/>
      <c r="I114" s="82" t="b">
        <v>0</v>
      </c>
      <c r="J114" s="116" t="str">
        <f t="shared" si="21"/>
        <v/>
      </c>
      <c r="K114" s="124"/>
      <c r="L114" s="106"/>
      <c r="M114" s="22"/>
      <c r="N114" s="22"/>
      <c r="O114" s="22"/>
      <c r="P114" s="23"/>
      <c r="Q114" s="23"/>
      <c r="R114" s="23"/>
      <c r="S114" s="23"/>
      <c r="T114" s="23"/>
      <c r="U114" s="19" t="str">
        <f t="shared" si="23"/>
        <v/>
      </c>
      <c r="V114" s="128" t="str">
        <f t="shared" si="22"/>
        <v/>
      </c>
      <c r="X114" s="54"/>
      <c r="Y114" s="56"/>
      <c r="AA114" s="2"/>
      <c r="AB114" s="2"/>
      <c r="AC114" s="132" t="str">
        <f t="shared" si="16"/>
        <v/>
      </c>
    </row>
    <row r="115" spans="1:29" ht="15.75">
      <c r="A115" s="29" t="s">
        <v>259</v>
      </c>
      <c r="B115" s="3"/>
      <c r="C115" s="9"/>
      <c r="D115" s="3"/>
      <c r="E115" s="3"/>
      <c r="F115" s="10"/>
      <c r="G115" s="1"/>
      <c r="H115" s="27"/>
      <c r="I115" s="82" t="b">
        <v>0</v>
      </c>
      <c r="J115" s="116" t="str">
        <f t="shared" si="21"/>
        <v/>
      </c>
      <c r="K115" s="124"/>
      <c r="L115" s="22"/>
      <c r="M115" s="22"/>
      <c r="N115" s="22"/>
      <c r="O115" s="22"/>
      <c r="P115" s="23"/>
      <c r="Q115" s="23"/>
      <c r="R115" s="23"/>
      <c r="S115" s="23"/>
      <c r="T115" s="23"/>
      <c r="U115" s="19" t="str">
        <f t="shared" si="23"/>
        <v/>
      </c>
      <c r="V115" s="128" t="str">
        <f t="shared" si="22"/>
        <v/>
      </c>
      <c r="X115" s="80"/>
      <c r="Y115" s="72"/>
      <c r="AA115" s="2"/>
      <c r="AB115" s="2"/>
      <c r="AC115" s="132" t="str">
        <f t="shared" si="16"/>
        <v/>
      </c>
    </row>
    <row r="116" spans="1:29" ht="15.75">
      <c r="A116" s="29" t="s">
        <v>261</v>
      </c>
      <c r="B116" s="3"/>
      <c r="C116" s="3"/>
      <c r="D116" s="3"/>
      <c r="E116" s="3"/>
      <c r="F116" s="3"/>
      <c r="G116" s="3"/>
      <c r="H116" s="28"/>
      <c r="I116" s="82" t="b">
        <v>0</v>
      </c>
      <c r="J116" s="116" t="str">
        <f t="shared" si="21"/>
        <v/>
      </c>
      <c r="K116" s="124"/>
      <c r="L116" s="22"/>
      <c r="M116" s="22"/>
      <c r="N116" s="22"/>
      <c r="O116" s="22"/>
      <c r="P116" s="23"/>
      <c r="Q116" s="23"/>
      <c r="R116" s="23"/>
      <c r="S116" s="23"/>
      <c r="T116" s="23"/>
      <c r="U116" s="19" t="str">
        <f t="shared" si="23"/>
        <v/>
      </c>
      <c r="V116" s="128" t="str">
        <f t="shared" si="22"/>
        <v/>
      </c>
      <c r="X116" s="54"/>
      <c r="Y116" s="56"/>
      <c r="AA116" s="2"/>
      <c r="AB116" s="2"/>
      <c r="AC116" s="132" t="str">
        <f t="shared" si="16"/>
        <v/>
      </c>
    </row>
    <row r="117" spans="1:29" ht="15.75">
      <c r="A117" s="29" t="s">
        <v>262</v>
      </c>
      <c r="B117" s="3"/>
      <c r="C117" s="3"/>
      <c r="D117" s="3"/>
      <c r="E117" s="3"/>
      <c r="F117" s="3"/>
      <c r="G117" s="3"/>
      <c r="H117" s="28"/>
      <c r="I117" s="82" t="b">
        <v>0</v>
      </c>
      <c r="J117" s="116" t="str">
        <f t="shared" si="21"/>
        <v/>
      </c>
      <c r="K117" s="124"/>
      <c r="L117" s="22"/>
      <c r="M117" s="22"/>
      <c r="N117" s="22"/>
      <c r="O117" s="22"/>
      <c r="P117" s="23"/>
      <c r="Q117" s="23"/>
      <c r="R117" s="23"/>
      <c r="S117" s="23"/>
      <c r="T117" s="23"/>
      <c r="U117" s="19" t="str">
        <f t="shared" si="23"/>
        <v/>
      </c>
      <c r="V117" s="128" t="str">
        <f t="shared" si="22"/>
        <v/>
      </c>
      <c r="X117" s="54"/>
      <c r="Y117" s="56"/>
      <c r="AA117" s="2"/>
      <c r="AB117" s="2"/>
      <c r="AC117" s="132" t="str">
        <f t="shared" si="16"/>
        <v/>
      </c>
    </row>
    <row r="118" spans="1:29" ht="15.75">
      <c r="A118" s="29" t="s">
        <v>264</v>
      </c>
      <c r="B118" s="3"/>
      <c r="C118" s="3"/>
      <c r="D118" s="3"/>
      <c r="E118" s="3"/>
      <c r="F118" s="3"/>
      <c r="G118" s="3"/>
      <c r="H118" s="28"/>
      <c r="I118" s="82" t="b">
        <v>0</v>
      </c>
      <c r="J118" s="116" t="str">
        <f t="shared" si="21"/>
        <v/>
      </c>
      <c r="K118" s="124"/>
      <c r="L118" s="22"/>
      <c r="M118" s="22"/>
      <c r="N118" s="22"/>
      <c r="O118" s="22"/>
      <c r="P118" s="23"/>
      <c r="Q118" s="23"/>
      <c r="R118" s="23"/>
      <c r="S118" s="23"/>
      <c r="T118" s="23"/>
      <c r="U118" s="19" t="str">
        <f t="shared" si="23"/>
        <v/>
      </c>
      <c r="V118" s="128" t="str">
        <f t="shared" si="22"/>
        <v/>
      </c>
      <c r="X118" s="54"/>
      <c r="Y118" s="56"/>
      <c r="AA118" s="2"/>
      <c r="AB118" s="2"/>
      <c r="AC118" s="132" t="str">
        <f t="shared" si="16"/>
        <v/>
      </c>
    </row>
    <row r="119" spans="1:29" ht="15.75">
      <c r="A119" s="29" t="s">
        <v>265</v>
      </c>
      <c r="B119" s="3"/>
      <c r="C119" s="3"/>
      <c r="D119" s="3"/>
      <c r="E119" s="3"/>
      <c r="F119" s="3"/>
      <c r="G119" s="3"/>
      <c r="H119" s="28"/>
      <c r="I119" s="82" t="b">
        <v>0</v>
      </c>
      <c r="J119" s="116" t="str">
        <f t="shared" si="21"/>
        <v/>
      </c>
      <c r="K119" s="124"/>
      <c r="L119" s="22"/>
      <c r="M119" s="22"/>
      <c r="N119" s="22"/>
      <c r="O119" s="22"/>
      <c r="P119" s="23"/>
      <c r="Q119" s="23"/>
      <c r="R119" s="23"/>
      <c r="S119" s="23"/>
      <c r="T119" s="23"/>
      <c r="U119" s="19" t="str">
        <f t="shared" si="23"/>
        <v/>
      </c>
      <c r="V119" s="128" t="str">
        <f t="shared" si="22"/>
        <v/>
      </c>
      <c r="X119" s="54"/>
      <c r="Y119" s="56"/>
      <c r="AA119" s="2"/>
      <c r="AB119" s="2"/>
      <c r="AC119" s="132" t="str">
        <f t="shared" si="16"/>
        <v/>
      </c>
    </row>
    <row r="120" spans="1:29" ht="15.75">
      <c r="A120" s="29" t="s">
        <v>268</v>
      </c>
      <c r="B120" s="3"/>
      <c r="C120" s="3"/>
      <c r="D120" s="3"/>
      <c r="E120" s="3"/>
      <c r="F120" s="3"/>
      <c r="G120" s="3"/>
      <c r="H120" s="28"/>
      <c r="I120" s="82" t="b">
        <v>0</v>
      </c>
      <c r="J120" s="116" t="str">
        <f t="shared" si="21"/>
        <v/>
      </c>
      <c r="K120" s="124"/>
      <c r="L120" s="22"/>
      <c r="M120" s="22"/>
      <c r="N120" s="22"/>
      <c r="O120" s="22"/>
      <c r="P120" s="23"/>
      <c r="Q120" s="23"/>
      <c r="R120" s="23"/>
      <c r="S120" s="23"/>
      <c r="T120" s="23"/>
      <c r="U120" s="19" t="str">
        <f t="shared" si="23"/>
        <v/>
      </c>
      <c r="V120" s="128" t="str">
        <f t="shared" si="22"/>
        <v/>
      </c>
      <c r="X120" s="54"/>
      <c r="Y120" s="56"/>
      <c r="AA120" s="2"/>
      <c r="AB120" s="2"/>
      <c r="AC120" s="132" t="str">
        <f t="shared" si="16"/>
        <v/>
      </c>
    </row>
    <row r="121" spans="1:29" ht="15.75">
      <c r="A121" s="29" t="s">
        <v>270</v>
      </c>
      <c r="B121" s="3"/>
      <c r="C121" s="9"/>
      <c r="D121" s="3"/>
      <c r="E121" s="3"/>
      <c r="F121" s="10"/>
      <c r="G121" s="1"/>
      <c r="H121" s="27"/>
      <c r="I121" s="82" t="b">
        <v>0</v>
      </c>
      <c r="J121" s="116" t="str">
        <f t="shared" si="21"/>
        <v/>
      </c>
      <c r="K121" s="124"/>
      <c r="L121" s="22"/>
      <c r="M121" s="22"/>
      <c r="N121" s="22"/>
      <c r="O121" s="22"/>
      <c r="P121" s="23"/>
      <c r="Q121" s="23"/>
      <c r="R121" s="23"/>
      <c r="S121" s="23"/>
      <c r="T121" s="23"/>
      <c r="U121" s="19" t="str">
        <f t="shared" si="23"/>
        <v/>
      </c>
      <c r="V121" s="128" t="str">
        <f t="shared" si="22"/>
        <v/>
      </c>
      <c r="X121" s="54"/>
      <c r="Y121" s="56"/>
      <c r="AA121" s="2"/>
      <c r="AB121" s="2"/>
      <c r="AC121" s="132" t="str">
        <f t="shared" si="16"/>
        <v/>
      </c>
    </row>
    <row r="122" spans="1:29" ht="15.75">
      <c r="A122" s="29" t="s">
        <v>271</v>
      </c>
      <c r="B122" s="3"/>
      <c r="C122" s="9"/>
      <c r="D122" s="3"/>
      <c r="E122" s="3"/>
      <c r="F122" s="10"/>
      <c r="G122" s="1"/>
      <c r="H122" s="27"/>
      <c r="I122" s="82" t="b">
        <v>0</v>
      </c>
      <c r="J122" s="116" t="str">
        <f t="shared" si="21"/>
        <v/>
      </c>
      <c r="K122" s="124"/>
      <c r="L122" s="22"/>
      <c r="M122" s="22"/>
      <c r="N122" s="22"/>
      <c r="O122" s="22"/>
      <c r="P122" s="23"/>
      <c r="Q122" s="23"/>
      <c r="R122" s="23"/>
      <c r="S122" s="23"/>
      <c r="T122" s="23"/>
      <c r="U122" s="19" t="str">
        <f t="shared" si="23"/>
        <v/>
      </c>
      <c r="V122" s="128" t="str">
        <f t="shared" si="22"/>
        <v/>
      </c>
      <c r="X122" s="54"/>
      <c r="Y122" s="56"/>
      <c r="AA122" s="2"/>
      <c r="AB122" s="2"/>
      <c r="AC122" s="132" t="str">
        <f t="shared" si="16"/>
        <v/>
      </c>
    </row>
    <row r="123" spans="1:29" ht="15.75">
      <c r="A123" s="29" t="s">
        <v>272</v>
      </c>
      <c r="B123" s="3"/>
      <c r="C123" s="9"/>
      <c r="D123" s="3"/>
      <c r="E123" s="3"/>
      <c r="F123" s="10"/>
      <c r="G123" s="1"/>
      <c r="H123" s="27"/>
      <c r="I123" s="82" t="b">
        <v>0</v>
      </c>
      <c r="J123" s="116" t="str">
        <f t="shared" si="21"/>
        <v/>
      </c>
      <c r="K123" s="124"/>
      <c r="L123" s="22"/>
      <c r="M123" s="22"/>
      <c r="N123" s="22"/>
      <c r="O123" s="22"/>
      <c r="P123" s="23"/>
      <c r="Q123" s="23"/>
      <c r="R123" s="23"/>
      <c r="S123" s="23"/>
      <c r="T123" s="23"/>
      <c r="U123" s="19" t="str">
        <f t="shared" si="23"/>
        <v/>
      </c>
      <c r="V123" s="128" t="str">
        <f t="shared" si="22"/>
        <v/>
      </c>
      <c r="X123" s="54"/>
      <c r="Y123" s="56"/>
      <c r="AA123" s="2"/>
      <c r="AB123" s="2"/>
      <c r="AC123" s="132" t="str">
        <f t="shared" si="16"/>
        <v/>
      </c>
    </row>
    <row r="124" spans="1:29" ht="15.75">
      <c r="A124" s="29" t="s">
        <v>273</v>
      </c>
      <c r="B124" s="3"/>
      <c r="C124" s="3"/>
      <c r="D124" s="3"/>
      <c r="E124" s="3"/>
      <c r="F124" s="3"/>
      <c r="G124" s="3"/>
      <c r="H124" s="28"/>
      <c r="I124" s="82" t="b">
        <v>0</v>
      </c>
      <c r="J124" s="116" t="str">
        <f t="shared" si="21"/>
        <v/>
      </c>
      <c r="K124" s="124"/>
      <c r="L124" s="22"/>
      <c r="M124" s="22"/>
      <c r="N124" s="22"/>
      <c r="O124" s="22"/>
      <c r="P124" s="23"/>
      <c r="Q124" s="23"/>
      <c r="R124" s="23"/>
      <c r="S124" s="23"/>
      <c r="T124" s="23"/>
      <c r="U124" s="19" t="str">
        <f t="shared" si="23"/>
        <v/>
      </c>
      <c r="V124" s="128" t="str">
        <f t="shared" si="22"/>
        <v/>
      </c>
      <c r="X124" s="54"/>
      <c r="Y124" s="56"/>
      <c r="AA124" s="2"/>
      <c r="AB124" s="2"/>
      <c r="AC124" s="132" t="str">
        <f t="shared" si="16"/>
        <v/>
      </c>
    </row>
    <row r="125" spans="1:29" ht="15.75">
      <c r="A125" s="29" t="s">
        <v>274</v>
      </c>
      <c r="B125" s="3"/>
      <c r="C125" s="3"/>
      <c r="D125" s="13"/>
      <c r="E125" s="3"/>
      <c r="F125" s="3"/>
      <c r="G125" s="65"/>
      <c r="H125" s="53"/>
      <c r="I125" s="82" t="b">
        <v>0</v>
      </c>
      <c r="J125" s="116" t="str">
        <f t="shared" si="21"/>
        <v/>
      </c>
      <c r="K125" s="124"/>
      <c r="L125" s="22"/>
      <c r="M125" s="22"/>
      <c r="N125" s="22"/>
      <c r="O125" s="22"/>
      <c r="P125" s="23"/>
      <c r="Q125" s="23"/>
      <c r="R125" s="23"/>
      <c r="S125" s="23"/>
      <c r="T125" s="23"/>
      <c r="U125" s="19" t="str">
        <f t="shared" si="23"/>
        <v/>
      </c>
      <c r="V125" s="128" t="str">
        <f t="shared" si="22"/>
        <v/>
      </c>
      <c r="X125" s="54"/>
      <c r="Y125" s="56"/>
      <c r="AA125" s="2"/>
      <c r="AB125" s="2"/>
      <c r="AC125" s="132" t="str">
        <f t="shared" si="16"/>
        <v/>
      </c>
    </row>
    <row r="126" spans="1:29" ht="15.75">
      <c r="A126" s="29" t="s">
        <v>275</v>
      </c>
      <c r="B126" s="3"/>
      <c r="C126" s="3"/>
      <c r="D126" s="13"/>
      <c r="E126" s="3"/>
      <c r="F126" s="3"/>
      <c r="G126" s="65"/>
      <c r="H126" s="53"/>
      <c r="I126" s="82" t="b">
        <v>0</v>
      </c>
      <c r="J126" s="116" t="str">
        <f t="shared" si="21"/>
        <v/>
      </c>
      <c r="K126" s="124"/>
      <c r="L126" s="22"/>
      <c r="M126" s="22"/>
      <c r="N126" s="22"/>
      <c r="O126" s="22"/>
      <c r="P126" s="23"/>
      <c r="Q126" s="23"/>
      <c r="R126" s="23"/>
      <c r="S126" s="23"/>
      <c r="T126" s="23"/>
      <c r="U126" s="19" t="str">
        <f t="shared" si="23"/>
        <v/>
      </c>
      <c r="V126" s="128" t="str">
        <f t="shared" si="22"/>
        <v/>
      </c>
      <c r="X126" s="54"/>
      <c r="Y126" s="56"/>
      <c r="AA126" s="2"/>
      <c r="AB126" s="2"/>
      <c r="AC126" s="132" t="str">
        <f t="shared" si="16"/>
        <v/>
      </c>
    </row>
    <row r="127" spans="1:29" ht="15.75">
      <c r="A127" s="29" t="s">
        <v>276</v>
      </c>
      <c r="B127" s="3"/>
      <c r="C127" s="9"/>
      <c r="D127" s="13"/>
      <c r="E127" s="3"/>
      <c r="F127" s="10"/>
      <c r="G127" s="1"/>
      <c r="H127" s="27"/>
      <c r="I127" s="82" t="b">
        <v>0</v>
      </c>
      <c r="J127" s="116" t="str">
        <f t="shared" si="21"/>
        <v/>
      </c>
      <c r="K127" s="124"/>
      <c r="L127" s="22"/>
      <c r="M127" s="22"/>
      <c r="N127" s="22"/>
      <c r="O127" s="22"/>
      <c r="P127" s="23"/>
      <c r="Q127" s="23"/>
      <c r="R127" s="23"/>
      <c r="S127" s="23"/>
      <c r="T127" s="23"/>
      <c r="U127" s="19" t="str">
        <f t="shared" si="23"/>
        <v/>
      </c>
      <c r="V127" s="128" t="str">
        <f t="shared" si="22"/>
        <v/>
      </c>
      <c r="X127" s="54"/>
      <c r="Y127" s="56"/>
      <c r="AA127" s="2"/>
      <c r="AB127" s="2"/>
      <c r="AC127" s="132" t="str">
        <f t="shared" si="16"/>
        <v/>
      </c>
    </row>
    <row r="128" spans="1:29" ht="15.75">
      <c r="A128" s="29" t="s">
        <v>279</v>
      </c>
      <c r="B128" s="3"/>
      <c r="C128" s="9"/>
      <c r="D128" s="13"/>
      <c r="E128" s="3"/>
      <c r="F128" s="10"/>
      <c r="G128" s="1"/>
      <c r="H128" s="27"/>
      <c r="I128" s="82" t="b">
        <v>0</v>
      </c>
      <c r="J128" s="116" t="str">
        <f t="shared" si="21"/>
        <v/>
      </c>
      <c r="K128" s="124"/>
      <c r="L128" s="22"/>
      <c r="M128" s="22"/>
      <c r="N128" s="22"/>
      <c r="O128" s="22"/>
      <c r="P128" s="23"/>
      <c r="Q128" s="23"/>
      <c r="R128" s="23"/>
      <c r="S128" s="23"/>
      <c r="T128" s="23"/>
      <c r="U128" s="19" t="str">
        <f t="shared" si="23"/>
        <v/>
      </c>
      <c r="V128" s="128" t="str">
        <f t="shared" si="22"/>
        <v/>
      </c>
      <c r="X128" s="54"/>
      <c r="Y128" s="56"/>
      <c r="AA128" s="2"/>
      <c r="AB128" s="2"/>
      <c r="AC128" s="132" t="str">
        <f t="shared" si="16"/>
        <v/>
      </c>
    </row>
    <row r="129" spans="1:29" ht="15.75">
      <c r="A129" s="29" t="s">
        <v>281</v>
      </c>
      <c r="B129" s="3"/>
      <c r="C129" s="9"/>
      <c r="D129" s="3"/>
      <c r="E129" s="3"/>
      <c r="F129" s="10"/>
      <c r="G129" s="1"/>
      <c r="H129" s="27"/>
      <c r="I129" s="82" t="b">
        <v>0</v>
      </c>
      <c r="J129" s="116" t="str">
        <f t="shared" si="21"/>
        <v/>
      </c>
      <c r="K129" s="124"/>
      <c r="L129" s="22"/>
      <c r="M129" s="22"/>
      <c r="N129" s="22"/>
      <c r="O129" s="22"/>
      <c r="P129" s="23"/>
      <c r="Q129" s="23"/>
      <c r="R129" s="23"/>
      <c r="S129" s="23"/>
      <c r="T129" s="23"/>
      <c r="U129" s="19" t="str">
        <f t="shared" si="23"/>
        <v/>
      </c>
      <c r="V129" s="128" t="str">
        <f t="shared" si="22"/>
        <v/>
      </c>
      <c r="X129" s="54"/>
      <c r="Y129" s="56"/>
      <c r="AA129" s="2"/>
      <c r="AB129" s="2"/>
      <c r="AC129" s="132" t="str">
        <f t="shared" si="16"/>
        <v/>
      </c>
    </row>
    <row r="130" spans="1:29" ht="15.75">
      <c r="A130" s="29" t="s">
        <v>282</v>
      </c>
      <c r="B130" s="3"/>
      <c r="C130" s="9"/>
      <c r="D130" s="3"/>
      <c r="E130" s="3"/>
      <c r="F130" s="10"/>
      <c r="G130" s="14"/>
      <c r="H130" s="81"/>
      <c r="I130" s="82" t="b">
        <v>0</v>
      </c>
      <c r="J130" s="116" t="str">
        <f t="shared" si="21"/>
        <v/>
      </c>
      <c r="K130" s="124"/>
      <c r="L130" s="22"/>
      <c r="M130" s="22"/>
      <c r="N130" s="22"/>
      <c r="O130" s="22"/>
      <c r="P130" s="23"/>
      <c r="Q130" s="23"/>
      <c r="R130" s="23"/>
      <c r="S130" s="23"/>
      <c r="T130" s="23"/>
      <c r="U130" s="19" t="str">
        <f t="shared" si="23"/>
        <v/>
      </c>
      <c r="V130" s="128" t="str">
        <f t="shared" si="22"/>
        <v/>
      </c>
      <c r="X130" s="54"/>
      <c r="Y130" s="56"/>
      <c r="AA130" s="2"/>
      <c r="AB130" s="2"/>
      <c r="AC130" s="132" t="str">
        <f t="shared" si="16"/>
        <v/>
      </c>
    </row>
    <row r="131" spans="1:29" ht="15.75">
      <c r="A131" s="29" t="s">
        <v>283</v>
      </c>
      <c r="B131" s="3"/>
      <c r="C131" s="3"/>
      <c r="D131" s="13"/>
      <c r="E131" s="3"/>
      <c r="F131" s="3"/>
      <c r="G131" s="3"/>
      <c r="H131" s="28"/>
      <c r="I131" s="82" t="b">
        <v>0</v>
      </c>
      <c r="J131" s="116" t="str">
        <f t="shared" si="21"/>
        <v/>
      </c>
      <c r="K131" s="124"/>
      <c r="L131" s="106"/>
      <c r="M131" s="22"/>
      <c r="N131" s="22"/>
      <c r="O131" s="22"/>
      <c r="P131" s="23"/>
      <c r="Q131" s="23"/>
      <c r="R131" s="23"/>
      <c r="S131" s="23"/>
      <c r="T131" s="23"/>
      <c r="U131" s="19" t="str">
        <f t="shared" si="23"/>
        <v/>
      </c>
      <c r="V131" s="128" t="str">
        <f t="shared" si="22"/>
        <v/>
      </c>
      <c r="X131" s="54"/>
      <c r="Y131" s="56"/>
      <c r="AA131" s="2"/>
      <c r="AB131" s="2"/>
      <c r="AC131" s="132" t="str">
        <f t="shared" ref="AC131:AC135" si="24">IF(AB131="","",AB131*V131)</f>
        <v/>
      </c>
    </row>
    <row r="132" spans="1:29" ht="15.75">
      <c r="A132" s="29" t="s">
        <v>284</v>
      </c>
      <c r="B132" s="3"/>
      <c r="C132" s="9"/>
      <c r="D132" s="13"/>
      <c r="E132" s="3"/>
      <c r="F132" s="10"/>
      <c r="G132" s="1"/>
      <c r="H132" s="27"/>
      <c r="I132" s="82" t="b">
        <v>0</v>
      </c>
      <c r="J132" s="116" t="str">
        <f t="shared" si="21"/>
        <v/>
      </c>
      <c r="K132" s="124"/>
      <c r="L132" s="22"/>
      <c r="M132" s="22"/>
      <c r="N132" s="22"/>
      <c r="O132" s="22"/>
      <c r="P132" s="23"/>
      <c r="Q132" s="23"/>
      <c r="R132" s="23"/>
      <c r="S132" s="23"/>
      <c r="T132" s="23"/>
      <c r="U132" s="19" t="str">
        <f t="shared" si="23"/>
        <v/>
      </c>
      <c r="V132" s="128" t="str">
        <f t="shared" si="22"/>
        <v/>
      </c>
      <c r="X132" s="54"/>
      <c r="Y132" s="56"/>
      <c r="AA132" s="2"/>
      <c r="AB132" s="2"/>
      <c r="AC132" s="132" t="str">
        <f t="shared" si="24"/>
        <v/>
      </c>
    </row>
    <row r="133" spans="1:29" ht="15.75">
      <c r="A133" s="29" t="s">
        <v>286</v>
      </c>
      <c r="B133" s="3"/>
      <c r="C133" s="3"/>
      <c r="D133" s="13"/>
      <c r="E133" s="3"/>
      <c r="F133" s="3"/>
      <c r="G133" s="3"/>
      <c r="H133" s="28"/>
      <c r="I133" s="82" t="b">
        <v>0</v>
      </c>
      <c r="J133" s="116" t="str">
        <f t="shared" si="21"/>
        <v/>
      </c>
      <c r="K133" s="124"/>
      <c r="L133" s="22"/>
      <c r="M133" s="22"/>
      <c r="N133" s="22"/>
      <c r="O133" s="22"/>
      <c r="P133" s="23"/>
      <c r="Q133" s="23"/>
      <c r="R133" s="23"/>
      <c r="S133" s="23"/>
      <c r="T133" s="23"/>
      <c r="U133" s="19" t="str">
        <f t="shared" si="23"/>
        <v/>
      </c>
      <c r="V133" s="128" t="str">
        <f t="shared" si="22"/>
        <v/>
      </c>
      <c r="X133" s="54"/>
      <c r="Y133" s="56"/>
      <c r="AA133" s="2"/>
      <c r="AB133" s="2"/>
      <c r="AC133" s="132" t="str">
        <f t="shared" si="24"/>
        <v/>
      </c>
    </row>
    <row r="134" spans="1:29" ht="15.75">
      <c r="A134" s="29" t="s">
        <v>287</v>
      </c>
      <c r="B134" s="3"/>
      <c r="C134" s="3"/>
      <c r="D134" s="3"/>
      <c r="E134" s="3"/>
      <c r="F134" s="3"/>
      <c r="G134" s="3"/>
      <c r="H134" s="28"/>
      <c r="I134" s="82" t="b">
        <v>0</v>
      </c>
      <c r="J134" s="116" t="str">
        <f t="shared" si="21"/>
        <v/>
      </c>
      <c r="K134" s="124"/>
      <c r="L134" s="106"/>
      <c r="M134" s="22"/>
      <c r="N134" s="22"/>
      <c r="O134" s="22"/>
      <c r="P134" s="23"/>
      <c r="Q134" s="23"/>
      <c r="R134" s="23"/>
      <c r="S134" s="23"/>
      <c r="T134" s="23"/>
      <c r="U134" s="19" t="str">
        <f t="shared" si="23"/>
        <v/>
      </c>
      <c r="V134" s="128" t="str">
        <f t="shared" si="22"/>
        <v/>
      </c>
      <c r="X134" s="54"/>
      <c r="Y134" s="56"/>
      <c r="AA134" s="2"/>
      <c r="AB134" s="2"/>
      <c r="AC134" s="132" t="str">
        <f t="shared" si="24"/>
        <v/>
      </c>
    </row>
    <row r="135" spans="1:29" ht="15.75">
      <c r="A135" s="29" t="s">
        <v>290</v>
      </c>
      <c r="B135" s="3"/>
      <c r="C135" s="9"/>
      <c r="D135" s="3"/>
      <c r="E135" s="3"/>
      <c r="F135" s="10"/>
      <c r="G135" s="1"/>
      <c r="H135" s="27"/>
      <c r="I135" s="82" t="b">
        <v>0</v>
      </c>
      <c r="J135" s="116" t="str">
        <f t="shared" si="21"/>
        <v/>
      </c>
      <c r="K135" s="124"/>
      <c r="L135" s="22"/>
      <c r="M135" s="22"/>
      <c r="N135" s="22"/>
      <c r="O135" s="22"/>
      <c r="P135" s="23"/>
      <c r="Q135" s="23"/>
      <c r="R135" s="23"/>
      <c r="S135" s="23"/>
      <c r="T135" s="23"/>
      <c r="U135" s="19" t="str">
        <f t="shared" si="23"/>
        <v/>
      </c>
      <c r="V135" s="128" t="str">
        <f t="shared" si="22"/>
        <v/>
      </c>
      <c r="X135" s="54"/>
      <c r="Y135" s="56"/>
      <c r="AA135" s="2"/>
      <c r="AB135" s="2"/>
      <c r="AC135" s="132" t="str">
        <f t="shared" si="24"/>
        <v/>
      </c>
    </row>
    <row r="136" spans="1:29" ht="15.75">
      <c r="A136" s="29" t="s">
        <v>291</v>
      </c>
      <c r="B136" s="3"/>
      <c r="C136" s="9"/>
      <c r="D136" s="3"/>
      <c r="E136" s="3"/>
      <c r="F136" s="10"/>
      <c r="G136" s="1"/>
      <c r="H136" s="27"/>
      <c r="I136" s="82" t="b">
        <v>0</v>
      </c>
      <c r="J136" s="116" t="str">
        <f t="shared" si="21"/>
        <v/>
      </c>
      <c r="K136" s="124"/>
      <c r="L136" s="22"/>
      <c r="M136" s="22"/>
      <c r="N136" s="22"/>
      <c r="O136" s="22"/>
      <c r="P136" s="23"/>
      <c r="Q136" s="23"/>
      <c r="R136" s="23"/>
      <c r="S136" s="23"/>
      <c r="T136" s="23"/>
      <c r="U136" s="19" t="str">
        <f t="shared" si="23"/>
        <v/>
      </c>
      <c r="V136" s="128" t="str">
        <f t="shared" si="22"/>
        <v/>
      </c>
      <c r="X136" s="54"/>
      <c r="Y136" s="56"/>
      <c r="AA136" s="2"/>
      <c r="AB136" s="2"/>
      <c r="AC136" s="132"/>
    </row>
    <row r="137" spans="1:29" ht="15.75">
      <c r="A137" s="29" t="s">
        <v>293</v>
      </c>
      <c r="B137" s="3"/>
      <c r="C137" s="3"/>
      <c r="D137" s="3"/>
      <c r="E137" s="3"/>
      <c r="F137" s="3"/>
      <c r="G137" s="3"/>
      <c r="H137" s="28"/>
      <c r="I137" s="82" t="b">
        <v>0</v>
      </c>
      <c r="J137" s="116" t="str">
        <f t="shared" si="21"/>
        <v/>
      </c>
      <c r="K137" s="124"/>
      <c r="L137" s="22"/>
      <c r="M137" s="22"/>
      <c r="N137" s="22"/>
      <c r="O137" s="22"/>
      <c r="P137" s="23"/>
      <c r="Q137" s="23"/>
      <c r="R137" s="23"/>
      <c r="S137" s="23"/>
      <c r="T137" s="23"/>
      <c r="U137" s="19" t="str">
        <f t="shared" si="23"/>
        <v/>
      </c>
      <c r="V137" s="128" t="str">
        <f t="shared" si="22"/>
        <v/>
      </c>
      <c r="X137" s="54"/>
      <c r="Y137" s="56"/>
      <c r="AA137" s="2"/>
      <c r="AB137" s="2"/>
      <c r="AC137" s="132"/>
    </row>
    <row r="138" spans="1:29" ht="15.75">
      <c r="A138" s="29" t="s">
        <v>294</v>
      </c>
      <c r="B138" s="3"/>
      <c r="C138" s="3"/>
      <c r="D138" s="3"/>
      <c r="E138" s="3"/>
      <c r="F138" s="3"/>
      <c r="G138" s="3"/>
      <c r="H138" s="28"/>
      <c r="I138" s="82" t="b">
        <v>0</v>
      </c>
      <c r="J138" s="116" t="str">
        <f t="shared" si="21"/>
        <v/>
      </c>
      <c r="K138" s="124"/>
      <c r="L138" s="22"/>
      <c r="M138" s="22"/>
      <c r="N138" s="22"/>
      <c r="O138" s="22"/>
      <c r="P138" s="23"/>
      <c r="Q138" s="23"/>
      <c r="R138" s="23"/>
      <c r="S138" s="23"/>
      <c r="T138" s="23"/>
      <c r="U138" s="19" t="str">
        <f t="shared" si="23"/>
        <v/>
      </c>
      <c r="V138" s="128" t="str">
        <f t="shared" si="22"/>
        <v/>
      </c>
      <c r="X138" s="54"/>
      <c r="Y138" s="56"/>
      <c r="AA138" s="2"/>
      <c r="AB138" s="2"/>
      <c r="AC138" s="132"/>
    </row>
    <row r="139" spans="1:29" ht="15.75">
      <c r="A139" s="29" t="s">
        <v>295</v>
      </c>
      <c r="B139" s="3"/>
      <c r="C139" s="3"/>
      <c r="D139" s="3"/>
      <c r="E139" s="3"/>
      <c r="F139" s="3"/>
      <c r="G139" s="3"/>
      <c r="H139" s="28"/>
      <c r="I139" s="82" t="b">
        <v>0</v>
      </c>
      <c r="J139" s="116" t="str">
        <f t="shared" si="21"/>
        <v/>
      </c>
      <c r="K139" s="124"/>
      <c r="L139" s="22"/>
      <c r="M139" s="22"/>
      <c r="N139" s="22"/>
      <c r="O139" s="22"/>
      <c r="P139" s="23"/>
      <c r="Q139" s="23"/>
      <c r="R139" s="23"/>
      <c r="S139" s="23"/>
      <c r="T139" s="23"/>
      <c r="U139" s="19" t="str">
        <f t="shared" si="23"/>
        <v/>
      </c>
      <c r="V139" s="128" t="str">
        <f t="shared" si="22"/>
        <v/>
      </c>
      <c r="X139" s="54"/>
      <c r="Y139" s="56"/>
      <c r="AA139" s="2"/>
      <c r="AB139" s="2"/>
      <c r="AC139" s="132"/>
    </row>
    <row r="140" spans="1:29" ht="15.75">
      <c r="A140" s="29" t="s">
        <v>297</v>
      </c>
      <c r="B140" s="3"/>
      <c r="C140" s="3"/>
      <c r="D140" s="3"/>
      <c r="E140" s="3"/>
      <c r="F140" s="3"/>
      <c r="G140" s="3"/>
      <c r="H140" s="28"/>
      <c r="I140" s="82" t="b">
        <v>0</v>
      </c>
      <c r="J140" s="116" t="str">
        <f t="shared" si="21"/>
        <v/>
      </c>
      <c r="K140" s="124"/>
      <c r="L140" s="22"/>
      <c r="M140" s="22"/>
      <c r="N140" s="22"/>
      <c r="O140" s="22"/>
      <c r="P140" s="23"/>
      <c r="Q140" s="23"/>
      <c r="R140" s="23"/>
      <c r="S140" s="23"/>
      <c r="T140" s="23"/>
      <c r="U140" s="19" t="str">
        <f t="shared" si="23"/>
        <v/>
      </c>
      <c r="V140" s="128" t="str">
        <f t="shared" si="22"/>
        <v/>
      </c>
      <c r="X140" s="54"/>
      <c r="Y140" s="56"/>
      <c r="AA140" s="2"/>
      <c r="AB140" s="2"/>
      <c r="AC140" s="132"/>
    </row>
    <row r="141" spans="1:29" ht="15.75">
      <c r="A141" s="29" t="s">
        <v>298</v>
      </c>
      <c r="B141" s="3"/>
      <c r="C141" s="9"/>
      <c r="D141" s="3"/>
      <c r="E141" s="3"/>
      <c r="F141" s="3"/>
      <c r="G141" s="3"/>
      <c r="H141" s="28"/>
      <c r="I141" s="82" t="b">
        <v>0</v>
      </c>
      <c r="J141" s="116" t="str">
        <f t="shared" si="21"/>
        <v/>
      </c>
      <c r="K141" s="124"/>
      <c r="L141" s="22"/>
      <c r="M141" s="22"/>
      <c r="N141" s="22"/>
      <c r="O141" s="22"/>
      <c r="P141" s="23"/>
      <c r="Q141" s="23"/>
      <c r="R141" s="23"/>
      <c r="S141" s="23"/>
      <c r="T141" s="23"/>
      <c r="U141" s="19" t="str">
        <f t="shared" si="23"/>
        <v/>
      </c>
      <c r="V141" s="128" t="str">
        <f t="shared" si="22"/>
        <v/>
      </c>
      <c r="X141" s="54"/>
      <c r="Y141" s="56"/>
      <c r="AA141" s="2"/>
      <c r="AB141" s="2"/>
      <c r="AC141" s="132"/>
    </row>
    <row r="142" spans="1:29" ht="15.75">
      <c r="A142" s="29" t="s">
        <v>299</v>
      </c>
      <c r="B142" s="3"/>
      <c r="C142" s="9"/>
      <c r="D142" s="13"/>
      <c r="E142" s="3"/>
      <c r="F142" s="10"/>
      <c r="G142" s="1"/>
      <c r="H142" s="27"/>
      <c r="I142" s="82" t="b">
        <v>0</v>
      </c>
      <c r="J142" s="116" t="str">
        <f t="shared" si="21"/>
        <v/>
      </c>
      <c r="K142" s="124"/>
      <c r="L142" s="22"/>
      <c r="M142" s="22"/>
      <c r="N142" s="22"/>
      <c r="O142" s="22"/>
      <c r="P142" s="23"/>
      <c r="Q142" s="23"/>
      <c r="R142" s="23"/>
      <c r="S142" s="23"/>
      <c r="T142" s="23"/>
      <c r="U142" s="19" t="str">
        <f t="shared" si="23"/>
        <v/>
      </c>
      <c r="V142" s="128" t="str">
        <f t="shared" si="22"/>
        <v/>
      </c>
      <c r="X142" s="54"/>
      <c r="Y142" s="56"/>
      <c r="AA142" s="2"/>
      <c r="AB142" s="2"/>
      <c r="AC142" s="132"/>
    </row>
    <row r="143" spans="1:29" ht="15.75">
      <c r="A143" s="29" t="s">
        <v>302</v>
      </c>
      <c r="B143" s="3"/>
      <c r="C143" s="9"/>
      <c r="D143" s="13"/>
      <c r="E143" s="3"/>
      <c r="F143" s="10"/>
      <c r="G143" s="1"/>
      <c r="H143" s="27"/>
      <c r="I143" s="82" t="b">
        <v>0</v>
      </c>
      <c r="J143" s="116" t="str">
        <f t="shared" si="21"/>
        <v/>
      </c>
      <c r="K143" s="124"/>
      <c r="L143" s="22"/>
      <c r="M143" s="22"/>
      <c r="N143" s="22"/>
      <c r="O143" s="22"/>
      <c r="P143" s="23"/>
      <c r="Q143" s="23"/>
      <c r="R143" s="23"/>
      <c r="S143" s="23"/>
      <c r="T143" s="23"/>
      <c r="U143" s="19" t="str">
        <f t="shared" si="23"/>
        <v/>
      </c>
      <c r="V143" s="128" t="str">
        <f t="shared" si="22"/>
        <v/>
      </c>
      <c r="X143" s="54"/>
      <c r="Y143" s="56"/>
      <c r="AA143" s="2"/>
      <c r="AB143" s="2"/>
      <c r="AC143" s="132"/>
    </row>
    <row r="144" spans="1:29" ht="15.75">
      <c r="A144" s="29" t="s">
        <v>304</v>
      </c>
      <c r="B144" s="3"/>
      <c r="C144" s="9"/>
      <c r="D144" s="3"/>
      <c r="E144" s="3"/>
      <c r="F144" s="10"/>
      <c r="G144" s="1"/>
      <c r="H144" s="27"/>
      <c r="I144" s="82" t="b">
        <v>0</v>
      </c>
      <c r="J144" s="116" t="str">
        <f t="shared" si="21"/>
        <v/>
      </c>
      <c r="K144" s="124"/>
      <c r="L144" s="22"/>
      <c r="M144" s="22"/>
      <c r="N144" s="22"/>
      <c r="O144" s="22"/>
      <c r="P144" s="23"/>
      <c r="Q144" s="23"/>
      <c r="R144" s="23"/>
      <c r="S144" s="23"/>
      <c r="T144" s="23"/>
      <c r="U144" s="19" t="str">
        <f t="shared" si="23"/>
        <v/>
      </c>
      <c r="V144" s="128" t="str">
        <f t="shared" si="22"/>
        <v/>
      </c>
      <c r="X144" s="54"/>
      <c r="Y144" s="56"/>
      <c r="AA144" s="61"/>
      <c r="AB144" s="61"/>
      <c r="AC144" s="132"/>
    </row>
    <row r="145" spans="1:29" ht="15.75">
      <c r="A145" s="29" t="s">
        <v>305</v>
      </c>
      <c r="B145" s="3"/>
      <c r="C145" s="3"/>
      <c r="D145" s="3"/>
      <c r="E145" s="3"/>
      <c r="F145" s="3"/>
      <c r="G145" s="3"/>
      <c r="H145" s="28"/>
      <c r="I145" s="82" t="b">
        <v>0</v>
      </c>
      <c r="J145" s="116" t="str">
        <f t="shared" si="21"/>
        <v/>
      </c>
      <c r="K145" s="124"/>
      <c r="L145" s="22"/>
      <c r="M145" s="22"/>
      <c r="N145" s="22"/>
      <c r="O145" s="22"/>
      <c r="P145" s="23"/>
      <c r="Q145" s="23"/>
      <c r="R145" s="23"/>
      <c r="S145" s="23"/>
      <c r="T145" s="23"/>
      <c r="U145" s="19" t="str">
        <f t="shared" si="23"/>
        <v/>
      </c>
      <c r="V145" s="128" t="str">
        <f t="shared" si="22"/>
        <v/>
      </c>
      <c r="X145" s="54"/>
      <c r="Y145" s="56"/>
      <c r="AA145" s="61"/>
      <c r="AB145" s="61"/>
      <c r="AC145" s="132"/>
    </row>
    <row r="146" spans="1:29" ht="15.75">
      <c r="A146" s="29" t="s">
        <v>309</v>
      </c>
      <c r="B146" s="3"/>
      <c r="C146" s="3"/>
      <c r="D146" s="3"/>
      <c r="E146" s="3"/>
      <c r="F146" s="3"/>
      <c r="G146" s="3"/>
      <c r="H146" s="28"/>
      <c r="I146" s="82" t="b">
        <v>0</v>
      </c>
      <c r="J146" s="116"/>
      <c r="K146" s="125"/>
      <c r="L146" s="58"/>
      <c r="M146" s="58"/>
      <c r="N146" s="58"/>
      <c r="O146" s="58"/>
      <c r="P146" s="59"/>
      <c r="Q146" s="59"/>
      <c r="R146" s="59"/>
      <c r="S146" s="59"/>
      <c r="T146" s="59"/>
      <c r="U146" s="104" t="str">
        <f t="shared" si="23"/>
        <v/>
      </c>
      <c r="V146" s="130" t="str">
        <f t="shared" si="22"/>
        <v/>
      </c>
      <c r="X146" s="54"/>
      <c r="Y146" s="56"/>
      <c r="AA146" s="105"/>
      <c r="AB146" s="105"/>
      <c r="AC146" s="134"/>
    </row>
    <row r="147" spans="1:29" ht="15.75">
      <c r="A147" s="29"/>
      <c r="B147" s="3"/>
      <c r="C147" s="3"/>
      <c r="D147" s="3"/>
      <c r="E147" s="3"/>
      <c r="F147" s="3"/>
      <c r="G147" s="3"/>
      <c r="H147" s="28"/>
      <c r="I147" s="82"/>
      <c r="J147" s="116"/>
      <c r="K147" s="125"/>
      <c r="L147" s="58"/>
      <c r="M147" s="58"/>
      <c r="N147" s="58"/>
      <c r="O147" s="58"/>
      <c r="P147" s="59"/>
      <c r="Q147" s="59"/>
      <c r="R147" s="59"/>
      <c r="S147" s="59"/>
      <c r="T147" s="59"/>
      <c r="U147" s="104"/>
      <c r="V147" s="130"/>
      <c r="X147" s="54"/>
      <c r="Y147" s="56"/>
      <c r="AA147" s="105"/>
      <c r="AB147" s="105"/>
      <c r="AC147" s="134"/>
    </row>
    <row r="148" spans="1:29" ht="15.75">
      <c r="A148" s="29"/>
      <c r="B148" s="3"/>
      <c r="C148" s="9"/>
      <c r="D148" s="3"/>
      <c r="E148" s="3"/>
      <c r="F148" s="10"/>
      <c r="G148" s="1"/>
      <c r="H148" s="27"/>
      <c r="I148" s="82"/>
      <c r="J148" s="116"/>
      <c r="K148" s="125"/>
      <c r="L148" s="58"/>
      <c r="M148" s="58"/>
      <c r="N148" s="58"/>
      <c r="O148" s="58"/>
      <c r="P148" s="59"/>
      <c r="Q148" s="59"/>
      <c r="R148" s="59"/>
      <c r="S148" s="59"/>
      <c r="T148" s="59"/>
      <c r="U148" s="104"/>
      <c r="V148" s="130"/>
      <c r="X148" s="54"/>
      <c r="Y148" s="56"/>
      <c r="AA148" s="105"/>
      <c r="AB148" s="105"/>
      <c r="AC148" s="134"/>
    </row>
    <row r="149" spans="1:29" ht="15.75">
      <c r="A149" s="29"/>
      <c r="B149" s="55"/>
      <c r="C149" s="9"/>
      <c r="D149" s="3"/>
      <c r="E149" s="3"/>
      <c r="F149" s="3"/>
      <c r="G149" s="3"/>
      <c r="H149" s="28"/>
      <c r="I149" s="82"/>
      <c r="J149" s="116"/>
      <c r="K149" s="125"/>
      <c r="L149" s="106"/>
      <c r="M149" s="58"/>
      <c r="N149" s="58"/>
      <c r="O149" s="58"/>
      <c r="P149" s="59"/>
      <c r="Q149" s="59"/>
      <c r="R149" s="59"/>
      <c r="S149" s="59"/>
      <c r="T149" s="59"/>
      <c r="U149" s="104"/>
      <c r="V149" s="130"/>
      <c r="X149" s="54"/>
      <c r="Y149" s="56"/>
      <c r="AA149" s="105"/>
      <c r="AB149" s="105"/>
      <c r="AC149" s="134"/>
    </row>
    <row r="150" spans="1:29" ht="15.75">
      <c r="A150" s="29"/>
      <c r="B150" s="3"/>
      <c r="C150" s="9"/>
      <c r="D150" s="3"/>
      <c r="E150" s="3"/>
      <c r="F150" s="10"/>
      <c r="G150" s="1"/>
      <c r="H150" s="27"/>
      <c r="I150" s="82"/>
      <c r="J150" s="116"/>
      <c r="K150" s="125"/>
      <c r="L150" s="58"/>
      <c r="M150" s="58"/>
      <c r="N150" s="58"/>
      <c r="O150" s="58"/>
      <c r="P150" s="59"/>
      <c r="Q150" s="59"/>
      <c r="R150" s="59"/>
      <c r="S150" s="59"/>
      <c r="T150" s="59"/>
      <c r="U150" s="104"/>
      <c r="V150" s="130"/>
      <c r="X150" s="54"/>
      <c r="Y150" s="56"/>
      <c r="AA150" s="105"/>
      <c r="AB150" s="105"/>
      <c r="AC150" s="134"/>
    </row>
    <row r="151" spans="1:29" ht="15.75">
      <c r="A151" s="29"/>
      <c r="B151" s="3"/>
      <c r="C151" s="9"/>
      <c r="D151" s="3"/>
      <c r="E151" s="3"/>
      <c r="F151" s="10"/>
      <c r="G151" s="1"/>
      <c r="H151" s="27"/>
      <c r="I151" s="82"/>
      <c r="J151" s="116"/>
      <c r="K151" s="125"/>
      <c r="L151" s="58"/>
      <c r="M151" s="58"/>
      <c r="N151" s="58"/>
      <c r="O151" s="58"/>
      <c r="P151" s="59"/>
      <c r="Q151" s="59"/>
      <c r="R151" s="59"/>
      <c r="S151" s="59"/>
      <c r="T151" s="59"/>
      <c r="U151" s="104"/>
      <c r="V151" s="130"/>
      <c r="X151" s="54"/>
      <c r="Y151" s="56"/>
      <c r="AA151" s="105"/>
      <c r="AB151" s="105"/>
      <c r="AC151" s="134"/>
    </row>
    <row r="152" spans="1:29" ht="15.75">
      <c r="A152" s="29"/>
      <c r="B152" s="55"/>
      <c r="C152" s="55"/>
      <c r="D152" s="55"/>
      <c r="E152" s="55"/>
      <c r="F152" s="55"/>
      <c r="G152" s="55"/>
      <c r="H152" s="56"/>
      <c r="I152" s="82"/>
      <c r="J152" s="116"/>
      <c r="K152" s="125"/>
      <c r="L152" s="58"/>
      <c r="M152" s="58"/>
      <c r="N152" s="58"/>
      <c r="O152" s="58"/>
      <c r="P152" s="59"/>
      <c r="Q152" s="59"/>
      <c r="R152" s="59"/>
      <c r="S152" s="59"/>
      <c r="T152" s="59"/>
      <c r="U152" s="104"/>
      <c r="V152" s="130"/>
      <c r="X152" s="54"/>
      <c r="Y152" s="56"/>
      <c r="AA152" s="105"/>
      <c r="AB152" s="105"/>
      <c r="AC152" s="134"/>
    </row>
    <row r="153" spans="1:29" ht="15.75">
      <c r="A153" s="29"/>
      <c r="B153" s="55"/>
      <c r="C153" s="55"/>
      <c r="D153" s="55"/>
      <c r="E153" s="55"/>
      <c r="F153" s="55"/>
      <c r="G153" s="55"/>
      <c r="H153" s="56"/>
      <c r="I153" s="82"/>
      <c r="J153" s="116"/>
      <c r="K153" s="125"/>
      <c r="L153" s="58"/>
      <c r="M153" s="58"/>
      <c r="N153" s="58"/>
      <c r="O153" s="58"/>
      <c r="P153" s="59"/>
      <c r="Q153" s="59"/>
      <c r="R153" s="59"/>
      <c r="S153" s="59"/>
      <c r="T153" s="59"/>
      <c r="U153" s="104"/>
      <c r="V153" s="130"/>
      <c r="X153" s="54"/>
      <c r="Y153" s="56"/>
      <c r="AA153" s="105"/>
      <c r="AB153" s="105"/>
      <c r="AC153" s="134"/>
    </row>
    <row r="154" spans="1:29" ht="15.75">
      <c r="A154" s="29"/>
      <c r="B154" s="55"/>
      <c r="C154" s="55"/>
      <c r="D154" s="55"/>
      <c r="E154" s="55"/>
      <c r="F154" s="55"/>
      <c r="G154" s="55"/>
      <c r="H154" s="56"/>
      <c r="I154" s="82"/>
      <c r="J154" s="116"/>
      <c r="K154" s="125"/>
      <c r="L154" s="58"/>
      <c r="M154" s="58"/>
      <c r="N154" s="58"/>
      <c r="O154" s="58"/>
      <c r="P154" s="59"/>
      <c r="Q154" s="59"/>
      <c r="R154" s="59"/>
      <c r="S154" s="59"/>
      <c r="T154" s="59"/>
      <c r="U154" s="104"/>
      <c r="V154" s="130"/>
      <c r="X154" s="54"/>
      <c r="Y154" s="56"/>
      <c r="AA154" s="105"/>
      <c r="AB154" s="105"/>
      <c r="AC154" s="134"/>
    </row>
    <row r="155" spans="1:29" ht="15.75">
      <c r="A155" s="29"/>
      <c r="B155" s="55"/>
      <c r="C155" s="55"/>
      <c r="D155" s="55"/>
      <c r="E155" s="55"/>
      <c r="F155" s="55"/>
      <c r="G155" s="55"/>
      <c r="H155" s="56"/>
      <c r="I155" s="82"/>
      <c r="J155" s="116"/>
      <c r="K155" s="125"/>
      <c r="L155" s="58"/>
      <c r="M155" s="58"/>
      <c r="N155" s="58"/>
      <c r="O155" s="58"/>
      <c r="P155" s="59"/>
      <c r="Q155" s="59"/>
      <c r="R155" s="59"/>
      <c r="S155" s="59"/>
      <c r="T155" s="59"/>
      <c r="U155" s="104"/>
      <c r="V155" s="130"/>
      <c r="X155" s="54"/>
      <c r="Y155" s="56"/>
      <c r="AA155" s="105"/>
      <c r="AB155" s="105"/>
      <c r="AC155" s="134"/>
    </row>
    <row r="156" spans="1:29" ht="15.75">
      <c r="A156" s="29"/>
      <c r="B156" s="55"/>
      <c r="C156" s="55"/>
      <c r="D156" s="55"/>
      <c r="E156" s="55"/>
      <c r="F156" s="55"/>
      <c r="G156" s="55"/>
      <c r="H156" s="56"/>
      <c r="I156" s="82"/>
      <c r="J156" s="116"/>
      <c r="K156" s="125"/>
      <c r="L156" s="58"/>
      <c r="M156" s="58"/>
      <c r="N156" s="58"/>
      <c r="O156" s="58"/>
      <c r="P156" s="59"/>
      <c r="Q156" s="59"/>
      <c r="R156" s="59"/>
      <c r="S156" s="59"/>
      <c r="T156" s="59"/>
      <c r="U156" s="104"/>
      <c r="V156" s="130"/>
      <c r="X156" s="54"/>
      <c r="Y156" s="56"/>
      <c r="AA156" s="105"/>
      <c r="AB156" s="105"/>
      <c r="AC156" s="134"/>
    </row>
    <row r="157" spans="1:29" ht="15.75">
      <c r="A157" s="29"/>
      <c r="B157" s="55"/>
      <c r="C157" s="55"/>
      <c r="D157" s="55"/>
      <c r="E157" s="55"/>
      <c r="F157" s="55"/>
      <c r="G157" s="55"/>
      <c r="H157" s="56"/>
      <c r="I157" s="82"/>
      <c r="J157" s="116"/>
      <c r="K157" s="125"/>
      <c r="L157" s="58"/>
      <c r="M157" s="58"/>
      <c r="N157" s="58"/>
      <c r="O157" s="58"/>
      <c r="P157" s="59"/>
      <c r="Q157" s="59"/>
      <c r="R157" s="59"/>
      <c r="S157" s="59"/>
      <c r="T157" s="59"/>
      <c r="U157" s="104"/>
      <c r="V157" s="130"/>
      <c r="X157" s="54"/>
      <c r="Y157" s="56"/>
      <c r="AA157" s="105"/>
      <c r="AB157" s="105"/>
      <c r="AC157" s="134"/>
    </row>
    <row r="158" spans="1:29" ht="15.75">
      <c r="A158" s="29"/>
      <c r="B158" s="3"/>
      <c r="C158" s="9"/>
      <c r="D158" s="3"/>
      <c r="E158" s="3"/>
      <c r="F158" s="10"/>
      <c r="G158" s="1"/>
      <c r="H158" s="27"/>
      <c r="I158" s="82"/>
      <c r="J158" s="116"/>
      <c r="K158" s="125"/>
      <c r="L158" s="58"/>
      <c r="M158" s="58"/>
      <c r="N158" s="58"/>
      <c r="O158" s="58"/>
      <c r="P158" s="59"/>
      <c r="Q158" s="59"/>
      <c r="R158" s="59"/>
      <c r="S158" s="59"/>
      <c r="T158" s="59"/>
      <c r="U158" s="104"/>
      <c r="V158" s="130"/>
      <c r="X158" s="54"/>
      <c r="Y158" s="56"/>
      <c r="AA158" s="105"/>
      <c r="AB158" s="105"/>
      <c r="AC158" s="134"/>
    </row>
    <row r="159" spans="1:29" ht="15.75">
      <c r="A159" s="29"/>
      <c r="B159" s="3"/>
      <c r="C159" s="3"/>
      <c r="D159" s="3"/>
      <c r="E159" s="3"/>
      <c r="F159" s="3"/>
      <c r="G159" s="3"/>
      <c r="H159" s="28"/>
      <c r="I159" s="82"/>
      <c r="J159" s="116"/>
      <c r="K159" s="125"/>
      <c r="L159" s="58"/>
      <c r="M159" s="58"/>
      <c r="N159" s="58"/>
      <c r="O159" s="58"/>
      <c r="P159" s="59"/>
      <c r="Q159" s="59"/>
      <c r="R159" s="59"/>
      <c r="S159" s="59"/>
      <c r="T159" s="59"/>
      <c r="U159" s="104"/>
      <c r="V159" s="130"/>
      <c r="X159" s="54"/>
      <c r="Y159" s="56"/>
      <c r="AA159" s="105"/>
      <c r="AB159" s="105"/>
      <c r="AC159" s="134"/>
    </row>
    <row r="160" spans="1:29" ht="15.75">
      <c r="A160" s="29"/>
      <c r="B160" s="3"/>
      <c r="C160" s="3"/>
      <c r="D160" s="3"/>
      <c r="E160" s="3"/>
      <c r="F160" s="3"/>
      <c r="G160" s="3"/>
      <c r="H160" s="28"/>
      <c r="I160" s="82"/>
      <c r="J160" s="116"/>
      <c r="K160" s="125"/>
      <c r="L160" s="58"/>
      <c r="M160" s="58"/>
      <c r="N160" s="58"/>
      <c r="O160" s="58"/>
      <c r="P160" s="59"/>
      <c r="Q160" s="59"/>
      <c r="R160" s="59"/>
      <c r="S160" s="59"/>
      <c r="T160" s="59"/>
      <c r="U160" s="104"/>
      <c r="V160" s="130"/>
      <c r="X160" s="54"/>
      <c r="Y160" s="56"/>
      <c r="AA160" s="105"/>
      <c r="AB160" s="105"/>
      <c r="AC160" s="134"/>
    </row>
    <row r="161" spans="1:29" ht="15.75">
      <c r="A161" s="29"/>
      <c r="B161" s="55"/>
      <c r="C161" s="55"/>
      <c r="D161" s="55"/>
      <c r="E161" s="55"/>
      <c r="F161" s="55"/>
      <c r="G161" s="55"/>
      <c r="H161" s="56"/>
      <c r="I161" s="82"/>
      <c r="J161" s="116"/>
      <c r="K161" s="125"/>
      <c r="L161" s="58"/>
      <c r="M161" s="58"/>
      <c r="N161" s="58"/>
      <c r="O161" s="58"/>
      <c r="P161" s="59"/>
      <c r="Q161" s="59"/>
      <c r="R161" s="59"/>
      <c r="S161" s="59"/>
      <c r="T161" s="59"/>
      <c r="U161" s="104"/>
      <c r="V161" s="130"/>
      <c r="X161" s="54"/>
      <c r="Y161" s="56"/>
      <c r="AA161" s="105"/>
      <c r="AB161" s="105"/>
      <c r="AC161" s="134"/>
    </row>
    <row r="162" spans="1:29" ht="15.75">
      <c r="A162" s="29"/>
      <c r="B162" s="55"/>
      <c r="C162" s="55"/>
      <c r="D162" s="55"/>
      <c r="E162" s="55"/>
      <c r="F162" s="55"/>
      <c r="G162" s="55"/>
      <c r="H162" s="56"/>
      <c r="I162" s="82"/>
      <c r="J162" s="116"/>
      <c r="K162" s="125"/>
      <c r="L162" s="58"/>
      <c r="M162" s="58"/>
      <c r="N162" s="58"/>
      <c r="O162" s="58"/>
      <c r="P162" s="59"/>
      <c r="Q162" s="59"/>
      <c r="R162" s="59"/>
      <c r="S162" s="59"/>
      <c r="T162" s="59"/>
      <c r="U162" s="104"/>
      <c r="V162" s="130"/>
      <c r="X162" s="54"/>
      <c r="Y162" s="56"/>
      <c r="AA162" s="105"/>
      <c r="AB162" s="105"/>
      <c r="AC162" s="134"/>
    </row>
    <row r="163" spans="1:29" ht="15.75">
      <c r="A163" s="29"/>
      <c r="B163" s="55"/>
      <c r="C163" s="55"/>
      <c r="D163" s="55"/>
      <c r="E163" s="55"/>
      <c r="F163" s="55"/>
      <c r="G163" s="55"/>
      <c r="H163" s="56"/>
      <c r="I163" s="82"/>
      <c r="J163" s="116"/>
      <c r="K163" s="125"/>
      <c r="L163" s="58"/>
      <c r="M163" s="58"/>
      <c r="N163" s="58"/>
      <c r="O163" s="58"/>
      <c r="P163" s="59"/>
      <c r="Q163" s="59"/>
      <c r="R163" s="59"/>
      <c r="S163" s="59"/>
      <c r="T163" s="59"/>
      <c r="U163" s="104"/>
      <c r="V163" s="130"/>
      <c r="X163" s="54"/>
      <c r="Y163" s="56"/>
      <c r="AA163" s="105"/>
      <c r="AB163" s="105"/>
      <c r="AC163" s="134"/>
    </row>
    <row r="164" spans="1:29" ht="15.75">
      <c r="A164" s="29"/>
      <c r="B164" s="55"/>
      <c r="C164" s="55"/>
      <c r="D164" s="55"/>
      <c r="E164" s="55"/>
      <c r="F164" s="55"/>
      <c r="G164" s="55"/>
      <c r="H164" s="56"/>
      <c r="I164" s="82"/>
      <c r="J164" s="116"/>
      <c r="K164" s="125"/>
      <c r="L164" s="58"/>
      <c r="M164" s="58"/>
      <c r="N164" s="58"/>
      <c r="O164" s="58"/>
      <c r="P164" s="59"/>
      <c r="Q164" s="59"/>
      <c r="R164" s="59"/>
      <c r="S164" s="59"/>
      <c r="T164" s="59"/>
      <c r="U164" s="104"/>
      <c r="V164" s="130"/>
      <c r="X164" s="54"/>
      <c r="Y164" s="56"/>
      <c r="AA164" s="105"/>
      <c r="AB164" s="105"/>
      <c r="AC164" s="134"/>
    </row>
    <row r="165" spans="1:29" ht="15.75">
      <c r="A165" s="29"/>
      <c r="B165" s="55"/>
      <c r="C165" s="55"/>
      <c r="D165" s="55"/>
      <c r="E165" s="55"/>
      <c r="F165" s="55"/>
      <c r="G165" s="55"/>
      <c r="H165" s="56"/>
      <c r="I165" s="82"/>
      <c r="J165" s="116"/>
      <c r="K165" s="125"/>
      <c r="L165" s="58"/>
      <c r="M165" s="58"/>
      <c r="N165" s="58"/>
      <c r="O165" s="58"/>
      <c r="P165" s="59"/>
      <c r="Q165" s="59"/>
      <c r="R165" s="59"/>
      <c r="S165" s="59"/>
      <c r="T165" s="59"/>
      <c r="U165" s="104"/>
      <c r="V165" s="130"/>
      <c r="X165" s="54"/>
      <c r="Y165" s="56"/>
      <c r="AA165" s="105"/>
      <c r="AB165" s="105"/>
      <c r="AC165" s="134"/>
    </row>
    <row r="166" spans="1:29" ht="15.75">
      <c r="A166" s="29"/>
      <c r="B166" s="55"/>
      <c r="C166" s="55"/>
      <c r="D166" s="55"/>
      <c r="E166" s="55"/>
      <c r="F166" s="55"/>
      <c r="G166" s="55"/>
      <c r="H166" s="56"/>
      <c r="I166" s="82"/>
      <c r="J166" s="116"/>
      <c r="K166" s="125"/>
      <c r="L166" s="58"/>
      <c r="M166" s="58"/>
      <c r="N166" s="58"/>
      <c r="O166" s="58"/>
      <c r="P166" s="59"/>
      <c r="Q166" s="59"/>
      <c r="R166" s="59"/>
      <c r="S166" s="59"/>
      <c r="T166" s="59"/>
      <c r="U166" s="104"/>
      <c r="V166" s="130"/>
      <c r="X166" s="54"/>
      <c r="Y166" s="56"/>
      <c r="AA166" s="105"/>
      <c r="AB166" s="105"/>
      <c r="AC166" s="134"/>
    </row>
    <row r="167" spans="1:29" ht="15.75">
      <c r="A167" s="29"/>
      <c r="B167" s="55"/>
      <c r="C167" s="55"/>
      <c r="D167" s="55"/>
      <c r="E167" s="55"/>
      <c r="F167" s="55"/>
      <c r="G167" s="55"/>
      <c r="H167" s="56"/>
      <c r="I167" s="82"/>
      <c r="J167" s="116"/>
      <c r="K167" s="125"/>
      <c r="L167" s="58"/>
      <c r="M167" s="58"/>
      <c r="N167" s="58"/>
      <c r="O167" s="58"/>
      <c r="P167" s="59"/>
      <c r="Q167" s="59"/>
      <c r="R167" s="59"/>
      <c r="S167" s="59"/>
      <c r="T167" s="59"/>
      <c r="U167" s="104"/>
      <c r="V167" s="130"/>
      <c r="X167" s="54"/>
      <c r="Y167" s="56"/>
      <c r="AA167" s="105"/>
      <c r="AB167" s="105"/>
      <c r="AC167" s="134"/>
    </row>
    <row r="168" spans="1:29" ht="15.75">
      <c r="A168" s="29"/>
      <c r="B168" s="55"/>
      <c r="C168" s="55"/>
      <c r="D168" s="55"/>
      <c r="E168" s="55"/>
      <c r="F168" s="55"/>
      <c r="G168" s="55"/>
      <c r="H168" s="56"/>
      <c r="I168" s="82"/>
      <c r="J168" s="116"/>
      <c r="K168" s="125"/>
      <c r="L168" s="58"/>
      <c r="M168" s="58"/>
      <c r="N168" s="58"/>
      <c r="O168" s="58"/>
      <c r="P168" s="59"/>
      <c r="Q168" s="59"/>
      <c r="R168" s="59"/>
      <c r="S168" s="59"/>
      <c r="T168" s="59"/>
      <c r="U168" s="104"/>
      <c r="V168" s="130"/>
      <c r="X168" s="54"/>
      <c r="Y168" s="56"/>
      <c r="AA168" s="105"/>
      <c r="AB168" s="105"/>
      <c r="AC168" s="134"/>
    </row>
    <row r="169" spans="1:29" ht="15.75">
      <c r="A169" s="29"/>
      <c r="B169" s="55"/>
      <c r="C169" s="55"/>
      <c r="D169" s="55"/>
      <c r="E169" s="55"/>
      <c r="F169" s="55"/>
      <c r="G169" s="55"/>
      <c r="H169" s="56"/>
      <c r="I169" s="82"/>
      <c r="J169" s="116"/>
      <c r="K169" s="125"/>
      <c r="L169" s="58"/>
      <c r="M169" s="58"/>
      <c r="N169" s="58"/>
      <c r="O169" s="58"/>
      <c r="P169" s="59"/>
      <c r="Q169" s="59"/>
      <c r="R169" s="59"/>
      <c r="S169" s="59"/>
      <c r="T169" s="59"/>
      <c r="U169" s="104"/>
      <c r="V169" s="130"/>
      <c r="X169" s="54"/>
      <c r="Y169" s="56"/>
      <c r="AA169" s="105"/>
      <c r="AB169" s="105"/>
      <c r="AC169" s="134"/>
    </row>
    <row r="170" spans="1:29" ht="15.75">
      <c r="A170" s="29"/>
      <c r="B170" s="55"/>
      <c r="C170" s="55"/>
      <c r="D170" s="55"/>
      <c r="E170" s="55"/>
      <c r="F170" s="55"/>
      <c r="G170" s="55"/>
      <c r="H170" s="56"/>
      <c r="I170" s="82"/>
      <c r="J170" s="116"/>
      <c r="K170" s="125"/>
      <c r="L170" s="58"/>
      <c r="M170" s="58"/>
      <c r="N170" s="58"/>
      <c r="O170" s="58"/>
      <c r="P170" s="59"/>
      <c r="Q170" s="59"/>
      <c r="R170" s="59"/>
      <c r="S170" s="59"/>
      <c r="T170" s="59"/>
      <c r="U170" s="104"/>
      <c r="V170" s="130"/>
      <c r="X170" s="54"/>
      <c r="Y170" s="56"/>
      <c r="AA170" s="105"/>
      <c r="AB170" s="105"/>
      <c r="AC170" s="134"/>
    </row>
    <row r="171" spans="1:29" ht="15.75">
      <c r="A171" s="29"/>
      <c r="B171" s="55"/>
      <c r="C171" s="55"/>
      <c r="D171" s="55"/>
      <c r="E171" s="55"/>
      <c r="F171" s="55"/>
      <c r="G171" s="55"/>
      <c r="H171" s="56"/>
      <c r="I171" s="82"/>
      <c r="J171" s="116"/>
      <c r="K171" s="125"/>
      <c r="L171" s="58"/>
      <c r="M171" s="58"/>
      <c r="N171" s="58"/>
      <c r="O171" s="58"/>
      <c r="P171" s="59"/>
      <c r="Q171" s="59"/>
      <c r="R171" s="59"/>
      <c r="S171" s="59"/>
      <c r="T171" s="59"/>
      <c r="U171" s="104"/>
      <c r="V171" s="130"/>
      <c r="X171" s="54"/>
      <c r="Y171" s="56"/>
      <c r="AA171" s="105"/>
      <c r="AB171" s="105"/>
      <c r="AC171" s="134"/>
    </row>
    <row r="172" spans="1:29" ht="15.75">
      <c r="A172" s="29"/>
      <c r="B172" s="55"/>
      <c r="C172" s="55"/>
      <c r="D172" s="55"/>
      <c r="E172" s="55"/>
      <c r="F172" s="55"/>
      <c r="G172" s="55"/>
      <c r="H172" s="56"/>
      <c r="I172" s="82"/>
      <c r="J172" s="116"/>
      <c r="K172" s="125"/>
      <c r="L172" s="58"/>
      <c r="M172" s="58"/>
      <c r="N172" s="58"/>
      <c r="O172" s="58"/>
      <c r="P172" s="59"/>
      <c r="Q172" s="59"/>
      <c r="R172" s="59"/>
      <c r="S172" s="59"/>
      <c r="T172" s="59"/>
      <c r="U172" s="104"/>
      <c r="V172" s="130"/>
      <c r="X172" s="54"/>
      <c r="Y172" s="56"/>
      <c r="AA172" s="105"/>
      <c r="AB172" s="105"/>
      <c r="AC172" s="134"/>
    </row>
    <row r="173" spans="1:29" ht="15.75">
      <c r="A173" s="29"/>
      <c r="B173" s="55"/>
      <c r="C173" s="55"/>
      <c r="D173" s="55"/>
      <c r="E173" s="55"/>
      <c r="F173" s="55"/>
      <c r="G173" s="55"/>
      <c r="H173" s="56"/>
      <c r="I173" s="82"/>
      <c r="J173" s="116"/>
      <c r="K173" s="125"/>
      <c r="L173" s="58"/>
      <c r="M173" s="58"/>
      <c r="N173" s="58"/>
      <c r="O173" s="58"/>
      <c r="P173" s="59"/>
      <c r="Q173" s="59"/>
      <c r="R173" s="59"/>
      <c r="S173" s="59"/>
      <c r="T173" s="59"/>
      <c r="U173" s="104"/>
      <c r="V173" s="130"/>
      <c r="X173" s="54"/>
      <c r="Y173" s="56"/>
      <c r="AA173" s="105"/>
      <c r="AB173" s="105"/>
      <c r="AC173" s="134"/>
    </row>
    <row r="174" spans="1:29" ht="15.75">
      <c r="A174" s="29"/>
      <c r="B174" s="55"/>
      <c r="C174" s="55"/>
      <c r="D174" s="55"/>
      <c r="E174" s="55"/>
      <c r="F174" s="55"/>
      <c r="G174" s="55"/>
      <c r="H174" s="56"/>
      <c r="I174" s="82"/>
      <c r="J174" s="116"/>
      <c r="K174" s="125"/>
      <c r="L174" s="58"/>
      <c r="M174" s="58"/>
      <c r="N174" s="58"/>
      <c r="O174" s="58"/>
      <c r="P174" s="59"/>
      <c r="Q174" s="59"/>
      <c r="R174" s="59"/>
      <c r="S174" s="59"/>
      <c r="T174" s="59"/>
      <c r="U174" s="104"/>
      <c r="V174" s="130"/>
      <c r="X174" s="54"/>
      <c r="Y174" s="56"/>
      <c r="AA174" s="105"/>
      <c r="AB174" s="105"/>
      <c r="AC174" s="134"/>
    </row>
    <row r="175" spans="1:29" ht="15.75">
      <c r="A175" s="29"/>
      <c r="B175" s="55"/>
      <c r="C175" s="55"/>
      <c r="D175" s="55"/>
      <c r="E175" s="55"/>
      <c r="F175" s="55"/>
      <c r="G175" s="55"/>
      <c r="H175" s="56"/>
      <c r="I175" s="82"/>
      <c r="J175" s="116"/>
      <c r="K175" s="125"/>
      <c r="L175" s="58"/>
      <c r="M175" s="58"/>
      <c r="N175" s="58"/>
      <c r="O175" s="58"/>
      <c r="P175" s="59"/>
      <c r="Q175" s="59"/>
      <c r="R175" s="59"/>
      <c r="S175" s="59"/>
      <c r="T175" s="59"/>
      <c r="U175" s="104"/>
      <c r="V175" s="130"/>
      <c r="X175" s="54"/>
      <c r="Y175" s="56"/>
      <c r="AA175" s="105"/>
      <c r="AB175" s="105"/>
      <c r="AC175" s="134"/>
    </row>
    <row r="176" spans="1:29" ht="15.75">
      <c r="A176" s="29"/>
      <c r="B176" s="55"/>
      <c r="C176" s="55"/>
      <c r="D176" s="55"/>
      <c r="E176" s="55"/>
      <c r="F176" s="55"/>
      <c r="G176" s="55"/>
      <c r="H176" s="56"/>
      <c r="I176" s="82"/>
      <c r="J176" s="116"/>
      <c r="K176" s="125"/>
      <c r="L176" s="58"/>
      <c r="M176" s="58"/>
      <c r="N176" s="58"/>
      <c r="O176" s="58"/>
      <c r="P176" s="59"/>
      <c r="Q176" s="59"/>
      <c r="R176" s="59"/>
      <c r="S176" s="59"/>
      <c r="T176" s="59"/>
      <c r="U176" s="104"/>
      <c r="V176" s="130"/>
      <c r="X176" s="54"/>
      <c r="Y176" s="56"/>
      <c r="AA176" s="105"/>
      <c r="AB176" s="105"/>
      <c r="AC176" s="134"/>
    </row>
    <row r="177" spans="1:29" ht="15.75">
      <c r="A177" s="29"/>
      <c r="B177" s="55"/>
      <c r="C177" s="55"/>
      <c r="D177" s="55"/>
      <c r="E177" s="55"/>
      <c r="F177" s="55"/>
      <c r="G177" s="55"/>
      <c r="H177" s="56"/>
      <c r="I177" s="82"/>
      <c r="J177" s="116"/>
      <c r="K177" s="125"/>
      <c r="L177" s="58"/>
      <c r="M177" s="58"/>
      <c r="N177" s="58"/>
      <c r="O177" s="58"/>
      <c r="P177" s="59"/>
      <c r="Q177" s="59"/>
      <c r="R177" s="59"/>
      <c r="S177" s="59"/>
      <c r="T177" s="59"/>
      <c r="U177" s="104"/>
      <c r="V177" s="130"/>
      <c r="X177" s="54"/>
      <c r="Y177" s="56"/>
      <c r="AA177" s="105"/>
      <c r="AB177" s="105"/>
      <c r="AC177" s="134"/>
    </row>
    <row r="178" spans="1:29" ht="15.75">
      <c r="A178" s="29"/>
      <c r="B178" s="55"/>
      <c r="C178" s="55"/>
      <c r="D178" s="55"/>
      <c r="E178" s="55"/>
      <c r="F178" s="55"/>
      <c r="G178" s="55"/>
      <c r="H178" s="56"/>
      <c r="I178" s="82"/>
      <c r="J178" s="116"/>
      <c r="K178" s="125"/>
      <c r="L178" s="58"/>
      <c r="M178" s="58"/>
      <c r="N178" s="58"/>
      <c r="O178" s="58"/>
      <c r="P178" s="59"/>
      <c r="Q178" s="59"/>
      <c r="R178" s="59"/>
      <c r="S178" s="59"/>
      <c r="T178" s="59"/>
      <c r="U178" s="104"/>
      <c r="V178" s="130"/>
      <c r="X178" s="54"/>
      <c r="Y178" s="56"/>
      <c r="AA178" s="105"/>
      <c r="AB178" s="105"/>
      <c r="AC178" s="134"/>
    </row>
    <row r="179" spans="1:29" ht="15.75">
      <c r="A179" s="29"/>
      <c r="B179" s="55"/>
      <c r="C179" s="55"/>
      <c r="D179" s="55"/>
      <c r="E179" s="55"/>
      <c r="F179" s="55"/>
      <c r="G179" s="55"/>
      <c r="H179" s="56"/>
      <c r="I179" s="82"/>
      <c r="J179" s="116"/>
      <c r="K179" s="125"/>
      <c r="L179" s="58"/>
      <c r="M179" s="58"/>
      <c r="N179" s="58"/>
      <c r="O179" s="58"/>
      <c r="P179" s="59"/>
      <c r="Q179" s="59"/>
      <c r="R179" s="59"/>
      <c r="S179" s="59"/>
      <c r="T179" s="59"/>
      <c r="U179" s="104"/>
      <c r="V179" s="130"/>
      <c r="X179" s="54"/>
      <c r="Y179" s="56"/>
      <c r="AA179" s="105"/>
      <c r="AB179" s="105"/>
      <c r="AC179" s="134"/>
    </row>
    <row r="180" spans="1:29" ht="15.75">
      <c r="A180" s="29"/>
      <c r="B180" s="55"/>
      <c r="C180" s="55"/>
      <c r="D180" s="55"/>
      <c r="E180" s="55"/>
      <c r="F180" s="55"/>
      <c r="G180" s="55"/>
      <c r="H180" s="56"/>
      <c r="I180" s="82"/>
      <c r="J180" s="116"/>
      <c r="K180" s="125"/>
      <c r="L180" s="58"/>
      <c r="M180" s="58"/>
      <c r="N180" s="58"/>
      <c r="O180" s="58"/>
      <c r="P180" s="59"/>
      <c r="Q180" s="59"/>
      <c r="R180" s="59"/>
      <c r="S180" s="59"/>
      <c r="T180" s="59"/>
      <c r="U180" s="104"/>
      <c r="V180" s="130"/>
      <c r="X180" s="54"/>
      <c r="Y180" s="56"/>
      <c r="AA180" s="105"/>
      <c r="AB180" s="105"/>
      <c r="AC180" s="134"/>
    </row>
    <row r="181" spans="1:29" ht="15.75">
      <c r="A181" s="29"/>
      <c r="B181" s="55"/>
      <c r="C181" s="55"/>
      <c r="D181" s="55"/>
      <c r="E181" s="55"/>
      <c r="F181" s="55"/>
      <c r="G181" s="55"/>
      <c r="H181" s="56"/>
      <c r="I181" s="82"/>
      <c r="J181" s="116"/>
      <c r="K181" s="125"/>
      <c r="L181" s="58"/>
      <c r="M181" s="58"/>
      <c r="N181" s="58"/>
      <c r="O181" s="58"/>
      <c r="P181" s="59"/>
      <c r="Q181" s="59"/>
      <c r="R181" s="59"/>
      <c r="S181" s="59"/>
      <c r="T181" s="59"/>
      <c r="U181" s="104"/>
      <c r="V181" s="130"/>
      <c r="X181" s="54"/>
      <c r="Y181" s="56"/>
      <c r="AA181" s="105"/>
      <c r="AB181" s="105"/>
      <c r="AC181" s="134"/>
    </row>
    <row r="182" spans="1:29" ht="15.75">
      <c r="A182" s="29"/>
      <c r="B182" s="55"/>
      <c r="C182" s="55"/>
      <c r="D182" s="55"/>
      <c r="E182" s="55"/>
      <c r="F182" s="55"/>
      <c r="G182" s="55"/>
      <c r="H182" s="56"/>
      <c r="I182" s="82"/>
      <c r="J182" s="116"/>
      <c r="K182" s="125"/>
      <c r="L182" s="58"/>
      <c r="M182" s="58"/>
      <c r="N182" s="58"/>
      <c r="O182" s="58"/>
      <c r="P182" s="59"/>
      <c r="Q182" s="59"/>
      <c r="R182" s="59"/>
      <c r="S182" s="59"/>
      <c r="T182" s="59"/>
      <c r="U182" s="104"/>
      <c r="V182" s="130"/>
      <c r="X182" s="54"/>
      <c r="Y182" s="56"/>
      <c r="AA182" s="105"/>
      <c r="AB182" s="105"/>
      <c r="AC182" s="134"/>
    </row>
    <row r="183" spans="1:29" ht="15.75">
      <c r="A183" s="29"/>
      <c r="B183" s="55"/>
      <c r="C183" s="55"/>
      <c r="D183" s="55"/>
      <c r="E183" s="55"/>
      <c r="F183" s="55"/>
      <c r="G183" s="55"/>
      <c r="H183" s="56"/>
      <c r="I183" s="82"/>
      <c r="J183" s="116"/>
      <c r="K183" s="125"/>
      <c r="L183" s="58"/>
      <c r="M183" s="58"/>
      <c r="N183" s="58"/>
      <c r="O183" s="58"/>
      <c r="P183" s="59"/>
      <c r="Q183" s="59"/>
      <c r="R183" s="59"/>
      <c r="S183" s="59"/>
      <c r="T183" s="59"/>
      <c r="U183" s="104"/>
      <c r="V183" s="130"/>
      <c r="X183" s="54"/>
      <c r="Y183" s="56"/>
      <c r="AA183" s="105"/>
      <c r="AB183" s="105"/>
      <c r="AC183" s="134"/>
    </row>
    <row r="184" spans="1:29" ht="15.75">
      <c r="A184" s="29"/>
      <c r="B184" s="55"/>
      <c r="C184" s="55"/>
      <c r="D184" s="55"/>
      <c r="E184" s="55"/>
      <c r="F184" s="55"/>
      <c r="G184" s="55"/>
      <c r="H184" s="56"/>
      <c r="I184" s="82"/>
      <c r="J184" s="116"/>
      <c r="K184" s="125"/>
      <c r="L184" s="58"/>
      <c r="M184" s="58"/>
      <c r="N184" s="58"/>
      <c r="O184" s="58"/>
      <c r="P184" s="59"/>
      <c r="Q184" s="59"/>
      <c r="R184" s="59"/>
      <c r="S184" s="59"/>
      <c r="T184" s="59"/>
      <c r="U184" s="104"/>
      <c r="V184" s="130"/>
      <c r="X184" s="54"/>
      <c r="Y184" s="56"/>
      <c r="AA184" s="105"/>
      <c r="AB184" s="105"/>
      <c r="AC184" s="134"/>
    </row>
    <row r="185" spans="1:29" ht="15.75">
      <c r="A185" s="29"/>
      <c r="B185" s="55"/>
      <c r="C185" s="55"/>
      <c r="D185" s="55"/>
      <c r="E185" s="55"/>
      <c r="F185" s="55"/>
      <c r="G185" s="55"/>
      <c r="H185" s="56"/>
      <c r="I185" s="82"/>
      <c r="J185" s="116"/>
      <c r="K185" s="125"/>
      <c r="L185" s="58"/>
      <c r="M185" s="58"/>
      <c r="N185" s="58"/>
      <c r="O185" s="58"/>
      <c r="P185" s="59"/>
      <c r="Q185" s="59"/>
      <c r="R185" s="59"/>
      <c r="S185" s="59"/>
      <c r="T185" s="59"/>
      <c r="U185" s="104"/>
      <c r="V185" s="130"/>
      <c r="X185" s="54"/>
      <c r="Y185" s="56"/>
      <c r="AA185" s="105"/>
      <c r="AB185" s="105"/>
      <c r="AC185" s="134"/>
    </row>
    <row r="186" spans="1:29" ht="15.75">
      <c r="A186" s="29"/>
      <c r="B186" s="55"/>
      <c r="C186" s="55"/>
      <c r="D186" s="55"/>
      <c r="E186" s="55"/>
      <c r="F186" s="55"/>
      <c r="G186" s="55"/>
      <c r="H186" s="56"/>
      <c r="I186" s="82"/>
      <c r="J186" s="116"/>
      <c r="K186" s="125"/>
      <c r="L186" s="58"/>
      <c r="M186" s="58"/>
      <c r="N186" s="58"/>
      <c r="O186" s="58"/>
      <c r="P186" s="59"/>
      <c r="Q186" s="59"/>
      <c r="R186" s="59"/>
      <c r="S186" s="59"/>
      <c r="T186" s="59"/>
      <c r="U186" s="104"/>
      <c r="V186" s="130"/>
      <c r="X186" s="54"/>
      <c r="Y186" s="56"/>
      <c r="AA186" s="105"/>
      <c r="AB186" s="105"/>
      <c r="AC186" s="134"/>
    </row>
    <row r="187" spans="1:29" ht="15.75">
      <c r="A187" s="29"/>
      <c r="B187" s="55"/>
      <c r="C187" s="55"/>
      <c r="D187" s="55"/>
      <c r="E187" s="55"/>
      <c r="F187" s="55"/>
      <c r="G187" s="55"/>
      <c r="H187" s="56"/>
      <c r="I187" s="82"/>
      <c r="J187" s="116"/>
      <c r="K187" s="125"/>
      <c r="L187" s="58"/>
      <c r="M187" s="58"/>
      <c r="N187" s="58"/>
      <c r="O187" s="58"/>
      <c r="P187" s="59"/>
      <c r="Q187" s="59"/>
      <c r="R187" s="59"/>
      <c r="S187" s="59"/>
      <c r="T187" s="59"/>
      <c r="U187" s="104"/>
      <c r="V187" s="130"/>
      <c r="X187" s="54"/>
      <c r="Y187" s="56"/>
      <c r="AA187" s="105"/>
      <c r="AB187" s="105"/>
      <c r="AC187" s="134"/>
    </row>
    <row r="188" spans="1:29" ht="15.75">
      <c r="A188" s="29"/>
      <c r="B188" s="55"/>
      <c r="C188" s="55"/>
      <c r="D188" s="55"/>
      <c r="E188" s="55"/>
      <c r="F188" s="55"/>
      <c r="G188" s="55"/>
      <c r="H188" s="56"/>
      <c r="I188" s="82"/>
      <c r="J188" s="116"/>
      <c r="K188" s="125"/>
      <c r="L188" s="58"/>
      <c r="M188" s="58"/>
      <c r="N188" s="58"/>
      <c r="O188" s="58"/>
      <c r="P188" s="59"/>
      <c r="Q188" s="59"/>
      <c r="R188" s="59"/>
      <c r="S188" s="59"/>
      <c r="T188" s="59"/>
      <c r="U188" s="104"/>
      <c r="V188" s="130"/>
      <c r="X188" s="54"/>
      <c r="Y188" s="56"/>
      <c r="AA188" s="105"/>
      <c r="AB188" s="105"/>
      <c r="AC188" s="134"/>
    </row>
    <row r="189" spans="1:29" ht="15.75">
      <c r="A189" s="29"/>
      <c r="B189" s="55"/>
      <c r="C189" s="55"/>
      <c r="D189" s="55"/>
      <c r="E189" s="55"/>
      <c r="F189" s="55"/>
      <c r="G189" s="55"/>
      <c r="H189" s="56"/>
      <c r="I189" s="82"/>
      <c r="J189" s="116"/>
      <c r="K189" s="125"/>
      <c r="L189" s="58"/>
      <c r="M189" s="58"/>
      <c r="N189" s="58"/>
      <c r="O189" s="58"/>
      <c r="P189" s="59"/>
      <c r="Q189" s="59"/>
      <c r="R189" s="59"/>
      <c r="S189" s="59"/>
      <c r="T189" s="59"/>
      <c r="U189" s="104"/>
      <c r="V189" s="130"/>
      <c r="X189" s="54"/>
      <c r="Y189" s="56"/>
      <c r="AA189" s="105"/>
      <c r="AB189" s="105"/>
      <c r="AC189" s="134"/>
    </row>
    <row r="190" spans="1:29" ht="15.75">
      <c r="A190" s="29"/>
      <c r="B190" s="55"/>
      <c r="C190" s="55"/>
      <c r="D190" s="55"/>
      <c r="E190" s="55"/>
      <c r="F190" s="55"/>
      <c r="G190" s="55"/>
      <c r="H190" s="56"/>
      <c r="I190" s="82"/>
      <c r="J190" s="116"/>
      <c r="K190" s="125"/>
      <c r="L190" s="58"/>
      <c r="M190" s="58"/>
      <c r="N190" s="58"/>
      <c r="O190" s="58"/>
      <c r="P190" s="59"/>
      <c r="Q190" s="59"/>
      <c r="R190" s="59"/>
      <c r="S190" s="59"/>
      <c r="T190" s="59"/>
      <c r="U190" s="104"/>
      <c r="V190" s="130"/>
      <c r="X190" s="54"/>
      <c r="Y190" s="56"/>
      <c r="AA190" s="105"/>
      <c r="AB190" s="105"/>
      <c r="AC190" s="134"/>
    </row>
    <row r="191" spans="1:29" ht="15.75">
      <c r="A191" s="29"/>
      <c r="B191" s="55"/>
      <c r="C191" s="55"/>
      <c r="D191" s="55"/>
      <c r="E191" s="55"/>
      <c r="F191" s="55"/>
      <c r="G191" s="55"/>
      <c r="H191" s="56"/>
      <c r="I191" s="82"/>
      <c r="J191" s="116"/>
      <c r="K191" s="125"/>
      <c r="L191" s="58"/>
      <c r="M191" s="58"/>
      <c r="N191" s="58"/>
      <c r="O191" s="58"/>
      <c r="P191" s="59"/>
      <c r="Q191" s="59"/>
      <c r="R191" s="59"/>
      <c r="S191" s="59"/>
      <c r="T191" s="59"/>
      <c r="U191" s="104"/>
      <c r="V191" s="130"/>
      <c r="X191" s="54"/>
      <c r="Y191" s="56"/>
      <c r="AA191" s="105"/>
      <c r="AB191" s="105"/>
      <c r="AC191" s="134"/>
    </row>
    <row r="192" spans="1:29" ht="15.75">
      <c r="A192" s="29"/>
      <c r="B192" s="55"/>
      <c r="C192" s="55"/>
      <c r="D192" s="55"/>
      <c r="E192" s="55"/>
      <c r="F192" s="55"/>
      <c r="G192" s="55"/>
      <c r="H192" s="56"/>
      <c r="I192" s="82"/>
      <c r="J192" s="116"/>
      <c r="K192" s="125"/>
      <c r="L192" s="58"/>
      <c r="M192" s="58"/>
      <c r="N192" s="58"/>
      <c r="O192" s="58"/>
      <c r="P192" s="59"/>
      <c r="Q192" s="59"/>
      <c r="R192" s="59"/>
      <c r="S192" s="59"/>
      <c r="T192" s="59"/>
      <c r="U192" s="104"/>
      <c r="V192" s="130"/>
      <c r="X192" s="54"/>
      <c r="Y192" s="56"/>
      <c r="AA192" s="105"/>
      <c r="AB192" s="105"/>
      <c r="AC192" s="134"/>
    </row>
    <row r="193" spans="1:29" ht="15.75">
      <c r="A193" s="29"/>
      <c r="B193" s="55"/>
      <c r="C193" s="55"/>
      <c r="D193" s="55"/>
      <c r="E193" s="55"/>
      <c r="F193" s="55"/>
      <c r="G193" s="55"/>
      <c r="H193" s="56"/>
      <c r="I193" s="82"/>
      <c r="J193" s="116"/>
      <c r="K193" s="125"/>
      <c r="L193" s="58"/>
      <c r="M193" s="58"/>
      <c r="N193" s="58"/>
      <c r="O193" s="58"/>
      <c r="P193" s="59"/>
      <c r="Q193" s="59"/>
      <c r="R193" s="59"/>
      <c r="S193" s="59"/>
      <c r="T193" s="59"/>
      <c r="U193" s="104"/>
      <c r="V193" s="130"/>
      <c r="X193" s="54"/>
      <c r="Y193" s="56"/>
      <c r="AA193" s="105"/>
      <c r="AB193" s="105"/>
      <c r="AC193" s="134"/>
    </row>
    <row r="194" spans="1:29" ht="15.75">
      <c r="A194" s="29"/>
      <c r="B194" s="55"/>
      <c r="C194" s="55"/>
      <c r="D194" s="55"/>
      <c r="E194" s="55"/>
      <c r="F194" s="55"/>
      <c r="G194" s="55"/>
      <c r="H194" s="56"/>
      <c r="I194" s="82"/>
      <c r="J194" s="116"/>
      <c r="K194" s="125"/>
      <c r="L194" s="58"/>
      <c r="M194" s="58"/>
      <c r="N194" s="58"/>
      <c r="O194" s="58"/>
      <c r="P194" s="59"/>
      <c r="Q194" s="59"/>
      <c r="R194" s="59"/>
      <c r="S194" s="59"/>
      <c r="T194" s="59"/>
      <c r="U194" s="104"/>
      <c r="V194" s="130"/>
      <c r="X194" s="54"/>
      <c r="Y194" s="56"/>
      <c r="AA194" s="105"/>
      <c r="AB194" s="105"/>
      <c r="AC194" s="134"/>
    </row>
    <row r="195" spans="1:29" ht="15.75">
      <c r="A195" s="29"/>
      <c r="B195" s="55"/>
      <c r="C195" s="55"/>
      <c r="D195" s="55"/>
      <c r="E195" s="55"/>
      <c r="F195" s="55"/>
      <c r="G195" s="55"/>
      <c r="H195" s="56"/>
      <c r="I195" s="82"/>
      <c r="J195" s="116"/>
      <c r="K195" s="125"/>
      <c r="L195" s="58"/>
      <c r="M195" s="58"/>
      <c r="N195" s="58"/>
      <c r="O195" s="58"/>
      <c r="P195" s="59"/>
      <c r="Q195" s="59"/>
      <c r="R195" s="59"/>
      <c r="S195" s="59"/>
      <c r="T195" s="59"/>
      <c r="U195" s="104"/>
      <c r="V195" s="130"/>
      <c r="X195" s="54"/>
      <c r="Y195" s="56"/>
      <c r="AA195" s="105"/>
      <c r="AB195" s="105"/>
      <c r="AC195" s="134"/>
    </row>
    <row r="196" spans="1:29" ht="15.75">
      <c r="A196" s="29"/>
      <c r="B196" s="55"/>
      <c r="C196" s="55"/>
      <c r="D196" s="55"/>
      <c r="E196" s="55"/>
      <c r="F196" s="55"/>
      <c r="G196" s="55"/>
      <c r="H196" s="56"/>
      <c r="I196" s="82"/>
      <c r="J196" s="116"/>
      <c r="K196" s="125"/>
      <c r="L196" s="58"/>
      <c r="M196" s="58"/>
      <c r="N196" s="58"/>
      <c r="O196" s="58"/>
      <c r="P196" s="59"/>
      <c r="Q196" s="59"/>
      <c r="R196" s="59"/>
      <c r="S196" s="59"/>
      <c r="T196" s="59"/>
      <c r="U196" s="104"/>
      <c r="V196" s="130"/>
      <c r="X196" s="54"/>
      <c r="Y196" s="56"/>
      <c r="AA196" s="105"/>
      <c r="AB196" s="105"/>
      <c r="AC196" s="134"/>
    </row>
    <row r="197" spans="1:29" ht="15.75">
      <c r="A197" s="29"/>
      <c r="B197" s="55"/>
      <c r="C197" s="55"/>
      <c r="D197" s="55"/>
      <c r="E197" s="55"/>
      <c r="F197" s="55"/>
      <c r="G197" s="55"/>
      <c r="H197" s="56"/>
      <c r="I197" s="82"/>
      <c r="J197" s="116"/>
      <c r="K197" s="125"/>
      <c r="L197" s="58"/>
      <c r="M197" s="58"/>
      <c r="N197" s="58"/>
      <c r="O197" s="58"/>
      <c r="P197" s="59"/>
      <c r="Q197" s="59"/>
      <c r="R197" s="59"/>
      <c r="S197" s="59"/>
      <c r="T197" s="59"/>
      <c r="U197" s="104"/>
      <c r="V197" s="130"/>
      <c r="X197" s="54"/>
      <c r="Y197" s="56"/>
      <c r="AA197" s="105"/>
      <c r="AB197" s="105"/>
      <c r="AC197" s="134"/>
    </row>
    <row r="198" spans="1:29" ht="15.75">
      <c r="A198" s="29"/>
      <c r="B198" s="55"/>
      <c r="C198" s="55"/>
      <c r="D198" s="55"/>
      <c r="E198" s="55"/>
      <c r="F198" s="55"/>
      <c r="G198" s="55"/>
      <c r="H198" s="56"/>
      <c r="I198" s="82"/>
      <c r="J198" s="116"/>
      <c r="K198" s="125"/>
      <c r="L198" s="58"/>
      <c r="M198" s="58"/>
      <c r="N198" s="58"/>
      <c r="O198" s="58"/>
      <c r="P198" s="59"/>
      <c r="Q198" s="59"/>
      <c r="R198" s="59"/>
      <c r="S198" s="59"/>
      <c r="T198" s="59"/>
      <c r="U198" s="104"/>
      <c r="V198" s="130"/>
      <c r="X198" s="54"/>
      <c r="Y198" s="56"/>
      <c r="AA198" s="105"/>
      <c r="AB198" s="105"/>
      <c r="AC198" s="134"/>
    </row>
    <row r="199" spans="1:29" ht="15.75">
      <c r="A199" s="29"/>
      <c r="B199" s="55"/>
      <c r="C199" s="55"/>
      <c r="D199" s="55"/>
      <c r="E199" s="55"/>
      <c r="F199" s="55"/>
      <c r="G199" s="55"/>
      <c r="H199" s="56"/>
      <c r="I199" s="82"/>
      <c r="J199" s="116"/>
      <c r="K199" s="125"/>
      <c r="L199" s="58"/>
      <c r="M199" s="58"/>
      <c r="N199" s="58"/>
      <c r="O199" s="58"/>
      <c r="P199" s="59"/>
      <c r="Q199" s="59"/>
      <c r="R199" s="59"/>
      <c r="S199" s="59"/>
      <c r="T199" s="59"/>
      <c r="U199" s="104"/>
      <c r="V199" s="130"/>
      <c r="X199" s="54"/>
      <c r="Y199" s="56"/>
      <c r="AA199" s="105"/>
      <c r="AB199" s="105"/>
      <c r="AC199" s="134"/>
    </row>
    <row r="200" spans="1:29" ht="15.75">
      <c r="A200" s="29"/>
      <c r="B200" s="55"/>
      <c r="C200" s="55"/>
      <c r="D200" s="55"/>
      <c r="E200" s="55"/>
      <c r="F200" s="55"/>
      <c r="G200" s="55"/>
      <c r="H200" s="56"/>
      <c r="I200" s="82"/>
      <c r="J200" s="116"/>
      <c r="K200" s="125"/>
      <c r="L200" s="58"/>
      <c r="M200" s="58"/>
      <c r="N200" s="58"/>
      <c r="O200" s="58"/>
      <c r="P200" s="59"/>
      <c r="Q200" s="59"/>
      <c r="R200" s="59"/>
      <c r="S200" s="59"/>
      <c r="T200" s="59"/>
      <c r="U200" s="104"/>
      <c r="V200" s="130"/>
      <c r="X200" s="54"/>
      <c r="Y200" s="56"/>
      <c r="AA200" s="105"/>
      <c r="AB200" s="105"/>
      <c r="AC200" s="134"/>
    </row>
    <row r="201" spans="1:29" ht="15.75">
      <c r="A201" s="29"/>
      <c r="B201" s="55"/>
      <c r="C201" s="55"/>
      <c r="D201" s="55"/>
      <c r="E201" s="55"/>
      <c r="F201" s="55"/>
      <c r="G201" s="55"/>
      <c r="H201" s="56"/>
      <c r="I201" s="82"/>
      <c r="J201" s="116"/>
      <c r="K201" s="125"/>
      <c r="L201" s="58"/>
      <c r="M201" s="58"/>
      <c r="N201" s="58"/>
      <c r="O201" s="58"/>
      <c r="P201" s="59"/>
      <c r="Q201" s="59"/>
      <c r="R201" s="59"/>
      <c r="S201" s="59"/>
      <c r="T201" s="59"/>
      <c r="U201" s="104"/>
      <c r="V201" s="130"/>
      <c r="X201" s="54"/>
      <c r="Y201" s="56"/>
      <c r="AA201" s="105"/>
      <c r="AB201" s="105"/>
      <c r="AC201" s="134"/>
    </row>
    <row r="202" spans="1:29" ht="16.5" thickBot="1">
      <c r="A202" s="30"/>
      <c r="B202" s="31"/>
      <c r="C202" s="31"/>
      <c r="D202" s="31"/>
      <c r="E202" s="31"/>
      <c r="F202" s="31"/>
      <c r="G202" s="31"/>
      <c r="H202" s="32"/>
      <c r="I202" s="82"/>
      <c r="J202" s="126"/>
      <c r="K202" s="127"/>
      <c r="L202" s="50"/>
      <c r="M202" s="50"/>
      <c r="N202" s="50"/>
      <c r="O202" s="50"/>
      <c r="P202" s="51"/>
      <c r="Q202" s="51"/>
      <c r="R202" s="51"/>
      <c r="S202" s="51"/>
      <c r="T202" s="51"/>
      <c r="U202" s="52"/>
      <c r="V202" s="131"/>
      <c r="X202" s="30"/>
      <c r="Y202" s="32"/>
      <c r="AA202" s="62"/>
      <c r="AB202" s="62"/>
      <c r="AC202" s="135"/>
    </row>
  </sheetData>
  <autoFilter ref="A2:AC146" xr:uid="{969E45CB-FC1E-4835-BA2F-DA99948549B1}"/>
  <mergeCells count="1">
    <mergeCell ref="AA1:AB1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65D7-8434-4E48-AE7B-FD13BAC8300A}">
  <dimension ref="A1:AC202"/>
  <sheetViews>
    <sheetView showGridLines="0" zoomScale="95" zoomScaleNormal="95" workbookViewId="0">
      <pane xSplit="4" ySplit="2" topLeftCell="E3" activePane="bottomRight" state="frozen"/>
      <selection pane="bottomRight" activeCell="A2" sqref="A2"/>
      <selection pane="bottomLeft" activeCell="A3" sqref="A3"/>
      <selection pane="topRight" activeCell="E1" sqref="E1"/>
    </sheetView>
  </sheetViews>
  <sheetFormatPr defaultColWidth="8.7109375" defaultRowHeight="15"/>
  <cols>
    <col min="1" max="1" width="8.7109375" style="5" customWidth="1"/>
    <col min="2" max="2" width="20.7109375" style="5" customWidth="1"/>
    <col min="3" max="3" width="15.7109375" style="5" customWidth="1"/>
    <col min="4" max="4" width="23.7109375" style="5" customWidth="1"/>
    <col min="5" max="8" width="10.7109375" style="5" customWidth="1"/>
    <col min="9" max="9" width="3.7109375" style="8" customWidth="1"/>
    <col min="10" max="10" width="10.7109375" style="5" customWidth="1"/>
    <col min="11" max="11" width="12.42578125" style="12" customWidth="1"/>
    <col min="12" max="12" width="10.7109375" style="8" customWidth="1"/>
    <col min="13" max="13" width="10" style="8" customWidth="1"/>
    <col min="14" max="14" width="10.7109375" style="8" customWidth="1"/>
    <col min="15" max="15" width="9.7109375" style="8" customWidth="1"/>
    <col min="16" max="21" width="10.7109375" style="5" customWidth="1"/>
    <col min="22" max="22" width="10.7109375" style="15" customWidth="1"/>
    <col min="23" max="23" width="1.7109375" style="8" customWidth="1"/>
    <col min="24" max="24" width="12.7109375" style="5" customWidth="1"/>
    <col min="25" max="25" width="12.140625" style="5" customWidth="1"/>
    <col min="26" max="26" width="1.7109375" style="8" customWidth="1"/>
    <col min="27" max="28" width="10.7109375" style="8" customWidth="1"/>
    <col min="29" max="29" width="20.7109375" style="8" customWidth="1"/>
    <col min="30" max="984" width="10.7109375" style="8" customWidth="1"/>
    <col min="985" max="16384" width="8.7109375" style="8"/>
  </cols>
  <sheetData>
    <row r="1" spans="1:29" ht="28.5" customHeight="1" thickBot="1">
      <c r="A1" s="4"/>
      <c r="B1" s="4"/>
      <c r="C1" s="4"/>
      <c r="D1" s="24"/>
      <c r="E1" s="25"/>
      <c r="F1" s="4"/>
      <c r="I1" s="6"/>
      <c r="K1" s="7"/>
      <c r="L1" s="6"/>
      <c r="M1" s="6"/>
      <c r="N1" s="6"/>
      <c r="O1" s="6"/>
      <c r="W1" s="6"/>
      <c r="AA1" s="145">
        <v>45747</v>
      </c>
      <c r="AB1" s="146"/>
      <c r="AC1" s="75">
        <f>SUM(AC3:AC81)</f>
        <v>208377.38139822456</v>
      </c>
    </row>
    <row r="2" spans="1:29" s="45" customFormat="1" ht="50.25" customHeight="1" thickBot="1">
      <c r="A2" s="107" t="s">
        <v>0</v>
      </c>
      <c r="B2" s="108" t="s">
        <v>1</v>
      </c>
      <c r="C2" s="108" t="s">
        <v>2</v>
      </c>
      <c r="D2" s="108" t="s">
        <v>3</v>
      </c>
      <c r="E2" s="108" t="s">
        <v>4</v>
      </c>
      <c r="F2" s="108" t="s">
        <v>5</v>
      </c>
      <c r="G2" s="108" t="s">
        <v>6</v>
      </c>
      <c r="H2" s="109" t="s">
        <v>7</v>
      </c>
      <c r="J2" s="107" t="s">
        <v>8</v>
      </c>
      <c r="K2" s="110" t="s">
        <v>372</v>
      </c>
      <c r="L2" s="110" t="s">
        <v>373</v>
      </c>
      <c r="M2" s="111" t="s">
        <v>12</v>
      </c>
      <c r="N2" s="111" t="s">
        <v>13</v>
      </c>
      <c r="O2" s="111" t="s">
        <v>14</v>
      </c>
      <c r="P2" s="112" t="s">
        <v>15</v>
      </c>
      <c r="Q2" s="112" t="s">
        <v>16</v>
      </c>
      <c r="R2" s="112" t="s">
        <v>17</v>
      </c>
      <c r="S2" s="112" t="s">
        <v>18</v>
      </c>
      <c r="T2" s="112" t="s">
        <v>19</v>
      </c>
      <c r="U2" s="112" t="s">
        <v>20</v>
      </c>
      <c r="V2" s="113" t="s">
        <v>21</v>
      </c>
      <c r="X2" s="107" t="s">
        <v>22</v>
      </c>
      <c r="Y2" s="109" t="s">
        <v>23</v>
      </c>
      <c r="AA2" s="114" t="s">
        <v>24</v>
      </c>
      <c r="AB2" s="114" t="s">
        <v>25</v>
      </c>
      <c r="AC2" s="115" t="s">
        <v>26</v>
      </c>
    </row>
    <row r="3" spans="1:29" ht="15.75">
      <c r="A3" s="67" t="s">
        <v>27</v>
      </c>
      <c r="B3" s="68" t="s">
        <v>28</v>
      </c>
      <c r="C3" s="69" t="s">
        <v>29</v>
      </c>
      <c r="D3" s="68" t="s">
        <v>30</v>
      </c>
      <c r="E3" s="68" t="str">
        <f t="shared" ref="E3:E51" si="0">IF(B3="","",IF(D3="Godfroy","Godfroy",(IF(LEFT(B3,1)="1","Hiwa","Direct"))))</f>
        <v>Hiwa</v>
      </c>
      <c r="F3" s="68" t="s">
        <v>31</v>
      </c>
      <c r="G3" s="68">
        <v>80</v>
      </c>
      <c r="H3" s="70">
        <f>G3*215</f>
        <v>17200</v>
      </c>
      <c r="I3" s="82" t="b">
        <v>1</v>
      </c>
      <c r="J3" s="116">
        <f t="shared" ref="J3:J10" si="1">+K3/H3</f>
        <v>1.0022066936373668</v>
      </c>
      <c r="K3" s="117">
        <f>18748/1.0876</f>
        <v>17237.95513056271</v>
      </c>
      <c r="L3" s="17"/>
      <c r="M3" s="17">
        <v>57.56</v>
      </c>
      <c r="N3" s="17"/>
      <c r="O3" s="16">
        <v>1113.75</v>
      </c>
      <c r="P3" s="16">
        <f>(27*42.45)+42.45+42.45+42.45+42.45+42.45+2.93+2.93+2.93+2.93+2.93+2.93+3.06+3.06+1.53+1.53</f>
        <v>1385.1600000000005</v>
      </c>
      <c r="Q3" s="16">
        <f>1.78+1.79+1.84+1.87+1.84+1.82+1.81+1.72+1.64+1.67+1.66+1.66+1.66+1.63+1.61+0.11+0.12+0.12+0.12+0.06</f>
        <v>26.53</v>
      </c>
      <c r="R3" s="16">
        <f>51.74+54.64+54.64+54.64+54.64+(57.04*(1/4))</f>
        <v>284.55999999999995</v>
      </c>
      <c r="S3" s="16">
        <f>14.75+18.66+14.75+15.4</f>
        <v>63.559999999999995</v>
      </c>
      <c r="T3" s="16">
        <f>395+180+280+1055+172+(215*(1/4))</f>
        <v>2135.75</v>
      </c>
      <c r="U3" s="19">
        <f>IF(B3="","",K3+SUM(L3:Q3))</f>
        <v>19820.95513056271</v>
      </c>
      <c r="V3" s="128">
        <f t="shared" ref="V3:V39" si="2">IF(J3="","",+U3/H3)</f>
        <v>1.152381112242018</v>
      </c>
      <c r="X3" s="40">
        <v>335274</v>
      </c>
      <c r="Y3" s="41">
        <v>45086</v>
      </c>
      <c r="AA3" s="60">
        <v>0</v>
      </c>
      <c r="AB3" s="60">
        <f>IF(AA3="","",AA3*(H3/G3))</f>
        <v>0</v>
      </c>
      <c r="AC3" s="132">
        <f>IF(AB3="","",AB3*V3)</f>
        <v>0</v>
      </c>
    </row>
    <row r="4" spans="1:29" ht="15.75">
      <c r="A4" s="26" t="s">
        <v>32</v>
      </c>
      <c r="B4" s="11" t="s">
        <v>33</v>
      </c>
      <c r="C4" s="3" t="s">
        <v>34</v>
      </c>
      <c r="D4" s="3" t="s">
        <v>35</v>
      </c>
      <c r="E4" s="3" t="str">
        <f t="shared" si="0"/>
        <v>Godfroy</v>
      </c>
      <c r="F4" s="3" t="s">
        <v>36</v>
      </c>
      <c r="G4" s="3">
        <v>256</v>
      </c>
      <c r="H4" s="28">
        <v>2560</v>
      </c>
      <c r="I4" s="82" t="b">
        <v>1</v>
      </c>
      <c r="J4" s="116">
        <f t="shared" si="1"/>
        <v>1.78</v>
      </c>
      <c r="K4" s="117">
        <v>4556.8</v>
      </c>
      <c r="L4" s="17"/>
      <c r="M4" s="17"/>
      <c r="N4" s="17"/>
      <c r="O4" s="17">
        <v>49.65</v>
      </c>
      <c r="P4" s="16">
        <f>82.87+82.87+80.2+82.87+80.2+82.87+62.15+56.14+62.15+60.15+62.15+60.15+62.15+62.15+60.15+62.15+60.15+62.15+62.15+35.95</f>
        <v>1321.7700000000002</v>
      </c>
      <c r="Q4" s="16">
        <f>8.54+8.54+8.54+8.54+8.54+8.54+6.4+6.4+6.4+6.4+6.4+6.4+6.4+6.4+6.4+6.4+6.4+6.4+6.4+6.4</f>
        <v>140.84000000000006</v>
      </c>
      <c r="R4" s="16" t="s">
        <v>37</v>
      </c>
      <c r="S4" s="16">
        <f>4.3+4.3+1.61</f>
        <v>10.209999999999999</v>
      </c>
      <c r="T4" s="16">
        <v>148</v>
      </c>
      <c r="U4" s="19">
        <f t="shared" ref="U4:U6" si="3">IF(B4="","",K4+SUM(L4:Q4))</f>
        <v>6069.06</v>
      </c>
      <c r="V4" s="128">
        <f t="shared" si="2"/>
        <v>2.3707265625000002</v>
      </c>
      <c r="X4" s="77">
        <v>93104899</v>
      </c>
      <c r="Y4" s="76">
        <v>45131</v>
      </c>
      <c r="AA4" s="78">
        <v>192</v>
      </c>
      <c r="AB4" s="78">
        <f t="shared" ref="AB4:AB67" si="4">IF(AA4="","",AA4*(H4/G4))</f>
        <v>1920</v>
      </c>
      <c r="AC4" s="132">
        <f t="shared" ref="AC4:AC67" si="5">IF(AB4="","",AB4*V4)</f>
        <v>4551.7950000000001</v>
      </c>
    </row>
    <row r="5" spans="1:29" ht="15.75">
      <c r="A5" s="26" t="s">
        <v>38</v>
      </c>
      <c r="B5" s="3" t="s">
        <v>39</v>
      </c>
      <c r="C5" s="3" t="s">
        <v>34</v>
      </c>
      <c r="D5" s="3" t="s">
        <v>35</v>
      </c>
      <c r="E5" s="3" t="str">
        <f t="shared" si="0"/>
        <v>Godfroy</v>
      </c>
      <c r="F5" s="3" t="s">
        <v>36</v>
      </c>
      <c r="G5" s="3">
        <v>128</v>
      </c>
      <c r="H5" s="28">
        <v>1280</v>
      </c>
      <c r="I5" s="82" t="b">
        <v>1</v>
      </c>
      <c r="J5" s="116">
        <f t="shared" si="1"/>
        <v>2.88</v>
      </c>
      <c r="K5" s="117">
        <v>3686.4</v>
      </c>
      <c r="L5" s="17"/>
      <c r="M5" s="17"/>
      <c r="N5" s="17"/>
      <c r="O5" s="17">
        <v>27</v>
      </c>
      <c r="P5" s="16">
        <f>41.44+20.72+20.04+20.72+20.05+20.72+20.72+18.71+20.72+20.05+20.72+20.05+20.72+20.72+20.05+20.72+20.05+20.72+20.72+5.14</f>
        <v>413.5</v>
      </c>
      <c r="Q5" s="16">
        <f>5.74+2.87+2.87+2.87+2.87+2.87+2.87+2.87+2.87+2.87+2.87+2.87+2.87+2.87+2.87+2.87+2.87+2.87+2.87+2.87</f>
        <v>60.269999999999982</v>
      </c>
      <c r="R5" s="16" t="s">
        <v>37</v>
      </c>
      <c r="S5" s="16">
        <f>4.3+4.3+1.61+1.61</f>
        <v>11.819999999999999</v>
      </c>
      <c r="T5" s="16">
        <f>241+97.72</f>
        <v>338.72</v>
      </c>
      <c r="U5" s="19">
        <f t="shared" si="3"/>
        <v>4187.17</v>
      </c>
      <c r="V5" s="128">
        <f t="shared" si="2"/>
        <v>3.2712265624999999</v>
      </c>
      <c r="X5" s="77">
        <v>93104898</v>
      </c>
      <c r="Y5" s="76">
        <v>45131</v>
      </c>
      <c r="AA5" s="78">
        <v>0</v>
      </c>
      <c r="AB5" s="78">
        <f t="shared" si="4"/>
        <v>0</v>
      </c>
      <c r="AC5" s="132">
        <f t="shared" si="5"/>
        <v>0</v>
      </c>
    </row>
    <row r="6" spans="1:29" ht="15" customHeight="1">
      <c r="A6" s="26" t="s">
        <v>40</v>
      </c>
      <c r="B6" s="11" t="s">
        <v>41</v>
      </c>
      <c r="C6" s="3" t="s">
        <v>34</v>
      </c>
      <c r="D6" s="3" t="s">
        <v>35</v>
      </c>
      <c r="E6" s="3" t="str">
        <f t="shared" si="0"/>
        <v>Godfroy</v>
      </c>
      <c r="F6" s="3" t="s">
        <v>36</v>
      </c>
      <c r="G6" s="3">
        <v>1664</v>
      </c>
      <c r="H6" s="28">
        <v>16640</v>
      </c>
      <c r="I6" s="82" t="b">
        <v>1</v>
      </c>
      <c r="J6" s="116">
        <f t="shared" si="1"/>
        <v>2.52</v>
      </c>
      <c r="K6" s="117">
        <v>41932.800000000003</v>
      </c>
      <c r="L6" s="17"/>
      <c r="M6" s="17"/>
      <c r="N6" s="17"/>
      <c r="O6" s="17">
        <v>327</v>
      </c>
      <c r="P6" s="16">
        <f>497.23+414.36+400.99+414.36+400.99+414.36+393.64+355.55+393.64+380.94+352.21+280.7+145.03+145.03+140.35+145.03+140.35+145.03+145.03+53.93+21.4</f>
        <v>5780.15</v>
      </c>
      <c r="Q6" s="16">
        <f>61.82+49.91+49.91+49.91+49.91+49.91+47.33+47.33+47.33+47.33+42.18+34.45+16.42+16.42+16.42+16.42+16.42+16.42+16.42+16.42</f>
        <v>708.67999999999961</v>
      </c>
      <c r="R6" s="16" t="s">
        <v>37</v>
      </c>
      <c r="S6" s="16">
        <f>17*(4.3+1.61)+1.61</f>
        <v>102.08</v>
      </c>
      <c r="T6" s="16">
        <f>141.37+42.85+150.47+128.25+121.18+296+210+196+213.4+190+(162+(162*9%))</f>
        <v>1866.1</v>
      </c>
      <c r="U6" s="19">
        <f t="shared" si="3"/>
        <v>48748.630000000005</v>
      </c>
      <c r="V6" s="128">
        <f t="shared" si="2"/>
        <v>2.929605168269231</v>
      </c>
      <c r="X6" s="77">
        <v>93104900</v>
      </c>
      <c r="Y6" s="76">
        <v>45131</v>
      </c>
      <c r="AA6" s="78">
        <v>280</v>
      </c>
      <c r="AB6" s="78">
        <f t="shared" si="4"/>
        <v>2800</v>
      </c>
      <c r="AC6" s="132">
        <f t="shared" si="5"/>
        <v>8202.8944711538461</v>
      </c>
    </row>
    <row r="7" spans="1:29" ht="15.75">
      <c r="A7" s="26" t="s">
        <v>42</v>
      </c>
      <c r="B7" s="3" t="s">
        <v>43</v>
      </c>
      <c r="C7" s="3" t="s">
        <v>374</v>
      </c>
      <c r="D7" s="13" t="s">
        <v>45</v>
      </c>
      <c r="E7" s="3" t="str">
        <f t="shared" si="0"/>
        <v>Hiwa</v>
      </c>
      <c r="F7" s="3" t="s">
        <v>46</v>
      </c>
      <c r="G7" s="3">
        <v>72</v>
      </c>
      <c r="H7" s="28">
        <v>1440</v>
      </c>
      <c r="I7" s="82" t="b">
        <v>1</v>
      </c>
      <c r="J7" s="116">
        <f t="shared" si="1"/>
        <v>2.2220138888888887</v>
      </c>
      <c r="K7" s="117">
        <v>3199.7</v>
      </c>
      <c r="L7" s="17"/>
      <c r="M7" s="17">
        <v>223.81</v>
      </c>
      <c r="N7" s="17"/>
      <c r="O7" s="18">
        <v>132.0289156626506</v>
      </c>
      <c r="P7" s="16">
        <f>(19*18.03)+18.03+18.03+18.03+18.03+18.03+18.03+18.03+18.03+18.03+18.03+18.03+18.82+18.82+9.41+9.41+9.41+9.41</f>
        <v>616.17999999999972</v>
      </c>
      <c r="Q7" s="16">
        <f>0.84+0.83+0.82+0.81+0.82+0.81+0.83+0.82+0.83+0.82+0.81+0.8+0.81+0.84+0.84+0.84+0.43+0.42</f>
        <v>14.020000000000001</v>
      </c>
      <c r="R7" s="16">
        <v>57.04</v>
      </c>
      <c r="S7" s="16">
        <v>0</v>
      </c>
      <c r="T7" s="16">
        <v>0</v>
      </c>
      <c r="U7" s="19">
        <f t="shared" ref="U7:U48" si="6">IF(B7="","",K7+SUM(L7:Q7))</f>
        <v>4185.7389156626505</v>
      </c>
      <c r="V7" s="128">
        <f t="shared" si="2"/>
        <v>2.9067631358768407</v>
      </c>
      <c r="X7" s="29">
        <v>342136</v>
      </c>
      <c r="Y7" s="42">
        <v>45209</v>
      </c>
      <c r="AA7" s="61">
        <v>36</v>
      </c>
      <c r="AB7" s="61">
        <f t="shared" si="4"/>
        <v>720</v>
      </c>
      <c r="AC7" s="132">
        <f t="shared" si="5"/>
        <v>2092.8694578313252</v>
      </c>
    </row>
    <row r="8" spans="1:29" ht="15.75">
      <c r="A8" s="26" t="s">
        <v>47</v>
      </c>
      <c r="B8" s="3" t="s">
        <v>48</v>
      </c>
      <c r="C8" s="3" t="s">
        <v>374</v>
      </c>
      <c r="D8" s="13" t="s">
        <v>45</v>
      </c>
      <c r="E8" s="3" t="str">
        <f t="shared" si="0"/>
        <v>Hiwa</v>
      </c>
      <c r="F8" s="3" t="s">
        <v>46</v>
      </c>
      <c r="G8" s="3">
        <v>714</v>
      </c>
      <c r="H8" s="28">
        <v>14280</v>
      </c>
      <c r="I8" s="82" t="b">
        <v>1</v>
      </c>
      <c r="J8" s="116">
        <f t="shared" si="1"/>
        <v>2.0831407563025208</v>
      </c>
      <c r="K8" s="117">
        <v>29747.25</v>
      </c>
      <c r="L8" s="17"/>
      <c r="M8" s="17">
        <v>1181</v>
      </c>
      <c r="N8" s="17"/>
      <c r="O8" s="18">
        <v>1309.2867469879518</v>
      </c>
      <c r="P8" s="16">
        <f>(19*115.67)+39.34+115.67+10.26+115.67+10.26+115.67+10.26+115.67+10.26+115.67+10.26+115.67+10.26+115.67+10.26+115.67+10.26+115.67+10.26+115.67+10.26+115.67+10.26+120.75+10.72+120.75+10.72+87.82+10.72+87.82+10.72+87.82+10.72+87.82+10.72</f>
        <v>4279.4000000000033</v>
      </c>
      <c r="Q8" s="16">
        <f>(7.84+7.7+7.63+7.59+6.76+6.68+6.8+5.4+5.42+4.95+4.87+4.82+4.87+5.04+5.06+5.17+3.74+3.69)+(0.43+0.43+0.43+0.45+0.45+0.46+0.46+0.45)</f>
        <v>107.59000000000002</v>
      </c>
      <c r="R8" s="16">
        <f>54.64+54.64</f>
        <v>109.28</v>
      </c>
      <c r="S8" s="16">
        <v>0</v>
      </c>
      <c r="T8" s="16">
        <f>235+280+(390/2)</f>
        <v>710</v>
      </c>
      <c r="U8" s="19">
        <f t="shared" si="6"/>
        <v>36624.526746987955</v>
      </c>
      <c r="V8" s="128">
        <f t="shared" si="2"/>
        <v>2.5647427693969154</v>
      </c>
      <c r="X8" s="79" t="s">
        <v>379</v>
      </c>
      <c r="Y8" s="43">
        <v>45209</v>
      </c>
      <c r="AA8" s="61">
        <f>336+41</f>
        <v>377</v>
      </c>
      <c r="AB8" s="61">
        <f t="shared" si="4"/>
        <v>7540</v>
      </c>
      <c r="AC8" s="132">
        <f t="shared" si="5"/>
        <v>19338.16048125274</v>
      </c>
    </row>
    <row r="9" spans="1:29" ht="15.75">
      <c r="A9" s="29" t="s">
        <v>50</v>
      </c>
      <c r="B9" s="3" t="s">
        <v>51</v>
      </c>
      <c r="C9" s="9" t="s">
        <v>52</v>
      </c>
      <c r="D9" s="13" t="s">
        <v>30</v>
      </c>
      <c r="E9" s="3" t="str">
        <f t="shared" si="0"/>
        <v>Hiwa</v>
      </c>
      <c r="F9" s="3" t="s">
        <v>46</v>
      </c>
      <c r="G9" s="1">
        <v>80</v>
      </c>
      <c r="H9" s="27">
        <v>16800</v>
      </c>
      <c r="I9" s="82" t="b">
        <v>1</v>
      </c>
      <c r="J9" s="116">
        <f t="shared" si="1"/>
        <v>3.5660660660660657</v>
      </c>
      <c r="K9" s="117">
        <f>63840/1.0656</f>
        <v>59909.909909909904</v>
      </c>
      <c r="L9" s="17">
        <f>1200/1.0656</f>
        <v>1126.1261261261261</v>
      </c>
      <c r="M9" s="17">
        <v>94.01</v>
      </c>
      <c r="N9" s="17">
        <v>275</v>
      </c>
      <c r="O9" s="17">
        <v>1224</v>
      </c>
      <c r="P9" s="16">
        <f>(4*89.88)+89.88+89.88+67.41+67.41+67.41+67.41+50.56+22.47+22.47+22.47+23.47+23.47</f>
        <v>973.82999999999993</v>
      </c>
      <c r="Q9" s="16">
        <f>16.47+16.47+13.18+13.18+9.88+9.88+3.29+3.29</f>
        <v>85.64</v>
      </c>
      <c r="R9" s="16">
        <f>54.64+54.64+54.64+54.64</f>
        <v>218.56</v>
      </c>
      <c r="S9" s="16">
        <v>0</v>
      </c>
      <c r="T9" s="16">
        <v>0</v>
      </c>
      <c r="U9" s="19">
        <f t="shared" si="6"/>
        <v>63688.516036036031</v>
      </c>
      <c r="V9" s="128">
        <f t="shared" si="2"/>
        <v>3.7909830973830969</v>
      </c>
      <c r="X9" s="29">
        <v>354004</v>
      </c>
      <c r="Y9" s="42">
        <v>45429</v>
      </c>
      <c r="AA9" s="61">
        <v>0</v>
      </c>
      <c r="AB9" s="61">
        <f t="shared" si="4"/>
        <v>0</v>
      </c>
      <c r="AC9" s="132">
        <f t="shared" si="5"/>
        <v>0</v>
      </c>
    </row>
    <row r="10" spans="1:29" ht="15.75">
      <c r="A10" s="29" t="s">
        <v>53</v>
      </c>
      <c r="B10" s="3" t="s">
        <v>54</v>
      </c>
      <c r="C10" s="9" t="s">
        <v>55</v>
      </c>
      <c r="D10" s="13" t="s">
        <v>30</v>
      </c>
      <c r="E10" s="3" t="str">
        <f t="shared" si="0"/>
        <v>Hiwa</v>
      </c>
      <c r="F10" s="10" t="s">
        <v>46</v>
      </c>
      <c r="G10" s="1">
        <v>46</v>
      </c>
      <c r="H10" s="27">
        <f>G10*220</f>
        <v>10120</v>
      </c>
      <c r="I10" s="82" t="b">
        <v>1</v>
      </c>
      <c r="J10" s="116">
        <f t="shared" si="1"/>
        <v>1.35</v>
      </c>
      <c r="K10" s="117">
        <v>13662</v>
      </c>
      <c r="L10" s="17"/>
      <c r="M10" s="17">
        <v>61</v>
      </c>
      <c r="N10" s="17"/>
      <c r="O10" s="17">
        <f>582+33</f>
        <v>615</v>
      </c>
      <c r="P10" s="16">
        <f>(3*75.7)+75.7+75.7+75.7+75.7+59.76+59.76+59.76+59.76+43.82+43.82+45.75+45.75+45.75+45.75+45.75+45.75</f>
        <v>1131.08</v>
      </c>
      <c r="Q10" s="16">
        <f>3.54+2.93+2.93+2.93+2.31+2.31+1.69+1.69+1.69+1.69</f>
        <v>23.710000000000004</v>
      </c>
      <c r="R10" s="16">
        <f>54.64+54.64+54.64</f>
        <v>163.92000000000002</v>
      </c>
      <c r="S10" s="16">
        <v>0</v>
      </c>
      <c r="T10" s="16">
        <f>230+230+230</f>
        <v>690</v>
      </c>
      <c r="U10" s="19">
        <f t="shared" si="6"/>
        <v>15492.79</v>
      </c>
      <c r="V10" s="128">
        <f t="shared" si="2"/>
        <v>1.5309081027667986</v>
      </c>
      <c r="X10" s="29">
        <v>354761</v>
      </c>
      <c r="Y10" s="42">
        <v>45447</v>
      </c>
      <c r="AA10" s="61">
        <v>22</v>
      </c>
      <c r="AB10" s="61">
        <f t="shared" si="4"/>
        <v>4840</v>
      </c>
      <c r="AC10" s="132">
        <f t="shared" si="5"/>
        <v>7409.5952173913047</v>
      </c>
    </row>
    <row r="11" spans="1:29" ht="16.5" customHeight="1">
      <c r="A11" s="29" t="s">
        <v>56</v>
      </c>
      <c r="B11" s="3" t="s">
        <v>57</v>
      </c>
      <c r="C11" s="9" t="s">
        <v>58</v>
      </c>
      <c r="D11" s="13" t="s">
        <v>30</v>
      </c>
      <c r="E11" s="3" t="str">
        <f t="shared" si="0"/>
        <v>Hiwa</v>
      </c>
      <c r="F11" s="10" t="s">
        <v>59</v>
      </c>
      <c r="G11" s="1">
        <v>124</v>
      </c>
      <c r="H11" s="27">
        <f>G11*190</f>
        <v>23560</v>
      </c>
      <c r="I11" s="82" t="b">
        <v>1</v>
      </c>
      <c r="J11" s="116">
        <f t="shared" ref="J11:J39" si="7">IF(H11="","",+K11/H11)</f>
        <v>0.63635525223646594</v>
      </c>
      <c r="K11" s="117">
        <f>16256.4/1.0843</f>
        <v>14992.529742691137</v>
      </c>
      <c r="L11" s="17">
        <f>((2250/1.0749)/140)*124</f>
        <v>1853.9930624775725</v>
      </c>
      <c r="M11" s="17">
        <v>2573.5</v>
      </c>
      <c r="N11" s="17">
        <f>275+165+78</f>
        <v>518</v>
      </c>
      <c r="O11" s="17">
        <f>1505-172</f>
        <v>1333</v>
      </c>
      <c r="P11" s="16">
        <f>108.29+68.99+68.99+68.99+68.99+68.99+68.99+68.99+68.99+68.99+68.99+68.99+72.07+72.07</f>
        <v>1011.3199999999999</v>
      </c>
      <c r="Q11" s="16">
        <f>7.55+4.73+4.68+4.73+4.9+4.92+5.02</f>
        <v>36.53</v>
      </c>
      <c r="R11" s="16">
        <f>2*54.64</f>
        <v>109.28</v>
      </c>
      <c r="S11" s="16">
        <v>1092.7</v>
      </c>
      <c r="T11" s="16">
        <f>((1760/108)*45)+((1600/108)*79)</f>
        <v>1903.7037037037039</v>
      </c>
      <c r="U11" s="19">
        <f t="shared" si="6"/>
        <v>22318.872805168707</v>
      </c>
      <c r="V11" s="128">
        <f t="shared" si="2"/>
        <v>0.94732057746896037</v>
      </c>
      <c r="X11" s="29">
        <v>356799</v>
      </c>
      <c r="Y11" s="42">
        <v>45482</v>
      </c>
      <c r="AA11" s="61">
        <v>0</v>
      </c>
      <c r="AB11" s="61">
        <f t="shared" si="4"/>
        <v>0</v>
      </c>
      <c r="AC11" s="132">
        <f t="shared" si="5"/>
        <v>0</v>
      </c>
    </row>
    <row r="12" spans="1:29" ht="15.75">
      <c r="A12" s="29" t="s">
        <v>60</v>
      </c>
      <c r="B12" s="3" t="s">
        <v>61</v>
      </c>
      <c r="C12" s="9" t="s">
        <v>62</v>
      </c>
      <c r="D12" s="13" t="s">
        <v>63</v>
      </c>
      <c r="E12" s="3" t="str">
        <f t="shared" si="0"/>
        <v>Hiwa</v>
      </c>
      <c r="F12" s="10" t="s">
        <v>46</v>
      </c>
      <c r="G12" s="1">
        <v>120</v>
      </c>
      <c r="H12" s="27">
        <v>22800</v>
      </c>
      <c r="I12" s="82" t="b">
        <v>1</v>
      </c>
      <c r="J12" s="116">
        <f t="shared" si="7"/>
        <v>1.3771578947368421</v>
      </c>
      <c r="K12" s="118">
        <v>31399.200000000001</v>
      </c>
      <c r="L12" s="17"/>
      <c r="M12" s="17">
        <f>60.78+33.23</f>
        <v>94.009999999999991</v>
      </c>
      <c r="N12" s="17"/>
      <c r="O12" s="17">
        <v>1311.7</v>
      </c>
      <c r="P12" s="16">
        <f>140.08+39.22+39.22+39.22+39.22+39.22+35.11+35.11+35.11</f>
        <v>441.5100000000001</v>
      </c>
      <c r="Q12" s="16">
        <f>8.14+2.04+2.04+1.75</f>
        <v>13.969999999999999</v>
      </c>
      <c r="R12" s="16">
        <f>54.64+54.64+54.64+(57.04*(24/76))</f>
        <v>181.93263157894739</v>
      </c>
      <c r="S12" s="16">
        <f>(77.52*(6/19))</f>
        <v>24.479999999999997</v>
      </c>
      <c r="T12" s="16">
        <f>460+2350+225+(1650*(24/76))</f>
        <v>3556.0526315789475</v>
      </c>
      <c r="U12" s="19">
        <f t="shared" si="6"/>
        <v>33260.39</v>
      </c>
      <c r="V12" s="128">
        <f t="shared" si="2"/>
        <v>1.4587890350877193</v>
      </c>
      <c r="X12" s="29">
        <v>361283</v>
      </c>
      <c r="Y12" s="42">
        <v>45558</v>
      </c>
      <c r="AA12" s="61">
        <v>0</v>
      </c>
      <c r="AB12" s="61">
        <f t="shared" si="4"/>
        <v>0</v>
      </c>
      <c r="AC12" s="132">
        <f t="shared" si="5"/>
        <v>0</v>
      </c>
    </row>
    <row r="13" spans="1:29" ht="18" customHeight="1">
      <c r="A13" s="29" t="s">
        <v>64</v>
      </c>
      <c r="B13" s="3" t="s">
        <v>65</v>
      </c>
      <c r="C13" s="3" t="s">
        <v>375</v>
      </c>
      <c r="D13" s="13" t="s">
        <v>30</v>
      </c>
      <c r="E13" s="3" t="str">
        <f t="shared" si="0"/>
        <v>Hiwa</v>
      </c>
      <c r="F13" s="10" t="s">
        <v>46</v>
      </c>
      <c r="G13" s="1">
        <v>96</v>
      </c>
      <c r="H13" s="27">
        <v>19200</v>
      </c>
      <c r="I13" s="82" t="b">
        <v>1</v>
      </c>
      <c r="J13" s="116">
        <f t="shared" si="7"/>
        <v>1.8336847895846704</v>
      </c>
      <c r="K13" s="118">
        <f>38400/1.0907</f>
        <v>35206.74796002567</v>
      </c>
      <c r="L13" s="17"/>
      <c r="M13" s="17">
        <v>61</v>
      </c>
      <c r="N13" s="17">
        <v>38</v>
      </c>
      <c r="O13" s="17">
        <v>1008.94</v>
      </c>
      <c r="P13" s="16">
        <f>96.09+96.09+96.09+96.09+96.09+96.09+96.06+96.06+27.88+27.88+27.88+27.88+27.88+27.88</f>
        <v>935.94</v>
      </c>
      <c r="Q13" s="16">
        <f>8.88+6.66+6.85+7.09+1.97+1.97</f>
        <v>33.42</v>
      </c>
      <c r="R13" s="16">
        <f>54.64+54.64</f>
        <v>109.28</v>
      </c>
      <c r="S13" s="16">
        <v>0</v>
      </c>
      <c r="T13" s="16">
        <f>715+800</f>
        <v>1515</v>
      </c>
      <c r="U13" s="19">
        <f t="shared" si="6"/>
        <v>37284.047960025673</v>
      </c>
      <c r="V13" s="128">
        <f t="shared" si="2"/>
        <v>1.9418774979180038</v>
      </c>
      <c r="X13" s="29">
        <v>359055</v>
      </c>
      <c r="Y13" s="42">
        <v>45525</v>
      </c>
      <c r="AA13" s="61">
        <v>20</v>
      </c>
      <c r="AB13" s="61">
        <f t="shared" si="4"/>
        <v>4000</v>
      </c>
      <c r="AC13" s="132">
        <f t="shared" si="5"/>
        <v>7767.5099916720155</v>
      </c>
    </row>
    <row r="14" spans="1:29" ht="15.75">
      <c r="A14" s="29" t="s">
        <v>67</v>
      </c>
      <c r="B14" s="3" t="s">
        <v>68</v>
      </c>
      <c r="C14" s="3" t="s">
        <v>375</v>
      </c>
      <c r="D14" s="13" t="s">
        <v>30</v>
      </c>
      <c r="E14" s="3" t="str">
        <f t="shared" si="0"/>
        <v>Hiwa</v>
      </c>
      <c r="F14" s="10" t="s">
        <v>46</v>
      </c>
      <c r="G14" s="1">
        <v>240</v>
      </c>
      <c r="H14" s="27">
        <v>4800</v>
      </c>
      <c r="I14" s="82" t="b">
        <v>1</v>
      </c>
      <c r="J14" s="116">
        <f t="shared" si="7"/>
        <v>1.8336847895846704</v>
      </c>
      <c r="K14" s="118">
        <f>9600/1.0907</f>
        <v>8801.6869900064175</v>
      </c>
      <c r="L14" s="20"/>
      <c r="M14" s="17">
        <v>60.78</v>
      </c>
      <c r="N14" s="17"/>
      <c r="O14" s="17">
        <v>351.35</v>
      </c>
      <c r="P14" s="16">
        <f>57.36+57.36+57.36+57.36+57.36+57.36+57.36+47.84+49.9+49.9</f>
        <v>549.16</v>
      </c>
      <c r="Q14" s="16">
        <f>2.22+2.22+2.28+2.36+2</f>
        <v>11.08</v>
      </c>
      <c r="R14" s="16">
        <v>54.64</v>
      </c>
      <c r="S14" s="16">
        <v>0</v>
      </c>
      <c r="T14" s="16">
        <f>350+730</f>
        <v>1080</v>
      </c>
      <c r="U14" s="19">
        <f t="shared" si="6"/>
        <v>9774.0569900064183</v>
      </c>
      <c r="V14" s="128">
        <f t="shared" si="2"/>
        <v>2.0362618729180038</v>
      </c>
      <c r="X14" s="29">
        <v>359056</v>
      </c>
      <c r="Y14" s="42">
        <v>45525</v>
      </c>
      <c r="AA14" s="61">
        <v>0</v>
      </c>
      <c r="AB14" s="61">
        <f t="shared" si="4"/>
        <v>0</v>
      </c>
      <c r="AC14" s="132">
        <f t="shared" si="5"/>
        <v>0</v>
      </c>
    </row>
    <row r="15" spans="1:29" ht="15.75">
      <c r="A15" s="29" t="s">
        <v>69</v>
      </c>
      <c r="B15" s="3" t="s">
        <v>28</v>
      </c>
      <c r="C15" s="9" t="s">
        <v>29</v>
      </c>
      <c r="D15" s="9" t="s">
        <v>70</v>
      </c>
      <c r="E15" s="3" t="str">
        <f t="shared" si="0"/>
        <v>Hiwa</v>
      </c>
      <c r="F15" s="10" t="s">
        <v>46</v>
      </c>
      <c r="G15" s="1">
        <v>80</v>
      </c>
      <c r="H15" s="27">
        <f>G15*215</f>
        <v>17200</v>
      </c>
      <c r="I15" s="82" t="b">
        <v>1</v>
      </c>
      <c r="J15" s="116">
        <f t="shared" si="7"/>
        <v>0.90497737556561086</v>
      </c>
      <c r="K15" s="118">
        <f>17200/1.105</f>
        <v>15565.610859728507</v>
      </c>
      <c r="L15" s="20"/>
      <c r="M15" s="21">
        <v>60.78</v>
      </c>
      <c r="N15" s="17"/>
      <c r="O15" s="17">
        <v>1077.8</v>
      </c>
      <c r="P15" s="16">
        <f>123.05+123.05+123.05+64.25+64.25+64.25+64.25+56.22+56.22</f>
        <v>738.59</v>
      </c>
      <c r="Q15" s="16">
        <f>4.29+4.3+2.2+2.19+1.89</f>
        <v>14.87</v>
      </c>
      <c r="R15" s="16">
        <f>54.64+(57.04*(3/4))+57.04</f>
        <v>154.46</v>
      </c>
      <c r="S15" s="16">
        <f>15.4+(26.21/2)</f>
        <v>28.505000000000003</v>
      </c>
      <c r="T15" s="16">
        <f>1580+(250/2)+(215*(3/4))</f>
        <v>1866.25</v>
      </c>
      <c r="U15" s="19">
        <f t="shared" si="6"/>
        <v>17457.650859728506</v>
      </c>
      <c r="V15" s="128">
        <f t="shared" si="2"/>
        <v>1.0149797011470061</v>
      </c>
      <c r="X15" s="29">
        <v>362336</v>
      </c>
      <c r="Y15" s="42">
        <v>45610</v>
      </c>
      <c r="AA15" s="61">
        <v>35</v>
      </c>
      <c r="AB15" s="61">
        <f t="shared" si="4"/>
        <v>7525</v>
      </c>
      <c r="AC15" s="132">
        <f t="shared" si="5"/>
        <v>7637.7222511312211</v>
      </c>
    </row>
    <row r="16" spans="1:29" ht="15.75">
      <c r="A16" s="29" t="s">
        <v>71</v>
      </c>
      <c r="B16" s="3" t="s">
        <v>72</v>
      </c>
      <c r="C16" s="9" t="s">
        <v>55</v>
      </c>
      <c r="D16" s="3" t="s">
        <v>73</v>
      </c>
      <c r="E16" s="3" t="str">
        <f t="shared" si="0"/>
        <v>Hiwa</v>
      </c>
      <c r="F16" s="10" t="s">
        <v>46</v>
      </c>
      <c r="G16" s="1">
        <v>136</v>
      </c>
      <c r="H16" s="27">
        <f>G16*190</f>
        <v>25840</v>
      </c>
      <c r="I16" s="82" t="b">
        <v>1</v>
      </c>
      <c r="J16" s="116">
        <f t="shared" si="7"/>
        <v>1.5</v>
      </c>
      <c r="K16" s="118">
        <v>38760</v>
      </c>
      <c r="L16" s="17"/>
      <c r="M16" s="17">
        <v>61</v>
      </c>
      <c r="N16" s="17"/>
      <c r="O16" s="17">
        <v>1396.79</v>
      </c>
      <c r="P16" s="16">
        <f>176.68+72.75+72.75+72.75+72.75+72.75+75.98+75.98</f>
        <v>692.3900000000001</v>
      </c>
      <c r="Q16" s="16">
        <f>11.18+4.6+4.6</f>
        <v>20.38</v>
      </c>
      <c r="R16" s="16">
        <f>54.64</f>
        <v>54.64</v>
      </c>
      <c r="S16" s="16">
        <v>1068.53</v>
      </c>
      <c r="T16" s="16">
        <f>((1950/108)*80)+((1600/108)*56)</f>
        <v>2274.0740740740744</v>
      </c>
      <c r="U16" s="19">
        <f t="shared" si="6"/>
        <v>40930.559999999998</v>
      </c>
      <c r="V16" s="128">
        <f t="shared" si="2"/>
        <v>1.5839999999999999</v>
      </c>
      <c r="X16" s="29">
        <v>361363</v>
      </c>
      <c r="Y16" s="42">
        <v>45560</v>
      </c>
      <c r="AA16" s="61">
        <v>0</v>
      </c>
      <c r="AB16" s="61">
        <f t="shared" si="4"/>
        <v>0</v>
      </c>
      <c r="AC16" s="132">
        <f t="shared" si="5"/>
        <v>0</v>
      </c>
    </row>
    <row r="17" spans="1:29" ht="15.75">
      <c r="A17" s="29" t="s">
        <v>74</v>
      </c>
      <c r="B17" s="3" t="s">
        <v>72</v>
      </c>
      <c r="C17" s="9" t="s">
        <v>55</v>
      </c>
      <c r="D17" s="3" t="s">
        <v>73</v>
      </c>
      <c r="E17" s="3" t="str">
        <f t="shared" si="0"/>
        <v>Hiwa</v>
      </c>
      <c r="F17" s="10" t="s">
        <v>46</v>
      </c>
      <c r="G17" s="1">
        <v>136</v>
      </c>
      <c r="H17" s="27">
        <f>G17*190</f>
        <v>25840</v>
      </c>
      <c r="I17" s="82" t="b">
        <v>1</v>
      </c>
      <c r="J17" s="116">
        <f t="shared" si="7"/>
        <v>1.5</v>
      </c>
      <c r="K17" s="118">
        <v>38760</v>
      </c>
      <c r="L17" s="17"/>
      <c r="M17" s="17">
        <v>63.45</v>
      </c>
      <c r="N17" s="17">
        <v>115</v>
      </c>
      <c r="O17" s="17">
        <v>1465.13</v>
      </c>
      <c r="P17" s="16">
        <f>184.52+113.97+113.97+113.97+113.97</f>
        <v>640.40000000000009</v>
      </c>
      <c r="Q17" s="16">
        <f>11.18+6.9+6.9</f>
        <v>24.979999999999997</v>
      </c>
      <c r="R17" s="16"/>
      <c r="S17" s="16">
        <v>1023.16</v>
      </c>
      <c r="T17" s="16">
        <f>((1600/108)*52)</f>
        <v>770.37037037037032</v>
      </c>
      <c r="U17" s="19">
        <f t="shared" si="6"/>
        <v>41068.959999999999</v>
      </c>
      <c r="V17" s="128">
        <f t="shared" si="2"/>
        <v>1.5893560371517028</v>
      </c>
      <c r="X17" s="29">
        <v>366387</v>
      </c>
      <c r="Y17" s="42">
        <v>45672</v>
      </c>
      <c r="AA17" s="61">
        <v>84</v>
      </c>
      <c r="AB17" s="61">
        <f t="shared" si="4"/>
        <v>15960</v>
      </c>
      <c r="AC17" s="132">
        <f t="shared" si="5"/>
        <v>25366.122352941176</v>
      </c>
    </row>
    <row r="18" spans="1:29" ht="15.75">
      <c r="A18" s="29" t="s">
        <v>75</v>
      </c>
      <c r="B18" s="3" t="s">
        <v>68</v>
      </c>
      <c r="C18" s="9" t="s">
        <v>375</v>
      </c>
      <c r="D18" s="3" t="s">
        <v>30</v>
      </c>
      <c r="E18" s="3" t="str">
        <f t="shared" si="0"/>
        <v>Hiwa</v>
      </c>
      <c r="F18" s="10" t="s">
        <v>46</v>
      </c>
      <c r="G18" s="1">
        <v>972</v>
      </c>
      <c r="H18" s="27">
        <v>19440</v>
      </c>
      <c r="I18" s="82" t="b">
        <v>1</v>
      </c>
      <c r="J18" s="116">
        <f t="shared" si="7"/>
        <v>1.9102673553501577</v>
      </c>
      <c r="K18" s="118">
        <f>(42184.8/1.1041)-(1200/1.1196)</f>
        <v>37135.597388007067</v>
      </c>
      <c r="L18" s="22"/>
      <c r="M18" s="22">
        <v>63.45</v>
      </c>
      <c r="N18" s="22"/>
      <c r="O18" s="22">
        <v>1636.58</v>
      </c>
      <c r="P18" s="23">
        <f>232.29+232.29+232.29+232.29+242.49+242.49+242.29+161.66+161.66+80.83</f>
        <v>2060.5800000000004</v>
      </c>
      <c r="Q18" s="23">
        <f>10.01+10.36+10.5+6.91</f>
        <v>37.78</v>
      </c>
      <c r="R18" s="16">
        <f>57.04+57.04</f>
        <v>114.08</v>
      </c>
      <c r="S18" s="16"/>
      <c r="T18" s="16">
        <f>715</f>
        <v>715</v>
      </c>
      <c r="U18" s="19">
        <f t="shared" si="6"/>
        <v>40933.987388007066</v>
      </c>
      <c r="V18" s="128">
        <f t="shared" si="2"/>
        <v>2.1056577874489233</v>
      </c>
      <c r="X18" s="29">
        <v>362550</v>
      </c>
      <c r="Y18" s="42">
        <v>45587</v>
      </c>
      <c r="AA18" s="61">
        <v>324</v>
      </c>
      <c r="AB18" s="61">
        <f t="shared" si="4"/>
        <v>6480</v>
      </c>
      <c r="AC18" s="132">
        <f t="shared" si="5"/>
        <v>13644.662462669023</v>
      </c>
    </row>
    <row r="19" spans="1:29" ht="15.75">
      <c r="A19" s="29" t="s">
        <v>76</v>
      </c>
      <c r="B19" s="3" t="s">
        <v>77</v>
      </c>
      <c r="C19" s="9" t="s">
        <v>375</v>
      </c>
      <c r="D19" s="3" t="s">
        <v>30</v>
      </c>
      <c r="E19" s="3" t="str">
        <f t="shared" si="0"/>
        <v>Hiwa</v>
      </c>
      <c r="F19" s="10" t="s">
        <v>46</v>
      </c>
      <c r="G19" s="1">
        <v>108</v>
      </c>
      <c r="H19" s="27">
        <v>2160</v>
      </c>
      <c r="I19" s="82" t="b">
        <v>1</v>
      </c>
      <c r="J19" s="116">
        <f t="shared" si="7"/>
        <v>1.7842586722217189</v>
      </c>
      <c r="K19" s="118">
        <f>4255.2/1.1041</f>
        <v>3853.9987319989127</v>
      </c>
      <c r="L19" s="22"/>
      <c r="M19" s="22">
        <v>63.45</v>
      </c>
      <c r="N19" s="22"/>
      <c r="O19" s="22">
        <v>198.27</v>
      </c>
      <c r="P19" s="23">
        <f>25.81+25.81+25.81+25.81+26.94+26.94+13.47+13.47+13.47+13.47</f>
        <v>211</v>
      </c>
      <c r="Q19" s="23">
        <f>1.01+1.05+1.06+0.52</f>
        <v>3.64</v>
      </c>
      <c r="R19" s="16"/>
      <c r="S19" s="16"/>
      <c r="T19" s="16">
        <f>(390/2)</f>
        <v>195</v>
      </c>
      <c r="U19" s="19">
        <f t="shared" si="6"/>
        <v>4330.3587319989128</v>
      </c>
      <c r="V19" s="128">
        <f t="shared" si="2"/>
        <v>2.0047957092587558</v>
      </c>
      <c r="X19" s="29">
        <v>362551</v>
      </c>
      <c r="Y19" s="42">
        <v>45587</v>
      </c>
      <c r="AA19" s="61">
        <v>54</v>
      </c>
      <c r="AB19" s="61">
        <f t="shared" si="4"/>
        <v>1080</v>
      </c>
      <c r="AC19" s="132">
        <f t="shared" si="5"/>
        <v>2165.1793659994564</v>
      </c>
    </row>
    <row r="20" spans="1:29" ht="15.75">
      <c r="A20" s="29" t="s">
        <v>78</v>
      </c>
      <c r="B20" s="3" t="s">
        <v>79</v>
      </c>
      <c r="C20" s="3" t="s">
        <v>80</v>
      </c>
      <c r="D20" s="3" t="s">
        <v>73</v>
      </c>
      <c r="E20" s="3" t="str">
        <f t="shared" si="0"/>
        <v>Hiwa</v>
      </c>
      <c r="F20" s="3" t="s">
        <v>31</v>
      </c>
      <c r="G20" s="3">
        <v>112</v>
      </c>
      <c r="H20" s="28">
        <v>24080</v>
      </c>
      <c r="I20" s="82" t="b">
        <v>1</v>
      </c>
      <c r="J20" s="116">
        <f t="shared" si="7"/>
        <v>1.9651047756093174</v>
      </c>
      <c r="K20" s="117">
        <f>52614.8/1.1119</f>
        <v>47319.722996672361</v>
      </c>
      <c r="L20" s="22"/>
      <c r="M20" s="22">
        <v>1917.72</v>
      </c>
      <c r="N20" s="22"/>
      <c r="O20" s="22">
        <v>1309.5999999999999</v>
      </c>
      <c r="P20" s="23">
        <f>15.81+15.81+15.81+16.52+16.52+16.52+16.52+16.52</f>
        <v>130.03</v>
      </c>
      <c r="Q20" s="23">
        <f>14.26+2.05+2.09+2.08+2.05</f>
        <v>22.529999999999998</v>
      </c>
      <c r="R20" s="23">
        <v>54.64</v>
      </c>
      <c r="S20" s="23">
        <v>559.77</v>
      </c>
      <c r="T20" s="23">
        <v>1725</v>
      </c>
      <c r="U20" s="19">
        <f t="shared" si="6"/>
        <v>50699.602996672358</v>
      </c>
      <c r="V20" s="128">
        <f t="shared" si="2"/>
        <v>2.1054652407255965</v>
      </c>
      <c r="X20" s="29">
        <v>362958</v>
      </c>
      <c r="Y20" s="42">
        <v>45601</v>
      </c>
      <c r="AA20" s="61">
        <v>16</v>
      </c>
      <c r="AB20" s="61">
        <f t="shared" si="4"/>
        <v>3440</v>
      </c>
      <c r="AC20" s="132">
        <f t="shared" si="5"/>
        <v>7242.8004280960522</v>
      </c>
    </row>
    <row r="21" spans="1:29" ht="15.75">
      <c r="A21" s="29" t="s">
        <v>81</v>
      </c>
      <c r="B21" s="3" t="s">
        <v>82</v>
      </c>
      <c r="C21" s="3" t="s">
        <v>376</v>
      </c>
      <c r="D21" s="3" t="s">
        <v>73</v>
      </c>
      <c r="E21" s="3" t="str">
        <f t="shared" si="0"/>
        <v>Hiwa</v>
      </c>
      <c r="F21" s="3" t="s">
        <v>59</v>
      </c>
      <c r="G21" s="3">
        <v>128</v>
      </c>
      <c r="H21" s="28">
        <f>G21*204</f>
        <v>26112</v>
      </c>
      <c r="I21" s="82" t="b">
        <v>1</v>
      </c>
      <c r="J21" s="116">
        <f t="shared" si="7"/>
        <v>0.61734082742098972</v>
      </c>
      <c r="K21" s="117">
        <f>17495.04/1.0853</f>
        <v>16120.003685616883</v>
      </c>
      <c r="L21" s="22">
        <f>1546/1.0853</f>
        <v>1424.4909241684327</v>
      </c>
      <c r="M21" s="22">
        <v>3329.07</v>
      </c>
      <c r="N21" s="22"/>
      <c r="O21" s="22">
        <v>1264.83</v>
      </c>
      <c r="P21" s="23">
        <f>119.96+52.48+52.48+54.82+54.82+54.82+54.82</f>
        <v>444.2</v>
      </c>
      <c r="Q21" s="23">
        <f>4.83+2.12+2.17+2.16</f>
        <v>11.280000000000001</v>
      </c>
      <c r="R21" s="23">
        <f>54.64+57.04</f>
        <v>111.68</v>
      </c>
      <c r="S21" s="23">
        <f>557.99+((102+480.48)*(56/100))</f>
        <v>884.17880000000002</v>
      </c>
      <c r="T21" s="23">
        <f>1745+(1600*(56/(56+44)))</f>
        <v>2641</v>
      </c>
      <c r="U21" s="19">
        <f t="shared" si="6"/>
        <v>22593.874609785315</v>
      </c>
      <c r="V21" s="128">
        <f t="shared" si="2"/>
        <v>0.86526786955366553</v>
      </c>
      <c r="X21" s="29">
        <v>363493</v>
      </c>
      <c r="Y21" s="42">
        <v>45608</v>
      </c>
      <c r="AA21" s="61">
        <v>0</v>
      </c>
      <c r="AB21" s="61">
        <f t="shared" si="4"/>
        <v>0</v>
      </c>
      <c r="AC21" s="132">
        <f t="shared" si="5"/>
        <v>0</v>
      </c>
    </row>
    <row r="22" spans="1:29" ht="15.75">
      <c r="A22" s="29" t="s">
        <v>84</v>
      </c>
      <c r="B22" s="3" t="s">
        <v>57</v>
      </c>
      <c r="C22" s="3" t="s">
        <v>58</v>
      </c>
      <c r="D22" s="3" t="s">
        <v>73</v>
      </c>
      <c r="E22" s="3" t="str">
        <f t="shared" si="0"/>
        <v>Hiwa</v>
      </c>
      <c r="F22" s="3" t="s">
        <v>59</v>
      </c>
      <c r="G22" s="3">
        <v>140</v>
      </c>
      <c r="H22" s="28">
        <f>G22*190</f>
        <v>26600</v>
      </c>
      <c r="I22" s="82" t="b">
        <v>1</v>
      </c>
      <c r="J22" s="116">
        <f t="shared" si="7"/>
        <v>0.76094276094276092</v>
      </c>
      <c r="K22" s="117">
        <f>21040.6/1.0395</f>
        <v>20241.077441077439</v>
      </c>
      <c r="L22" s="22">
        <f>2350/1.0395</f>
        <v>2260.7022607022604</v>
      </c>
      <c r="M22" s="22">
        <v>3471.76</v>
      </c>
      <c r="N22" s="22">
        <f>104+275+55</f>
        <v>434</v>
      </c>
      <c r="O22" s="22">
        <v>1383.05</v>
      </c>
      <c r="P22" s="23">
        <f>101.26+101.26+101.26+101.26</f>
        <v>405.04</v>
      </c>
      <c r="Q22" s="23">
        <f>8.9+6.96</f>
        <v>15.86</v>
      </c>
      <c r="R22" s="23">
        <f>2*57.04</f>
        <v>114.08</v>
      </c>
      <c r="S22" s="23">
        <f>1019.93+73.92</f>
        <v>1093.8499999999999</v>
      </c>
      <c r="T22" s="23">
        <f>(1600/108)*29</f>
        <v>429.62962962962962</v>
      </c>
      <c r="U22" s="19">
        <f t="shared" si="6"/>
        <v>28211.489701779701</v>
      </c>
      <c r="V22" s="128">
        <f t="shared" si="2"/>
        <v>1.0605823196157782</v>
      </c>
      <c r="X22" s="29">
        <v>366474</v>
      </c>
      <c r="Y22" s="42">
        <v>45981</v>
      </c>
      <c r="AA22" s="61">
        <v>111</v>
      </c>
      <c r="AB22" s="61">
        <f t="shared" si="4"/>
        <v>21090</v>
      </c>
      <c r="AC22" s="132">
        <f t="shared" si="5"/>
        <v>22367.681120696761</v>
      </c>
    </row>
    <row r="23" spans="1:29" ht="15.75">
      <c r="A23" s="29" t="s">
        <v>85</v>
      </c>
      <c r="B23" s="3" t="s">
        <v>86</v>
      </c>
      <c r="C23" s="3" t="s">
        <v>80</v>
      </c>
      <c r="D23" s="13" t="s">
        <v>87</v>
      </c>
      <c r="E23" s="3" t="str">
        <f t="shared" si="0"/>
        <v>Direct</v>
      </c>
      <c r="F23" s="3" t="s">
        <v>46</v>
      </c>
      <c r="G23" s="3">
        <v>112</v>
      </c>
      <c r="H23" s="28">
        <v>24080</v>
      </c>
      <c r="I23" s="82" t="b">
        <v>1</v>
      </c>
      <c r="J23" s="116">
        <f t="shared" si="7"/>
        <v>1.6750737603502428</v>
      </c>
      <c r="K23" s="117">
        <f>42380.8/1.0507</f>
        <v>40335.776149233847</v>
      </c>
      <c r="L23" s="22">
        <v>1099.6500000000001</v>
      </c>
      <c r="M23" s="22"/>
      <c r="N23" s="22"/>
      <c r="O23" s="22"/>
      <c r="P23" s="23"/>
      <c r="Q23" s="23"/>
      <c r="R23" s="23"/>
      <c r="S23" s="23"/>
      <c r="T23" s="23"/>
      <c r="U23" s="19">
        <f t="shared" si="6"/>
        <v>41435.426149233848</v>
      </c>
      <c r="V23" s="128">
        <f t="shared" si="2"/>
        <v>1.7207402885894456</v>
      </c>
      <c r="X23" s="29"/>
      <c r="Y23" s="28"/>
      <c r="AA23" s="61"/>
      <c r="AB23" s="61" t="str">
        <f t="shared" si="4"/>
        <v/>
      </c>
      <c r="AC23" s="132" t="str">
        <f t="shared" si="5"/>
        <v/>
      </c>
    </row>
    <row r="24" spans="1:29" ht="15.75">
      <c r="A24" s="73" t="s">
        <v>88</v>
      </c>
      <c r="B24" s="55" t="s">
        <v>89</v>
      </c>
      <c r="C24" s="55" t="s">
        <v>90</v>
      </c>
      <c r="D24" s="55" t="s">
        <v>30</v>
      </c>
      <c r="E24" s="55" t="str">
        <f t="shared" si="0"/>
        <v>Hiwa</v>
      </c>
      <c r="F24" s="55" t="s">
        <v>59</v>
      </c>
      <c r="G24" s="1">
        <v>256</v>
      </c>
      <c r="H24" s="27">
        <f>G24*205</f>
        <v>52480</v>
      </c>
      <c r="I24" s="82" t="b">
        <v>1</v>
      </c>
      <c r="J24" s="116">
        <f t="shared" si="7"/>
        <v>0.61004670670098182</v>
      </c>
      <c r="K24" s="117">
        <f>33587.2/1.0491</f>
        <v>32015.251167667524</v>
      </c>
      <c r="L24" s="22">
        <f>3092/1.0491</f>
        <v>2947.2881517491187</v>
      </c>
      <c r="M24" s="22">
        <f>1991.26+1991.26</f>
        <v>3982.52</v>
      </c>
      <c r="N24" s="22"/>
      <c r="O24" s="22">
        <v>2480.44</v>
      </c>
      <c r="P24" s="23">
        <f>125.31+125.31+24.48+17.62+24.48+17.62+24.48+17.62+5.87+5.87</f>
        <v>388.66000000000008</v>
      </c>
      <c r="Q24" s="23">
        <f>0.93+0.67+0.22</f>
        <v>1.82</v>
      </c>
      <c r="R24" s="23">
        <f>57.04+57.04+57.04+(57.04*(33/110))</f>
        <v>188.232</v>
      </c>
      <c r="S24" s="23">
        <f>(26.21/2)</f>
        <v>13.105</v>
      </c>
      <c r="T24" s="23">
        <f>(250/2)</f>
        <v>125</v>
      </c>
      <c r="U24" s="19">
        <f t="shared" si="6"/>
        <v>41815.979319416641</v>
      </c>
      <c r="V24" s="128">
        <f t="shared" si="2"/>
        <v>0.796798386421811</v>
      </c>
      <c r="X24" s="80" t="s">
        <v>91</v>
      </c>
      <c r="Y24" s="72">
        <v>45657</v>
      </c>
      <c r="AA24" s="61">
        <v>2</v>
      </c>
      <c r="AB24" s="61">
        <f t="shared" si="4"/>
        <v>410</v>
      </c>
      <c r="AC24" s="132">
        <f t="shared" si="5"/>
        <v>326.68733843294251</v>
      </c>
    </row>
    <row r="25" spans="1:29" ht="15.75">
      <c r="A25" s="29" t="s">
        <v>92</v>
      </c>
      <c r="B25" s="3" t="s">
        <v>93</v>
      </c>
      <c r="C25" s="9" t="s">
        <v>90</v>
      </c>
      <c r="D25" s="3" t="s">
        <v>94</v>
      </c>
      <c r="E25" s="3" t="str">
        <f t="shared" si="0"/>
        <v>Direct</v>
      </c>
      <c r="F25" s="10" t="s">
        <v>59</v>
      </c>
      <c r="G25" s="1">
        <v>128</v>
      </c>
      <c r="H25" s="27">
        <v>26240</v>
      </c>
      <c r="I25" s="82" t="b">
        <v>1</v>
      </c>
      <c r="J25" s="116">
        <f t="shared" si="7"/>
        <v>0.61579909554507839</v>
      </c>
      <c r="K25" s="117">
        <f>16793.6/1.0393</f>
        <v>16158.568267102857</v>
      </c>
      <c r="L25" s="22">
        <f>1841/1.0393</f>
        <v>1771.3845857788899</v>
      </c>
      <c r="M25" s="22"/>
      <c r="N25" s="22"/>
      <c r="O25" s="22"/>
      <c r="P25" s="23"/>
      <c r="Q25" s="23"/>
      <c r="R25" s="23"/>
      <c r="S25" s="23"/>
      <c r="T25" s="23"/>
      <c r="U25" s="19">
        <f t="shared" si="6"/>
        <v>17929.952852881746</v>
      </c>
      <c r="V25" s="128">
        <f t="shared" si="2"/>
        <v>0.68330613006409091</v>
      </c>
      <c r="X25" s="29"/>
      <c r="Y25" s="28"/>
      <c r="AA25" s="2"/>
      <c r="AB25" s="2" t="str">
        <f t="shared" si="4"/>
        <v/>
      </c>
      <c r="AC25" s="132" t="str">
        <f t="shared" si="5"/>
        <v/>
      </c>
    </row>
    <row r="26" spans="1:29" ht="15.75">
      <c r="A26" s="29" t="s">
        <v>95</v>
      </c>
      <c r="B26" s="3" t="s">
        <v>82</v>
      </c>
      <c r="C26" s="3" t="s">
        <v>376</v>
      </c>
      <c r="D26" s="3" t="s">
        <v>73</v>
      </c>
      <c r="E26" s="3" t="str">
        <f t="shared" si="0"/>
        <v>Hiwa</v>
      </c>
      <c r="F26" s="3" t="s">
        <v>59</v>
      </c>
      <c r="G26" s="3">
        <v>128</v>
      </c>
      <c r="H26" s="28">
        <f>G26*204</f>
        <v>26112</v>
      </c>
      <c r="I26" s="82" t="b">
        <v>1</v>
      </c>
      <c r="J26" s="116">
        <f t="shared" si="7"/>
        <v>0.65397755002440217</v>
      </c>
      <c r="K26" s="117">
        <f>17495.04/1.0245</f>
        <v>17076.66178623719</v>
      </c>
      <c r="L26" s="22">
        <f>1546/1.0396</f>
        <v>1487.1104270873411</v>
      </c>
      <c r="M26" s="22">
        <v>2077.94</v>
      </c>
      <c r="N26" s="22">
        <v>170</v>
      </c>
      <c r="O26" s="22">
        <v>1298.76</v>
      </c>
      <c r="P26" s="23">
        <f>82.24+82.24</f>
        <v>164.48</v>
      </c>
      <c r="Q26" s="23">
        <f>8.78</f>
        <v>8.7799999999999994</v>
      </c>
      <c r="R26" s="23">
        <f>57.04</f>
        <v>57.04</v>
      </c>
      <c r="S26" s="23">
        <f>((102+480.48)*(44/100))</f>
        <v>256.2912</v>
      </c>
      <c r="T26" s="23">
        <f>(1600*(44/(44+56)))</f>
        <v>704</v>
      </c>
      <c r="U26" s="19">
        <f t="shared" si="6"/>
        <v>22283.732213324529</v>
      </c>
      <c r="V26" s="128">
        <f t="shared" si="2"/>
        <v>0.85339047998332296</v>
      </c>
      <c r="X26" s="29">
        <v>368131</v>
      </c>
      <c r="Y26" s="42">
        <v>45706</v>
      </c>
      <c r="AA26" s="2">
        <v>84</v>
      </c>
      <c r="AB26" s="2">
        <f t="shared" si="4"/>
        <v>17136</v>
      </c>
      <c r="AC26" s="132">
        <f t="shared" si="5"/>
        <v>14623.699264994222</v>
      </c>
    </row>
    <row r="27" spans="1:29" ht="15.75">
      <c r="A27" s="29" t="s">
        <v>96</v>
      </c>
      <c r="B27" s="3" t="s">
        <v>93</v>
      </c>
      <c r="C27" s="3" t="s">
        <v>90</v>
      </c>
      <c r="D27" s="3" t="s">
        <v>97</v>
      </c>
      <c r="E27" s="3" t="str">
        <f t="shared" si="0"/>
        <v>Direct</v>
      </c>
      <c r="F27" s="10" t="s">
        <v>59</v>
      </c>
      <c r="G27" s="3">
        <v>256</v>
      </c>
      <c r="H27" s="28">
        <f>G27*205</f>
        <v>52480</v>
      </c>
      <c r="I27" s="82" t="b">
        <v>1</v>
      </c>
      <c r="J27" s="116">
        <f t="shared" si="7"/>
        <v>0.59369912860289187</v>
      </c>
      <c r="K27" s="117">
        <f>32537.6/1.0443</f>
        <v>31157.330269079765</v>
      </c>
      <c r="L27" s="22">
        <f>(6653*2)/1.0465</f>
        <v>12714.763497372192</v>
      </c>
      <c r="M27" s="22"/>
      <c r="N27" s="22"/>
      <c r="O27" s="22"/>
      <c r="P27" s="23"/>
      <c r="Q27" s="23"/>
      <c r="R27" s="23"/>
      <c r="S27" s="23"/>
      <c r="T27" s="23"/>
      <c r="U27" s="19">
        <f t="shared" si="6"/>
        <v>43872.093766451959</v>
      </c>
      <c r="V27" s="128">
        <f t="shared" si="2"/>
        <v>0.83597739646440472</v>
      </c>
      <c r="X27" s="29"/>
      <c r="Y27" s="28"/>
      <c r="AA27" s="2"/>
      <c r="AB27" s="2" t="str">
        <f t="shared" si="4"/>
        <v/>
      </c>
      <c r="AC27" s="132" t="str">
        <f t="shared" si="5"/>
        <v/>
      </c>
    </row>
    <row r="28" spans="1:29" ht="15.75">
      <c r="A28" s="29" t="s">
        <v>98</v>
      </c>
      <c r="B28" s="3" t="s">
        <v>93</v>
      </c>
      <c r="C28" s="9" t="s">
        <v>90</v>
      </c>
      <c r="D28" s="3" t="s">
        <v>94</v>
      </c>
      <c r="E28" s="3" t="str">
        <f t="shared" si="0"/>
        <v>Direct</v>
      </c>
      <c r="F28" s="10" t="s">
        <v>59</v>
      </c>
      <c r="G28" s="1">
        <v>128</v>
      </c>
      <c r="H28" s="27">
        <v>26240</v>
      </c>
      <c r="I28" s="82" t="b">
        <v>1</v>
      </c>
      <c r="J28" s="116">
        <f t="shared" si="7"/>
        <v>0.6201550387596898</v>
      </c>
      <c r="K28" s="117">
        <f>16793.6/1.032</f>
        <v>16272.868217054262</v>
      </c>
      <c r="L28" s="22">
        <f>1920/1.032</f>
        <v>1860.4651162790697</v>
      </c>
      <c r="M28" s="22"/>
      <c r="N28" s="22"/>
      <c r="O28" s="22"/>
      <c r="P28" s="23"/>
      <c r="Q28" s="23"/>
      <c r="R28" s="23"/>
      <c r="S28" s="23"/>
      <c r="T28" s="23"/>
      <c r="U28" s="19">
        <f t="shared" si="6"/>
        <v>18133.333333333332</v>
      </c>
      <c r="V28" s="128">
        <f t="shared" si="2"/>
        <v>0.69105691056910568</v>
      </c>
      <c r="X28" s="29"/>
      <c r="Y28" s="28"/>
      <c r="AA28" s="2"/>
      <c r="AB28" s="2" t="str">
        <f t="shared" si="4"/>
        <v/>
      </c>
      <c r="AC28" s="132" t="str">
        <f t="shared" si="5"/>
        <v/>
      </c>
    </row>
    <row r="29" spans="1:29" ht="15.75">
      <c r="A29" s="29" t="s">
        <v>99</v>
      </c>
      <c r="B29" s="3" t="s">
        <v>93</v>
      </c>
      <c r="C29" s="3" t="s">
        <v>90</v>
      </c>
      <c r="D29" s="3" t="s">
        <v>97</v>
      </c>
      <c r="E29" s="3" t="str">
        <f t="shared" si="0"/>
        <v>Direct</v>
      </c>
      <c r="F29" s="10" t="s">
        <v>59</v>
      </c>
      <c r="G29" s="3">
        <v>105</v>
      </c>
      <c r="H29" s="28">
        <f>G29*205</f>
        <v>21525</v>
      </c>
      <c r="I29" s="82" t="b">
        <v>1</v>
      </c>
      <c r="J29" s="116">
        <f t="shared" si="7"/>
        <v>0.59672762271414825</v>
      </c>
      <c r="K29" s="117">
        <f>13345.5/1.039</f>
        <v>12844.562078922041</v>
      </c>
      <c r="L29" s="22">
        <f>6522/1.0897</f>
        <v>5985.1335229879787</v>
      </c>
      <c r="M29" s="22"/>
      <c r="N29" s="22"/>
      <c r="O29" s="22"/>
      <c r="P29" s="23"/>
      <c r="Q29" s="23"/>
      <c r="R29" s="23"/>
      <c r="S29" s="23"/>
      <c r="T29" s="23"/>
      <c r="U29" s="19">
        <f t="shared" si="6"/>
        <v>18829.695601910018</v>
      </c>
      <c r="V29" s="128">
        <f t="shared" si="2"/>
        <v>0.87478260636051186</v>
      </c>
      <c r="X29" s="29"/>
      <c r="Y29" s="28"/>
      <c r="AA29" s="2"/>
      <c r="AB29" s="2" t="str">
        <f t="shared" si="4"/>
        <v/>
      </c>
      <c r="AC29" s="132" t="str">
        <f t="shared" si="5"/>
        <v/>
      </c>
    </row>
    <row r="30" spans="1:29" ht="15.75">
      <c r="A30" s="29" t="s">
        <v>100</v>
      </c>
      <c r="B30" s="3" t="s">
        <v>93</v>
      </c>
      <c r="C30" s="3" t="s">
        <v>90</v>
      </c>
      <c r="D30" s="3" t="s">
        <v>101</v>
      </c>
      <c r="E30" s="3" t="str">
        <f t="shared" si="0"/>
        <v>Direct</v>
      </c>
      <c r="F30" s="10" t="s">
        <v>59</v>
      </c>
      <c r="G30" s="3">
        <f>2*105</f>
        <v>210</v>
      </c>
      <c r="H30" s="28">
        <f>G30*205</f>
        <v>43050</v>
      </c>
      <c r="I30" s="82" t="b">
        <v>1</v>
      </c>
      <c r="J30" s="116">
        <f t="shared" si="7"/>
        <v>0.57976435384327663</v>
      </c>
      <c r="K30" s="117">
        <f>26691/1.0694</f>
        <v>24958.85543295306</v>
      </c>
      <c r="L30" s="22">
        <f>14284/1.0824</f>
        <v>13196.600147819659</v>
      </c>
      <c r="M30" s="22"/>
      <c r="N30" s="22"/>
      <c r="O30" s="22"/>
      <c r="P30" s="23"/>
      <c r="Q30" s="23"/>
      <c r="R30" s="23"/>
      <c r="S30" s="23"/>
      <c r="T30" s="23"/>
      <c r="U30" s="19">
        <f t="shared" si="6"/>
        <v>38155.455580772716</v>
      </c>
      <c r="V30" s="128">
        <f t="shared" si="2"/>
        <v>0.88630558840354745</v>
      </c>
      <c r="X30" s="79"/>
      <c r="Y30" s="42"/>
      <c r="AA30" s="2"/>
      <c r="AB30" s="2" t="str">
        <f t="shared" si="4"/>
        <v/>
      </c>
      <c r="AC30" s="132" t="str">
        <f t="shared" si="5"/>
        <v/>
      </c>
    </row>
    <row r="31" spans="1:29" ht="15.75">
      <c r="A31" s="29" t="s">
        <v>102</v>
      </c>
      <c r="B31" s="3" t="s">
        <v>103</v>
      </c>
      <c r="C31" s="9" t="s">
        <v>62</v>
      </c>
      <c r="D31" s="3" t="s">
        <v>104</v>
      </c>
      <c r="E31" s="3" t="str">
        <f t="shared" si="0"/>
        <v>Direct</v>
      </c>
      <c r="F31" s="10" t="s">
        <v>31</v>
      </c>
      <c r="G31" s="1">
        <v>112</v>
      </c>
      <c r="H31" s="27">
        <f>G31*210</f>
        <v>23520</v>
      </c>
      <c r="I31" s="82" t="b">
        <v>1</v>
      </c>
      <c r="J31" s="116">
        <f t="shared" si="7"/>
        <v>1.2156788487028971</v>
      </c>
      <c r="K31" s="117">
        <f>30199.68/1.0562</f>
        <v>28592.76652149214</v>
      </c>
      <c r="L31" s="22"/>
      <c r="M31" s="22">
        <v>98.14</v>
      </c>
      <c r="N31" s="22"/>
      <c r="O31" s="22"/>
      <c r="P31" s="23"/>
      <c r="Q31" s="23"/>
      <c r="R31" s="23"/>
      <c r="S31" s="23"/>
      <c r="T31" s="23"/>
      <c r="U31" s="19">
        <f t="shared" si="6"/>
        <v>28690.906521492139</v>
      </c>
      <c r="V31" s="128">
        <f t="shared" si="2"/>
        <v>1.2198514677505161</v>
      </c>
      <c r="X31" s="29">
        <v>366458</v>
      </c>
      <c r="Y31" s="42">
        <v>45671</v>
      </c>
      <c r="AA31" s="2"/>
      <c r="AB31" s="2" t="str">
        <f t="shared" si="4"/>
        <v/>
      </c>
      <c r="AC31" s="132" t="str">
        <f t="shared" si="5"/>
        <v/>
      </c>
    </row>
    <row r="32" spans="1:29" ht="15.75">
      <c r="A32" s="29" t="s">
        <v>105</v>
      </c>
      <c r="B32" s="3" t="s">
        <v>106</v>
      </c>
      <c r="C32" s="3" t="s">
        <v>62</v>
      </c>
      <c r="D32" s="3" t="s">
        <v>104</v>
      </c>
      <c r="E32" s="3" t="str">
        <f t="shared" si="0"/>
        <v>Direct</v>
      </c>
      <c r="F32" s="3" t="s">
        <v>31</v>
      </c>
      <c r="G32" s="3">
        <f>9*112</f>
        <v>1008</v>
      </c>
      <c r="H32" s="28">
        <f>G32*210</f>
        <v>211680</v>
      </c>
      <c r="I32" s="82" t="b">
        <v>1</v>
      </c>
      <c r="J32" s="116">
        <f t="shared" si="7"/>
        <v>1.2497650915023166</v>
      </c>
      <c r="K32" s="117">
        <f>279418/1.0562</f>
        <v>264550.27456921036</v>
      </c>
      <c r="L32" s="22"/>
      <c r="M32" s="22">
        <f>392.56</f>
        <v>392.56</v>
      </c>
      <c r="N32" s="22"/>
      <c r="O32" s="22"/>
      <c r="P32" s="23"/>
      <c r="Q32" s="23"/>
      <c r="R32" s="23">
        <v>57.04</v>
      </c>
      <c r="S32" s="23"/>
      <c r="T32" s="23"/>
      <c r="U32" s="19">
        <f t="shared" si="6"/>
        <v>264942.83456921036</v>
      </c>
      <c r="V32" s="128">
        <f t="shared" si="2"/>
        <v>1.2516195888568138</v>
      </c>
      <c r="X32" s="79" t="s">
        <v>107</v>
      </c>
      <c r="Y32" s="42">
        <v>45671</v>
      </c>
      <c r="AA32" s="2"/>
      <c r="AB32" s="2" t="str">
        <f t="shared" si="4"/>
        <v/>
      </c>
      <c r="AC32" s="132" t="str">
        <f t="shared" si="5"/>
        <v/>
      </c>
    </row>
    <row r="33" spans="1:29" ht="15.75">
      <c r="A33" s="29" t="s">
        <v>108</v>
      </c>
      <c r="B33" s="3" t="s">
        <v>61</v>
      </c>
      <c r="C33" s="3" t="s">
        <v>62</v>
      </c>
      <c r="D33" s="3" t="s">
        <v>30</v>
      </c>
      <c r="E33" s="3" t="str">
        <f t="shared" si="0"/>
        <v>Hiwa</v>
      </c>
      <c r="F33" s="3" t="s">
        <v>31</v>
      </c>
      <c r="G33" s="3">
        <v>112</v>
      </c>
      <c r="H33" s="28">
        <v>23520</v>
      </c>
      <c r="I33" s="82" t="b">
        <v>1</v>
      </c>
      <c r="J33" s="116">
        <f>IF(H33="","",+K33/H33)</f>
        <v>1.395</v>
      </c>
      <c r="K33" s="117">
        <v>32810.400000000001</v>
      </c>
      <c r="L33" s="22"/>
      <c r="M33" s="22">
        <v>98.14</v>
      </c>
      <c r="N33" s="22">
        <v>170</v>
      </c>
      <c r="O33" s="22">
        <v>1431.4</v>
      </c>
      <c r="P33" s="23">
        <f>163.85+128.74+128.74+52.67+52.67</f>
        <v>526.67000000000007</v>
      </c>
      <c r="Q33" s="23">
        <f>85+6.68+2.73</f>
        <v>94.410000000000011</v>
      </c>
      <c r="R33" s="23">
        <f>(57.04*(52/76))</f>
        <v>39.027368421052635</v>
      </c>
      <c r="S33" s="23">
        <f>(77.52*(13/19))</f>
        <v>53.04</v>
      </c>
      <c r="T33" s="23">
        <f>689+(1650*(52/76))</f>
        <v>1817.9473684210527</v>
      </c>
      <c r="U33" s="19">
        <f t="shared" si="6"/>
        <v>35131.020000000004</v>
      </c>
      <c r="V33" s="128">
        <f t="shared" si="2"/>
        <v>1.4936658163265308</v>
      </c>
      <c r="X33" s="29">
        <v>366388</v>
      </c>
      <c r="Y33" s="42">
        <v>45671</v>
      </c>
      <c r="AA33" s="2">
        <v>36</v>
      </c>
      <c r="AB33" s="2">
        <f t="shared" si="4"/>
        <v>7560</v>
      </c>
      <c r="AC33" s="132">
        <f t="shared" si="5"/>
        <v>11292.113571428574</v>
      </c>
    </row>
    <row r="34" spans="1:29" ht="15.75">
      <c r="A34" s="29" t="s">
        <v>109</v>
      </c>
      <c r="B34" s="3" t="s">
        <v>103</v>
      </c>
      <c r="C34" s="3" t="s">
        <v>62</v>
      </c>
      <c r="D34" s="3" t="s">
        <v>104</v>
      </c>
      <c r="E34" s="3" t="str">
        <f t="shared" si="0"/>
        <v>Direct</v>
      </c>
      <c r="F34" s="3" t="s">
        <v>31</v>
      </c>
      <c r="G34" s="3">
        <v>336</v>
      </c>
      <c r="H34" s="28">
        <f>G34*210</f>
        <v>70560</v>
      </c>
      <c r="I34" s="82" t="b">
        <v>1</v>
      </c>
      <c r="J34" s="116">
        <f t="shared" si="7"/>
        <v>1.2839999999999998</v>
      </c>
      <c r="K34" s="117">
        <v>90599.039999999994</v>
      </c>
      <c r="L34" s="22"/>
      <c r="M34" s="22">
        <f>(34.69+63.45)*2</f>
        <v>196.28</v>
      </c>
      <c r="N34" s="22"/>
      <c r="O34" s="22"/>
      <c r="P34" s="23"/>
      <c r="Q34" s="23"/>
      <c r="R34" s="23">
        <f>2*57.04</f>
        <v>114.08</v>
      </c>
      <c r="S34" s="23"/>
      <c r="T34" s="23"/>
      <c r="U34" s="19">
        <f t="shared" si="6"/>
        <v>90795.319999999992</v>
      </c>
      <c r="V34" s="128">
        <f t="shared" si="2"/>
        <v>1.2867817460317459</v>
      </c>
      <c r="X34" s="79" t="s">
        <v>110</v>
      </c>
      <c r="Y34" s="42">
        <v>45672</v>
      </c>
      <c r="AA34" s="2"/>
      <c r="AB34" s="2" t="str">
        <f t="shared" si="4"/>
        <v/>
      </c>
      <c r="AC34" s="132" t="str">
        <f t="shared" si="5"/>
        <v/>
      </c>
    </row>
    <row r="35" spans="1:29" ht="15.75">
      <c r="A35" s="29" t="s">
        <v>111</v>
      </c>
      <c r="B35" s="3" t="s">
        <v>93</v>
      </c>
      <c r="C35" s="3" t="s">
        <v>90</v>
      </c>
      <c r="D35" s="3" t="s">
        <v>112</v>
      </c>
      <c r="E35" s="3" t="str">
        <f t="shared" si="0"/>
        <v>Direct</v>
      </c>
      <c r="F35" s="3" t="s">
        <v>59</v>
      </c>
      <c r="G35" s="3">
        <v>112</v>
      </c>
      <c r="H35" s="28">
        <f>G35*205</f>
        <v>22960</v>
      </c>
      <c r="I35" s="82" t="b">
        <v>1</v>
      </c>
      <c r="J35" s="116">
        <f t="shared" si="7"/>
        <v>0.69424215943295464</v>
      </c>
      <c r="K35" s="117">
        <f>16416.4/1.0299</f>
        <v>15939.799980580639</v>
      </c>
      <c r="L35" s="22">
        <f>(1656/1.0198)+328+69.25+834+80+35+55</f>
        <v>3025.0978132967248</v>
      </c>
      <c r="M35" s="22">
        <f>1903.63+38.07+96</f>
        <v>2037.7</v>
      </c>
      <c r="N35" s="22">
        <f>300+227.5</f>
        <v>527.5</v>
      </c>
      <c r="O35" s="22"/>
      <c r="P35" s="23"/>
      <c r="Q35" s="23"/>
      <c r="R35" s="23"/>
      <c r="S35" s="23"/>
      <c r="T35" s="23"/>
      <c r="U35" s="19">
        <f t="shared" si="6"/>
        <v>21530.097793877365</v>
      </c>
      <c r="V35" s="128">
        <f t="shared" si="2"/>
        <v>0.93772202935005944</v>
      </c>
      <c r="X35" s="79"/>
      <c r="Y35" s="42"/>
      <c r="AA35" s="2"/>
      <c r="AB35" s="2" t="str">
        <f t="shared" si="4"/>
        <v/>
      </c>
      <c r="AC35" s="132" t="str">
        <f t="shared" si="5"/>
        <v/>
      </c>
    </row>
    <row r="36" spans="1:29" ht="15.75">
      <c r="A36" s="54" t="s">
        <v>113</v>
      </c>
      <c r="B36" s="3" t="s">
        <v>89</v>
      </c>
      <c r="C36" s="9" t="s">
        <v>90</v>
      </c>
      <c r="D36" s="3" t="s">
        <v>30</v>
      </c>
      <c r="E36" s="3" t="str">
        <f t="shared" si="0"/>
        <v>Hiwa</v>
      </c>
      <c r="F36" s="10" t="s">
        <v>59</v>
      </c>
      <c r="G36" s="1">
        <v>256</v>
      </c>
      <c r="H36" s="27">
        <f>G36*205</f>
        <v>52480</v>
      </c>
      <c r="I36" s="82" t="b">
        <v>1</v>
      </c>
      <c r="J36" s="116">
        <f t="shared" si="7"/>
        <v>0.62141955529663062</v>
      </c>
      <c r="K36" s="117">
        <f>33587.2/1.0299</f>
        <v>32612.098261967178</v>
      </c>
      <c r="L36" s="58">
        <f>3092/1.0198</f>
        <v>3031.9670523632085</v>
      </c>
      <c r="M36" s="58">
        <f>2003.73+1988.57</f>
        <v>3992.3</v>
      </c>
      <c r="N36" s="58">
        <v>120</v>
      </c>
      <c r="O36" s="58">
        <f>61.61+2584.52+712.22</f>
        <v>3358.3500000000004</v>
      </c>
      <c r="P36" s="59">
        <f>0.98+72.45</f>
        <v>73.430000000000007</v>
      </c>
      <c r="Q36" s="59">
        <f>4.68+4.72</f>
        <v>9.3999999999999986</v>
      </c>
      <c r="R36" s="59">
        <f>57.04+(57.04*(77/110))</f>
        <v>96.967999999999989</v>
      </c>
      <c r="S36" s="59"/>
      <c r="T36" s="59"/>
      <c r="U36" s="19">
        <f t="shared" si="6"/>
        <v>43197.545314330389</v>
      </c>
      <c r="V36" s="128">
        <f t="shared" si="2"/>
        <v>0.8231239579712345</v>
      </c>
      <c r="X36" s="80" t="s">
        <v>114</v>
      </c>
      <c r="Y36" s="72">
        <v>45705</v>
      </c>
      <c r="AA36" s="2">
        <v>0</v>
      </c>
      <c r="AB36" s="2">
        <f t="shared" si="4"/>
        <v>0</v>
      </c>
      <c r="AC36" s="132">
        <f t="shared" si="5"/>
        <v>0</v>
      </c>
    </row>
    <row r="37" spans="1:29" ht="15.75">
      <c r="A37" s="29" t="s">
        <v>115</v>
      </c>
      <c r="B37" s="3" t="s">
        <v>106</v>
      </c>
      <c r="C37" s="55" t="s">
        <v>62</v>
      </c>
      <c r="D37" s="55" t="s">
        <v>116</v>
      </c>
      <c r="E37" s="55" t="str">
        <f t="shared" si="0"/>
        <v>Direct</v>
      </c>
      <c r="F37" s="55" t="s">
        <v>31</v>
      </c>
      <c r="G37" s="55">
        <f>9*112</f>
        <v>1008</v>
      </c>
      <c r="H37" s="56">
        <f>G37*210</f>
        <v>211680</v>
      </c>
      <c r="I37" s="82" t="b">
        <v>1</v>
      </c>
      <c r="J37" s="116">
        <f t="shared" si="7"/>
        <v>1.41</v>
      </c>
      <c r="K37" s="119">
        <v>298468.8</v>
      </c>
      <c r="L37" s="58">
        <v>19739</v>
      </c>
      <c r="M37" s="58">
        <v>320</v>
      </c>
      <c r="N37" s="58">
        <v>500</v>
      </c>
      <c r="O37" s="58"/>
      <c r="P37" s="59"/>
      <c r="Q37" s="59"/>
      <c r="R37" s="59"/>
      <c r="S37" s="59"/>
      <c r="T37" s="59"/>
      <c r="U37" s="19">
        <f t="shared" si="6"/>
        <v>319027.8</v>
      </c>
      <c r="V37" s="128">
        <f t="shared" si="2"/>
        <v>1.5071230158730158</v>
      </c>
      <c r="X37" s="54"/>
      <c r="Y37" s="56"/>
      <c r="AA37" s="2"/>
      <c r="AB37" s="2" t="str">
        <f t="shared" si="4"/>
        <v/>
      </c>
      <c r="AC37" s="132" t="str">
        <f t="shared" si="5"/>
        <v/>
      </c>
    </row>
    <row r="38" spans="1:29" ht="15.75">
      <c r="A38" s="54" t="s">
        <v>117</v>
      </c>
      <c r="B38" s="3" t="s">
        <v>118</v>
      </c>
      <c r="C38" s="9" t="s">
        <v>119</v>
      </c>
      <c r="D38" s="13" t="s">
        <v>120</v>
      </c>
      <c r="E38" s="3" t="str">
        <f>IF(B38="","",IF(D38="Godfroy","Godfroy",(IF(LEFT(B38,1)="1","Hiwa","Direct"))))</f>
        <v>Direct</v>
      </c>
      <c r="F38" s="10" t="s">
        <v>121</v>
      </c>
      <c r="G38" s="1">
        <v>52</v>
      </c>
      <c r="H38" s="27">
        <v>10400</v>
      </c>
      <c r="I38" s="82" t="b">
        <v>1</v>
      </c>
      <c r="J38" s="116">
        <f t="shared" si="7"/>
        <v>1.54</v>
      </c>
      <c r="K38" s="119">
        <v>16016</v>
      </c>
      <c r="L38" s="58">
        <v>1750</v>
      </c>
      <c r="M38" s="58"/>
      <c r="N38" s="58"/>
      <c r="O38" s="58"/>
      <c r="P38" s="59"/>
      <c r="Q38" s="59"/>
      <c r="R38" s="59"/>
      <c r="S38" s="59"/>
      <c r="T38" s="59"/>
      <c r="U38" s="19">
        <f t="shared" si="6"/>
        <v>17766</v>
      </c>
      <c r="V38" s="128">
        <f t="shared" si="2"/>
        <v>1.7082692307692309</v>
      </c>
      <c r="X38" s="54"/>
      <c r="Y38" s="56"/>
      <c r="AA38" s="2"/>
      <c r="AB38" s="2" t="str">
        <f t="shared" si="4"/>
        <v/>
      </c>
      <c r="AC38" s="132" t="str">
        <f t="shared" si="5"/>
        <v/>
      </c>
    </row>
    <row r="39" spans="1:29" ht="15.75">
      <c r="A39" s="29" t="s">
        <v>122</v>
      </c>
      <c r="B39" s="3" t="s">
        <v>123</v>
      </c>
      <c r="C39" s="9" t="s">
        <v>52</v>
      </c>
      <c r="D39" s="13" t="s">
        <v>30</v>
      </c>
      <c r="E39" s="3" t="str">
        <f t="shared" ref="E39" si="8">IF(B39="","",IF(D39="Godfroy","Godfroy",(IF(LEFT(B39,1)="1","Hiwa","Direct"))))</f>
        <v>Hiwa</v>
      </c>
      <c r="F39" s="3" t="s">
        <v>46</v>
      </c>
      <c r="G39" s="1">
        <v>80</v>
      </c>
      <c r="H39" s="27">
        <v>16800</v>
      </c>
      <c r="I39" s="82" t="b">
        <v>1</v>
      </c>
      <c r="J39" s="116">
        <f t="shared" si="7"/>
        <v>3.705842718259698</v>
      </c>
      <c r="K39" s="119">
        <f>64680/1.0389</f>
        <v>62258.157666762927</v>
      </c>
      <c r="L39" s="58">
        <f>2425/1.0389</f>
        <v>2334.1996342285111</v>
      </c>
      <c r="M39" s="58">
        <v>98.14</v>
      </c>
      <c r="N39" s="58"/>
      <c r="O39" s="58">
        <v>1155.18</v>
      </c>
      <c r="P39" s="59">
        <f>78.68+55.07</f>
        <v>133.75</v>
      </c>
      <c r="Q39" s="59">
        <f>16.46+16.23</f>
        <v>32.69</v>
      </c>
      <c r="R39" s="59">
        <f>57.04</f>
        <v>57.04</v>
      </c>
      <c r="S39" s="59"/>
      <c r="T39" s="59"/>
      <c r="U39" s="19">
        <f t="shared" si="6"/>
        <v>66012.117300991435</v>
      </c>
      <c r="V39" s="128">
        <f t="shared" si="2"/>
        <v>3.9292926964875856</v>
      </c>
      <c r="X39" s="54">
        <v>367271</v>
      </c>
      <c r="Y39" s="72">
        <v>45691</v>
      </c>
      <c r="AA39" s="2">
        <v>56</v>
      </c>
      <c r="AB39" s="2">
        <f t="shared" si="4"/>
        <v>11760</v>
      </c>
      <c r="AC39" s="132">
        <f t="shared" si="5"/>
        <v>46208.482110694007</v>
      </c>
    </row>
    <row r="40" spans="1:29" ht="15.75">
      <c r="A40" s="54" t="s">
        <v>124</v>
      </c>
      <c r="B40" s="3" t="s">
        <v>125</v>
      </c>
      <c r="C40" s="3" t="s">
        <v>126</v>
      </c>
      <c r="D40" s="3" t="s">
        <v>127</v>
      </c>
      <c r="E40" s="3" t="str">
        <f>IF(B40="","",IF(D40="Godfroy","Godfroy",(IF(LEFT(B40,1)="1","Hiwa","Direct"))))</f>
        <v>Direct</v>
      </c>
      <c r="F40" s="3" t="s">
        <v>128</v>
      </c>
      <c r="G40" s="3">
        <v>4</v>
      </c>
      <c r="H40" s="28">
        <v>880</v>
      </c>
      <c r="I40" s="82" t="b">
        <v>1</v>
      </c>
      <c r="J40" s="116">
        <f>IF(H40="","",+K40/H40)</f>
        <v>0.92045454545454541</v>
      </c>
      <c r="K40" s="119">
        <v>810</v>
      </c>
      <c r="L40" s="58">
        <v>294</v>
      </c>
      <c r="M40" s="58"/>
      <c r="N40" s="58"/>
      <c r="O40" s="58"/>
      <c r="P40" s="59"/>
      <c r="Q40" s="59"/>
      <c r="R40" s="59"/>
      <c r="S40" s="59"/>
      <c r="T40" s="59"/>
      <c r="U40" s="19">
        <f t="shared" si="6"/>
        <v>1104</v>
      </c>
      <c r="V40" s="128">
        <f>IF(J40="","",+U40/H40)</f>
        <v>1.2545454545454546</v>
      </c>
      <c r="X40" s="54"/>
      <c r="Y40" s="56"/>
      <c r="AA40" s="2"/>
      <c r="AB40" s="2" t="str">
        <f t="shared" si="4"/>
        <v/>
      </c>
      <c r="AC40" s="132" t="str">
        <f t="shared" si="5"/>
        <v/>
      </c>
    </row>
    <row r="41" spans="1:29" ht="15.75">
      <c r="A41" s="29" t="s">
        <v>129</v>
      </c>
      <c r="B41" s="3" t="s">
        <v>106</v>
      </c>
      <c r="C41" s="9" t="s">
        <v>62</v>
      </c>
      <c r="D41" s="3" t="s">
        <v>104</v>
      </c>
      <c r="E41" s="3" t="str">
        <f t="shared" ref="E41:E45" si="9">IF(B41="","",IF(D41="Godfroy","Godfroy",(IF(LEFT(B41,1)="1","Hiwa","Direct"))))</f>
        <v>Direct</v>
      </c>
      <c r="F41" s="10" t="s">
        <v>31</v>
      </c>
      <c r="G41" s="1">
        <f>6*112</f>
        <v>672</v>
      </c>
      <c r="H41" s="27">
        <f>G41*210</f>
        <v>141120</v>
      </c>
      <c r="I41" s="82" t="b">
        <v>1</v>
      </c>
      <c r="J41" s="116">
        <f>IF(H41="","",+K41/H41)</f>
        <v>1.32</v>
      </c>
      <c r="K41" s="119">
        <v>186278.39999999999</v>
      </c>
      <c r="L41" s="58"/>
      <c r="M41" s="22">
        <f>(34.69+63.45)*4</f>
        <v>392.56</v>
      </c>
      <c r="N41" s="58"/>
      <c r="O41" s="58"/>
      <c r="P41" s="59"/>
      <c r="Q41" s="59"/>
      <c r="R41" s="59">
        <f>3*57.04+57.04+57.04</f>
        <v>285.2</v>
      </c>
      <c r="S41" s="59"/>
      <c r="T41" s="59"/>
      <c r="U41" s="19">
        <f t="shared" si="6"/>
        <v>186670.96</v>
      </c>
      <c r="V41" s="128">
        <f>IF(J41="","",+U41/H41)</f>
        <v>1.3227817460317459</v>
      </c>
      <c r="X41" s="79" t="s">
        <v>130</v>
      </c>
      <c r="Y41" s="42">
        <v>45672</v>
      </c>
      <c r="AA41" s="2"/>
      <c r="AB41" s="2" t="str">
        <f t="shared" si="4"/>
        <v/>
      </c>
      <c r="AC41" s="132" t="str">
        <f t="shared" si="5"/>
        <v/>
      </c>
    </row>
    <row r="42" spans="1:29" ht="15.75">
      <c r="A42" s="54" t="s">
        <v>131</v>
      </c>
      <c r="B42" s="3" t="s">
        <v>132</v>
      </c>
      <c r="C42" s="3" t="s">
        <v>133</v>
      </c>
      <c r="D42" s="13" t="s">
        <v>134</v>
      </c>
      <c r="E42" s="3" t="str">
        <f t="shared" si="9"/>
        <v>Direct</v>
      </c>
      <c r="F42" s="3" t="s">
        <v>121</v>
      </c>
      <c r="G42" s="65">
        <v>32</v>
      </c>
      <c r="H42" s="53">
        <f>G42*220</f>
        <v>7040</v>
      </c>
      <c r="I42" s="82" t="b">
        <v>1</v>
      </c>
      <c r="J42" s="116">
        <f t="shared" ref="J42:J105" si="10">IF(H42="","",+K42/H42)</f>
        <v>1.45</v>
      </c>
      <c r="K42" s="119">
        <v>10208</v>
      </c>
      <c r="L42" s="58">
        <v>704</v>
      </c>
      <c r="M42" s="58"/>
      <c r="N42" s="58"/>
      <c r="O42" s="58"/>
      <c r="P42" s="59"/>
      <c r="Q42" s="59"/>
      <c r="R42" s="59"/>
      <c r="S42" s="59"/>
      <c r="T42" s="59"/>
      <c r="U42" s="19">
        <f t="shared" si="6"/>
        <v>10912</v>
      </c>
      <c r="V42" s="128">
        <f t="shared" ref="V42:V105" si="11">IF(J42="","",+U42/H42)</f>
        <v>1.55</v>
      </c>
      <c r="X42" s="54"/>
      <c r="Y42" s="56"/>
      <c r="AA42" s="2"/>
      <c r="AB42" s="2" t="str">
        <f t="shared" si="4"/>
        <v/>
      </c>
      <c r="AC42" s="132" t="str">
        <f t="shared" si="5"/>
        <v/>
      </c>
    </row>
    <row r="43" spans="1:29" ht="15.75">
      <c r="A43" s="29" t="s">
        <v>135</v>
      </c>
      <c r="B43" s="3" t="s">
        <v>136</v>
      </c>
      <c r="C43" s="3" t="s">
        <v>133</v>
      </c>
      <c r="D43" s="13" t="s">
        <v>134</v>
      </c>
      <c r="E43" s="3" t="str">
        <f t="shared" si="9"/>
        <v>Direct</v>
      </c>
      <c r="F43" s="3" t="s">
        <v>121</v>
      </c>
      <c r="G43" s="65">
        <v>8</v>
      </c>
      <c r="H43" s="53">
        <f>G43*220</f>
        <v>1760</v>
      </c>
      <c r="I43" s="82" t="b">
        <v>1</v>
      </c>
      <c r="J43" s="116">
        <f t="shared" si="10"/>
        <v>1.24</v>
      </c>
      <c r="K43" s="119">
        <v>2182.4</v>
      </c>
      <c r="L43" s="58">
        <v>176</v>
      </c>
      <c r="M43" s="58"/>
      <c r="N43" s="58"/>
      <c r="O43" s="58"/>
      <c r="P43" s="59"/>
      <c r="Q43" s="59"/>
      <c r="R43" s="59"/>
      <c r="S43" s="59"/>
      <c r="T43" s="59"/>
      <c r="U43" s="19">
        <f t="shared" si="6"/>
        <v>2358.4</v>
      </c>
      <c r="V43" s="128">
        <f t="shared" si="11"/>
        <v>1.34</v>
      </c>
      <c r="X43" s="54"/>
      <c r="Y43" s="56"/>
      <c r="AA43" s="2"/>
      <c r="AB43" s="2" t="str">
        <f t="shared" si="4"/>
        <v/>
      </c>
      <c r="AC43" s="132" t="str">
        <f t="shared" si="5"/>
        <v/>
      </c>
    </row>
    <row r="44" spans="1:29" ht="15.75">
      <c r="A44" s="54" t="s">
        <v>137</v>
      </c>
      <c r="B44" s="3" t="s">
        <v>103</v>
      </c>
      <c r="C44" s="9" t="s">
        <v>62</v>
      </c>
      <c r="D44" s="3" t="s">
        <v>104</v>
      </c>
      <c r="E44" s="3" t="str">
        <f t="shared" si="9"/>
        <v>Direct</v>
      </c>
      <c r="F44" s="10" t="s">
        <v>31</v>
      </c>
      <c r="G44" s="1">
        <f>6*112</f>
        <v>672</v>
      </c>
      <c r="H44" s="27">
        <f>G44*210</f>
        <v>141120</v>
      </c>
      <c r="I44" s="82" t="b">
        <v>1</v>
      </c>
      <c r="J44" s="116">
        <f t="shared" si="10"/>
        <v>1.2899999999999998</v>
      </c>
      <c r="K44" s="117">
        <v>182044.79999999999</v>
      </c>
      <c r="L44" s="22"/>
      <c r="M44" s="22">
        <f>(98.14*(6/18))+(98.14*(6/18))-(98.14*(6/18))</f>
        <v>32.713333333333331</v>
      </c>
      <c r="N44" s="22"/>
      <c r="O44" s="22"/>
      <c r="P44" s="23"/>
      <c r="Q44" s="23"/>
      <c r="R44" s="23"/>
      <c r="S44" s="23"/>
      <c r="T44" s="23"/>
      <c r="U44" s="19">
        <f t="shared" si="6"/>
        <v>182077.51333333334</v>
      </c>
      <c r="V44" s="128">
        <f t="shared" si="11"/>
        <v>1.2902318121693122</v>
      </c>
      <c r="X44" s="54"/>
      <c r="Y44" s="56"/>
      <c r="AA44" s="2"/>
      <c r="AB44" s="2" t="str">
        <f t="shared" si="4"/>
        <v/>
      </c>
      <c r="AC44" s="132" t="str">
        <f t="shared" si="5"/>
        <v/>
      </c>
    </row>
    <row r="45" spans="1:29" ht="15.75">
      <c r="A45" s="29" t="s">
        <v>138</v>
      </c>
      <c r="B45" s="3" t="s">
        <v>106</v>
      </c>
      <c r="C45" s="3" t="s">
        <v>62</v>
      </c>
      <c r="D45" s="3" t="s">
        <v>104</v>
      </c>
      <c r="E45" s="3" t="str">
        <f t="shared" si="9"/>
        <v>Direct</v>
      </c>
      <c r="F45" s="3" t="s">
        <v>31</v>
      </c>
      <c r="G45" s="3">
        <f>12*112</f>
        <v>1344</v>
      </c>
      <c r="H45" s="28">
        <f>G45*210</f>
        <v>282240</v>
      </c>
      <c r="I45" s="82" t="b">
        <v>1</v>
      </c>
      <c r="J45" s="116">
        <f t="shared" si="10"/>
        <v>1.33</v>
      </c>
      <c r="K45" s="117">
        <v>375379.20000000001</v>
      </c>
      <c r="L45" s="22"/>
      <c r="M45" s="22">
        <f>(98.14*(12/18))+(98.14*(12/18))-(98.14*(12/18))</f>
        <v>65.426666666666662</v>
      </c>
      <c r="N45" s="22"/>
      <c r="O45" s="22"/>
      <c r="P45" s="23"/>
      <c r="Q45" s="23"/>
      <c r="R45" s="23"/>
      <c r="S45" s="23"/>
      <c r="T45" s="23"/>
      <c r="U45" s="19">
        <f t="shared" si="6"/>
        <v>375444.62666666671</v>
      </c>
      <c r="V45" s="128">
        <f t="shared" si="11"/>
        <v>1.3302318121693124</v>
      </c>
      <c r="X45" s="54"/>
      <c r="Y45" s="56"/>
      <c r="AA45" s="2"/>
      <c r="AB45" s="2" t="str">
        <f t="shared" si="4"/>
        <v/>
      </c>
      <c r="AC45" s="132" t="str">
        <f t="shared" si="5"/>
        <v/>
      </c>
    </row>
    <row r="46" spans="1:29" ht="15.75">
      <c r="A46" s="29" t="s">
        <v>139</v>
      </c>
      <c r="B46" s="3" t="s">
        <v>140</v>
      </c>
      <c r="C46" s="3" t="s">
        <v>62</v>
      </c>
      <c r="D46" s="3" t="s">
        <v>104</v>
      </c>
      <c r="E46" s="3" t="str">
        <f t="shared" si="0"/>
        <v>Direct</v>
      </c>
      <c r="F46" s="3" t="s">
        <v>31</v>
      </c>
      <c r="G46" s="3">
        <v>896</v>
      </c>
      <c r="H46" s="28">
        <f>+G46*210</f>
        <v>188160</v>
      </c>
      <c r="I46" s="82" t="b">
        <v>1</v>
      </c>
      <c r="J46" s="116">
        <f t="shared" si="10"/>
        <v>1.07</v>
      </c>
      <c r="K46" s="117">
        <v>201331.20000000001</v>
      </c>
      <c r="L46" s="22"/>
      <c r="M46" s="22">
        <v>686.98</v>
      </c>
      <c r="N46" s="22"/>
      <c r="O46" s="22"/>
      <c r="P46" s="23"/>
      <c r="Q46" s="23"/>
      <c r="R46" s="23"/>
      <c r="S46" s="23"/>
      <c r="T46" s="23"/>
      <c r="U46" s="19">
        <f t="shared" si="6"/>
        <v>202018.18000000002</v>
      </c>
      <c r="V46" s="128">
        <f t="shared" si="11"/>
        <v>1.0736510416666667</v>
      </c>
      <c r="X46" s="80" t="s">
        <v>141</v>
      </c>
      <c r="Y46" s="72">
        <v>45726</v>
      </c>
      <c r="AA46" s="2"/>
      <c r="AB46" s="2" t="str">
        <f t="shared" si="4"/>
        <v/>
      </c>
      <c r="AC46" s="132" t="str">
        <f t="shared" si="5"/>
        <v/>
      </c>
    </row>
    <row r="47" spans="1:29" ht="15.75">
      <c r="A47" s="29" t="s">
        <v>142</v>
      </c>
      <c r="B47" s="3" t="s">
        <v>143</v>
      </c>
      <c r="C47" s="9" t="s">
        <v>119</v>
      </c>
      <c r="D47" s="3" t="s">
        <v>144</v>
      </c>
      <c r="E47" s="3" t="str">
        <f t="shared" si="0"/>
        <v>Direct</v>
      </c>
      <c r="F47" s="10" t="s">
        <v>121</v>
      </c>
      <c r="G47" s="1">
        <v>110</v>
      </c>
      <c r="H47" s="27">
        <v>1100</v>
      </c>
      <c r="I47" s="82" t="b">
        <v>1</v>
      </c>
      <c r="J47" s="116">
        <f t="shared" si="10"/>
        <v>1.085</v>
      </c>
      <c r="K47" s="117">
        <v>1193.5</v>
      </c>
      <c r="L47" s="22">
        <v>485</v>
      </c>
      <c r="M47" s="22"/>
      <c r="N47" s="22"/>
      <c r="O47" s="22"/>
      <c r="P47" s="23"/>
      <c r="Q47" s="23"/>
      <c r="R47" s="23"/>
      <c r="S47" s="23"/>
      <c r="T47" s="23"/>
      <c r="U47" s="19">
        <f t="shared" si="6"/>
        <v>1678.5</v>
      </c>
      <c r="V47" s="128">
        <f t="shared" si="11"/>
        <v>1.5259090909090909</v>
      </c>
      <c r="X47" s="54"/>
      <c r="Y47" s="56"/>
      <c r="AA47" s="2"/>
      <c r="AB47" s="2" t="str">
        <f t="shared" si="4"/>
        <v/>
      </c>
      <c r="AC47" s="132" t="str">
        <f t="shared" si="5"/>
        <v/>
      </c>
    </row>
    <row r="48" spans="1:29" ht="15.75">
      <c r="A48" s="29" t="s">
        <v>145</v>
      </c>
      <c r="B48" s="3" t="s">
        <v>93</v>
      </c>
      <c r="C48" s="3" t="s">
        <v>90</v>
      </c>
      <c r="D48" s="3" t="s">
        <v>112</v>
      </c>
      <c r="E48" s="3" t="str">
        <f t="shared" si="0"/>
        <v>Direct</v>
      </c>
      <c r="F48" s="3" t="s">
        <v>59</v>
      </c>
      <c r="G48" s="3">
        <v>112</v>
      </c>
      <c r="H48" s="28">
        <f>G48*205</f>
        <v>22960</v>
      </c>
      <c r="I48" s="82" t="b">
        <v>1</v>
      </c>
      <c r="J48" s="116">
        <f t="shared" si="10"/>
        <v>0.62488129154795824</v>
      </c>
      <c r="K48" s="117">
        <f>15107.68/1.053</f>
        <v>14347.274453941121</v>
      </c>
      <c r="L48" s="22">
        <f>1798/1.037</f>
        <v>1733.8476374156221</v>
      </c>
      <c r="M48" s="22"/>
      <c r="N48" s="22"/>
      <c r="O48" s="22"/>
      <c r="P48" s="23"/>
      <c r="Q48" s="23"/>
      <c r="R48" s="23"/>
      <c r="S48" s="23"/>
      <c r="T48" s="23"/>
      <c r="U48" s="19">
        <f t="shared" si="6"/>
        <v>16081.122091356743</v>
      </c>
      <c r="V48" s="128">
        <f t="shared" si="11"/>
        <v>0.70039730363052022</v>
      </c>
      <c r="X48" s="54"/>
      <c r="Y48" s="56"/>
      <c r="AA48" s="2"/>
      <c r="AB48" s="2" t="str">
        <f t="shared" si="4"/>
        <v/>
      </c>
      <c r="AC48" s="132" t="str">
        <f t="shared" si="5"/>
        <v/>
      </c>
    </row>
    <row r="49" spans="1:29" ht="15.75">
      <c r="A49" s="29" t="s">
        <v>146</v>
      </c>
      <c r="B49" s="3" t="s">
        <v>147</v>
      </c>
      <c r="C49" s="3" t="s">
        <v>133</v>
      </c>
      <c r="D49" s="3" t="s">
        <v>148</v>
      </c>
      <c r="E49" s="3" t="str">
        <f t="shared" si="0"/>
        <v>Direct</v>
      </c>
      <c r="F49" s="3" t="s">
        <v>121</v>
      </c>
      <c r="G49" s="3">
        <v>12</v>
      </c>
      <c r="H49" s="28">
        <f>G49*220</f>
        <v>2640</v>
      </c>
      <c r="I49" s="82" t="b">
        <v>1</v>
      </c>
      <c r="J49" s="116">
        <f t="shared" si="10"/>
        <v>1.8099999999999998</v>
      </c>
      <c r="K49" s="117">
        <v>4778.3999999999996</v>
      </c>
      <c r="L49" s="22">
        <v>380</v>
      </c>
      <c r="M49" s="22"/>
      <c r="N49" s="22"/>
      <c r="O49" s="22"/>
      <c r="P49" s="23"/>
      <c r="Q49" s="23"/>
      <c r="R49" s="23"/>
      <c r="S49" s="23"/>
      <c r="T49" s="23"/>
      <c r="U49" s="19">
        <f t="shared" ref="U49:U112" si="12">IF(B49="","",K49+SUM(L49:Q49))</f>
        <v>5158.3999999999996</v>
      </c>
      <c r="V49" s="128">
        <f t="shared" si="11"/>
        <v>1.9539393939393939</v>
      </c>
      <c r="X49" s="54"/>
      <c r="Y49" s="56"/>
      <c r="AA49" s="2"/>
      <c r="AB49" s="2" t="str">
        <f t="shared" si="4"/>
        <v/>
      </c>
      <c r="AC49" s="132" t="str">
        <f t="shared" si="5"/>
        <v/>
      </c>
    </row>
    <row r="50" spans="1:29" ht="15.75">
      <c r="A50" s="29" t="s">
        <v>149</v>
      </c>
      <c r="B50" s="3" t="s">
        <v>143</v>
      </c>
      <c r="C50" s="9" t="s">
        <v>119</v>
      </c>
      <c r="D50" s="3" t="s">
        <v>150</v>
      </c>
      <c r="E50" s="3" t="str">
        <f t="shared" si="0"/>
        <v>Direct</v>
      </c>
      <c r="F50" s="10" t="s">
        <v>121</v>
      </c>
      <c r="G50" s="1">
        <v>110</v>
      </c>
      <c r="H50" s="27">
        <v>1100</v>
      </c>
      <c r="I50" s="82" t="b">
        <v>1</v>
      </c>
      <c r="J50" s="116">
        <f t="shared" si="10"/>
        <v>1.085</v>
      </c>
      <c r="K50" s="117">
        <v>1193.5</v>
      </c>
      <c r="L50" s="22">
        <v>480</v>
      </c>
      <c r="M50" s="22"/>
      <c r="N50" s="22"/>
      <c r="O50" s="22"/>
      <c r="P50" s="23"/>
      <c r="Q50" s="23"/>
      <c r="R50" s="23"/>
      <c r="S50" s="23"/>
      <c r="T50" s="23"/>
      <c r="U50" s="19">
        <f t="shared" si="12"/>
        <v>1673.5</v>
      </c>
      <c r="V50" s="128">
        <f t="shared" si="11"/>
        <v>1.5213636363636365</v>
      </c>
      <c r="X50" s="54"/>
      <c r="Y50" s="56"/>
      <c r="AA50" s="2"/>
      <c r="AB50" s="2" t="str">
        <f t="shared" si="4"/>
        <v/>
      </c>
      <c r="AC50" s="132" t="str">
        <f t="shared" si="5"/>
        <v/>
      </c>
    </row>
    <row r="51" spans="1:29" ht="15.75">
      <c r="A51" s="29" t="s">
        <v>151</v>
      </c>
      <c r="B51" s="3" t="s">
        <v>143</v>
      </c>
      <c r="C51" s="9" t="s">
        <v>119</v>
      </c>
      <c r="D51" s="3" t="s">
        <v>144</v>
      </c>
      <c r="E51" s="3" t="str">
        <f t="shared" si="0"/>
        <v>Direct</v>
      </c>
      <c r="F51" s="10" t="s">
        <v>121</v>
      </c>
      <c r="G51" s="1">
        <v>110</v>
      </c>
      <c r="H51" s="27">
        <v>1100</v>
      </c>
      <c r="I51" s="82" t="b">
        <v>1</v>
      </c>
      <c r="J51" s="116">
        <f t="shared" si="10"/>
        <v>1.085</v>
      </c>
      <c r="K51" s="117">
        <v>1193.5</v>
      </c>
      <c r="L51" s="22">
        <v>485</v>
      </c>
      <c r="M51" s="22"/>
      <c r="N51" s="22"/>
      <c r="O51" s="22"/>
      <c r="P51" s="23"/>
      <c r="Q51" s="23"/>
      <c r="R51" s="23"/>
      <c r="S51" s="23"/>
      <c r="T51" s="23"/>
      <c r="U51" s="19">
        <f t="shared" si="12"/>
        <v>1678.5</v>
      </c>
      <c r="V51" s="128">
        <f t="shared" si="11"/>
        <v>1.5259090909090909</v>
      </c>
      <c r="X51" s="54"/>
      <c r="Y51" s="56"/>
      <c r="AA51" s="2"/>
      <c r="AB51" s="2" t="str">
        <f t="shared" si="4"/>
        <v/>
      </c>
      <c r="AC51" s="132" t="str">
        <f t="shared" si="5"/>
        <v/>
      </c>
    </row>
    <row r="52" spans="1:29" ht="15.75">
      <c r="A52" s="29" t="s">
        <v>152</v>
      </c>
      <c r="B52" s="3" t="s">
        <v>125</v>
      </c>
      <c r="C52" s="3" t="s">
        <v>126</v>
      </c>
      <c r="D52" s="3" t="s">
        <v>127</v>
      </c>
      <c r="E52" s="3" t="str">
        <f>IF(B52="","",IF(D52="Godfroy","Godfroy",(IF(LEFT(B52,1)="1","Hiwa","Direct"))))</f>
        <v>Direct</v>
      </c>
      <c r="F52" s="3" t="s">
        <v>128</v>
      </c>
      <c r="G52" s="3">
        <v>4</v>
      </c>
      <c r="H52" s="28">
        <v>880</v>
      </c>
      <c r="I52" s="82" t="b">
        <v>1</v>
      </c>
      <c r="J52" s="116">
        <f t="shared" si="10"/>
        <v>0.92999999999999994</v>
      </c>
      <c r="K52" s="117">
        <v>818.4</v>
      </c>
      <c r="L52" s="22">
        <v>197.29</v>
      </c>
      <c r="M52" s="22"/>
      <c r="N52" s="22"/>
      <c r="O52" s="22"/>
      <c r="P52" s="23"/>
      <c r="Q52" s="23"/>
      <c r="R52" s="23"/>
      <c r="S52" s="23"/>
      <c r="T52" s="23"/>
      <c r="U52" s="19">
        <f t="shared" si="12"/>
        <v>1015.6899999999999</v>
      </c>
      <c r="V52" s="128">
        <f t="shared" si="11"/>
        <v>1.1541931818181816</v>
      </c>
      <c r="X52" s="54"/>
      <c r="Y52" s="56"/>
      <c r="AA52" s="2"/>
      <c r="AB52" s="2" t="str">
        <f t="shared" si="4"/>
        <v/>
      </c>
      <c r="AC52" s="132" t="str">
        <f t="shared" si="5"/>
        <v/>
      </c>
    </row>
    <row r="53" spans="1:29" ht="15.75">
      <c r="A53" s="29" t="s">
        <v>154</v>
      </c>
      <c r="B53" s="3" t="s">
        <v>89</v>
      </c>
      <c r="C53" s="9" t="s">
        <v>90</v>
      </c>
      <c r="D53" s="3" t="s">
        <v>30</v>
      </c>
      <c r="E53" s="3" t="str">
        <f t="shared" ref="E53" si="13">IF(B53="","",IF(D53="Godfroy","Godfroy",(IF(LEFT(B53,1)="1","Hiwa","Direct"))))</f>
        <v>Hiwa</v>
      </c>
      <c r="F53" s="10" t="s">
        <v>59</v>
      </c>
      <c r="G53" s="1">
        <v>512</v>
      </c>
      <c r="H53" s="27">
        <f>G53*205</f>
        <v>104960</v>
      </c>
      <c r="I53" s="82" t="b">
        <v>1</v>
      </c>
      <c r="J53" s="116">
        <f t="shared" si="10"/>
        <v>0.6457739791073126</v>
      </c>
      <c r="K53" s="117">
        <f>71372.8/1.053</f>
        <v>67780.436847103527</v>
      </c>
      <c r="L53" s="22">
        <f>6184/1.037</f>
        <v>5963.3558341369335</v>
      </c>
      <c r="M53" s="22">
        <f>2116.54+2116.54</f>
        <v>4233.08</v>
      </c>
      <c r="N53" s="22"/>
      <c r="O53" s="22">
        <v>5051.28</v>
      </c>
      <c r="P53" s="23">
        <f>125.31+48.95+125.31</f>
        <v>299.57</v>
      </c>
      <c r="Q53" s="23">
        <f>(4.95*4)</f>
        <v>19.8</v>
      </c>
      <c r="R53" s="23">
        <f>57.04+(2*57.04)</f>
        <v>171.12</v>
      </c>
      <c r="S53" s="23"/>
      <c r="T53" s="23"/>
      <c r="U53" s="19">
        <f t="shared" si="12"/>
        <v>83347.522681240458</v>
      </c>
      <c r="V53" s="128">
        <f t="shared" si="11"/>
        <v>0.79408844017950131</v>
      </c>
      <c r="X53" s="80" t="s">
        <v>155</v>
      </c>
      <c r="Y53" s="72">
        <v>45719</v>
      </c>
      <c r="AA53" s="2">
        <v>50</v>
      </c>
      <c r="AB53" s="2">
        <f t="shared" si="4"/>
        <v>10250</v>
      </c>
      <c r="AC53" s="132">
        <f t="shared" si="5"/>
        <v>8139.4065118398885</v>
      </c>
    </row>
    <row r="54" spans="1:29" ht="15.75">
      <c r="A54" s="29" t="s">
        <v>156</v>
      </c>
      <c r="B54" s="3" t="s">
        <v>157</v>
      </c>
      <c r="C54" s="3" t="s">
        <v>126</v>
      </c>
      <c r="D54" s="3" t="s">
        <v>158</v>
      </c>
      <c r="E54" s="3" t="str">
        <f>IF(B54="","",IF(D54="Godfroy","Godfroy",(IF(LEFT(B54,1)="1","Hiwa","Direct"))))</f>
        <v>Direct</v>
      </c>
      <c r="F54" s="3" t="s">
        <v>128</v>
      </c>
      <c r="G54" s="3">
        <v>24</v>
      </c>
      <c r="H54" s="28">
        <f>G54*21</f>
        <v>504</v>
      </c>
      <c r="I54" s="82" t="b">
        <v>1</v>
      </c>
      <c r="J54" s="116">
        <f t="shared" si="10"/>
        <v>1</v>
      </c>
      <c r="K54" s="117">
        <v>504</v>
      </c>
      <c r="L54" s="22">
        <v>270</v>
      </c>
      <c r="M54" s="22"/>
      <c r="N54" s="22"/>
      <c r="O54" s="22"/>
      <c r="P54" s="23"/>
      <c r="Q54" s="23"/>
      <c r="R54" s="23"/>
      <c r="S54" s="23"/>
      <c r="T54" s="23"/>
      <c r="U54" s="19">
        <f t="shared" si="12"/>
        <v>774</v>
      </c>
      <c r="V54" s="128">
        <f t="shared" si="11"/>
        <v>1.5357142857142858</v>
      </c>
      <c r="X54" s="54"/>
      <c r="Y54" s="56"/>
      <c r="AA54" s="2"/>
      <c r="AB54" s="2" t="str">
        <f t="shared" si="4"/>
        <v/>
      </c>
      <c r="AC54" s="132" t="str">
        <f t="shared" si="5"/>
        <v/>
      </c>
    </row>
    <row r="55" spans="1:29" ht="15.75">
      <c r="A55" s="29" t="s">
        <v>159</v>
      </c>
      <c r="B55" s="3" t="s">
        <v>157</v>
      </c>
      <c r="C55" s="3" t="s">
        <v>126</v>
      </c>
      <c r="D55" s="3" t="s">
        <v>158</v>
      </c>
      <c r="E55" s="3" t="str">
        <f>IF(B55="","",IF(D55="Godfroy","Godfroy",(IF(LEFT(B55,1)="1","Hiwa","Direct"))))</f>
        <v>Direct</v>
      </c>
      <c r="F55" s="3" t="s">
        <v>128</v>
      </c>
      <c r="G55" s="3">
        <v>24</v>
      </c>
      <c r="H55" s="28">
        <f>G55*21</f>
        <v>504</v>
      </c>
      <c r="I55" s="82" t="b">
        <v>1</v>
      </c>
      <c r="J55" s="116">
        <f t="shared" si="10"/>
        <v>1</v>
      </c>
      <c r="K55" s="117">
        <v>504</v>
      </c>
      <c r="L55" s="22"/>
      <c r="M55" s="22"/>
      <c r="N55" s="22"/>
      <c r="O55" s="22"/>
      <c r="P55" s="23"/>
      <c r="Q55" s="23"/>
      <c r="R55" s="23"/>
      <c r="S55" s="23"/>
      <c r="T55" s="23"/>
      <c r="U55" s="19">
        <f t="shared" si="12"/>
        <v>504</v>
      </c>
      <c r="V55" s="128">
        <f t="shared" si="11"/>
        <v>1</v>
      </c>
      <c r="X55" s="54"/>
      <c r="Y55" s="56"/>
      <c r="AA55" s="2"/>
      <c r="AB55" s="2" t="str">
        <f t="shared" si="4"/>
        <v/>
      </c>
      <c r="AC55" s="132" t="str">
        <f t="shared" si="5"/>
        <v/>
      </c>
    </row>
    <row r="56" spans="1:29" ht="15.75">
      <c r="A56" s="29" t="s">
        <v>160</v>
      </c>
      <c r="B56" s="3" t="s">
        <v>103</v>
      </c>
      <c r="C56" s="9" t="s">
        <v>62</v>
      </c>
      <c r="D56" s="3" t="s">
        <v>104</v>
      </c>
      <c r="E56" s="3" t="str">
        <f t="shared" ref="E56:E60" si="14">IF(B56="","",IF(D56="Godfroy","Godfroy",(IF(LEFT(B56,1)="1","Hiwa","Direct"))))</f>
        <v>Direct</v>
      </c>
      <c r="F56" s="10" t="s">
        <v>31</v>
      </c>
      <c r="G56" s="1">
        <f>3*112</f>
        <v>336</v>
      </c>
      <c r="H56" s="27">
        <f>G56*210</f>
        <v>70560</v>
      </c>
      <c r="I56" s="82" t="b">
        <v>1</v>
      </c>
      <c r="J56" s="116">
        <f t="shared" si="10"/>
        <v>1.3009999999999999</v>
      </c>
      <c r="K56" s="117">
        <v>91798.56</v>
      </c>
      <c r="L56" s="22"/>
      <c r="M56" s="22"/>
      <c r="N56" s="22"/>
      <c r="O56" s="22"/>
      <c r="P56" s="23"/>
      <c r="Q56" s="23"/>
      <c r="R56" s="23"/>
      <c r="S56" s="23"/>
      <c r="T56" s="23"/>
      <c r="U56" s="19">
        <f t="shared" si="12"/>
        <v>91798.56</v>
      </c>
      <c r="V56" s="128">
        <f t="shared" si="11"/>
        <v>1.3009999999999999</v>
      </c>
      <c r="X56" s="80"/>
      <c r="Y56" s="72"/>
      <c r="AA56" s="2"/>
      <c r="AB56" s="2" t="str">
        <f t="shared" si="4"/>
        <v/>
      </c>
      <c r="AC56" s="132" t="str">
        <f t="shared" si="5"/>
        <v/>
      </c>
    </row>
    <row r="57" spans="1:29" ht="15.75">
      <c r="A57" s="29" t="s">
        <v>163</v>
      </c>
      <c r="B57" s="3" t="s">
        <v>106</v>
      </c>
      <c r="C57" s="3" t="s">
        <v>62</v>
      </c>
      <c r="D57" s="3" t="s">
        <v>104</v>
      </c>
      <c r="E57" s="3" t="str">
        <f t="shared" si="14"/>
        <v>Direct</v>
      </c>
      <c r="F57" s="3" t="s">
        <v>31</v>
      </c>
      <c r="G57" s="3">
        <f>5*112</f>
        <v>560</v>
      </c>
      <c r="H57" s="28">
        <f>G57*210</f>
        <v>117600</v>
      </c>
      <c r="I57" s="82" t="b">
        <v>1</v>
      </c>
      <c r="J57" s="116">
        <f t="shared" si="10"/>
        <v>1.34</v>
      </c>
      <c r="K57" s="117">
        <v>157584</v>
      </c>
      <c r="L57" s="22"/>
      <c r="M57" s="22"/>
      <c r="N57" s="22"/>
      <c r="O57" s="22"/>
      <c r="P57" s="23"/>
      <c r="Q57" s="23"/>
      <c r="R57" s="23"/>
      <c r="S57" s="23"/>
      <c r="T57" s="23"/>
      <c r="U57" s="19">
        <f t="shared" si="12"/>
        <v>157584</v>
      </c>
      <c r="V57" s="128">
        <f t="shared" si="11"/>
        <v>1.34</v>
      </c>
      <c r="X57" s="80"/>
      <c r="Y57" s="72"/>
      <c r="AA57" s="2"/>
      <c r="AB57" s="2" t="str">
        <f t="shared" si="4"/>
        <v/>
      </c>
      <c r="AC57" s="132" t="str">
        <f t="shared" si="5"/>
        <v/>
      </c>
    </row>
    <row r="58" spans="1:29" ht="15.75">
      <c r="A58" s="29" t="s">
        <v>165</v>
      </c>
      <c r="B58" s="3" t="s">
        <v>86</v>
      </c>
      <c r="C58" s="3" t="s">
        <v>80</v>
      </c>
      <c r="D58" s="13" t="s">
        <v>87</v>
      </c>
      <c r="E58" s="3" t="str">
        <f t="shared" si="14"/>
        <v>Direct</v>
      </c>
      <c r="F58" s="3" t="s">
        <v>46</v>
      </c>
      <c r="G58" s="3">
        <v>112</v>
      </c>
      <c r="H58" s="28">
        <v>24080</v>
      </c>
      <c r="I58" s="82" t="b">
        <v>0</v>
      </c>
      <c r="J58" s="116">
        <f t="shared" si="10"/>
        <v>1.5890613451589062</v>
      </c>
      <c r="K58" s="117">
        <f>41417.6/1.0824</f>
        <v>38264.597191426459</v>
      </c>
      <c r="L58" s="22"/>
      <c r="M58" s="22"/>
      <c r="N58" s="22"/>
      <c r="O58" s="22"/>
      <c r="P58" s="23"/>
      <c r="Q58" s="23"/>
      <c r="R58" s="23"/>
      <c r="S58" s="23"/>
      <c r="T58" s="23"/>
      <c r="U58" s="19">
        <f t="shared" si="12"/>
        <v>38264.597191426459</v>
      </c>
      <c r="V58" s="128">
        <f t="shared" si="11"/>
        <v>1.5890613451589062</v>
      </c>
      <c r="X58" s="54"/>
      <c r="Y58" s="56"/>
      <c r="AA58" s="2"/>
      <c r="AB58" s="2" t="str">
        <f t="shared" si="4"/>
        <v/>
      </c>
      <c r="AC58" s="132" t="str">
        <f t="shared" si="5"/>
        <v/>
      </c>
    </row>
    <row r="59" spans="1:29" ht="15.75">
      <c r="A59" s="29" t="s">
        <v>166</v>
      </c>
      <c r="B59" s="3" t="s">
        <v>89</v>
      </c>
      <c r="C59" s="9" t="s">
        <v>90</v>
      </c>
      <c r="D59" s="3" t="s">
        <v>30</v>
      </c>
      <c r="E59" s="3" t="str">
        <f t="shared" si="14"/>
        <v>Hiwa</v>
      </c>
      <c r="F59" s="10" t="s">
        <v>59</v>
      </c>
      <c r="G59" s="1">
        <v>512</v>
      </c>
      <c r="H59" s="27">
        <f>G59*205</f>
        <v>104960</v>
      </c>
      <c r="I59" s="82" t="b">
        <v>1</v>
      </c>
      <c r="J59" s="116">
        <f t="shared" si="10"/>
        <v>0.6509045659040873</v>
      </c>
      <c r="K59" s="117">
        <f>71372.8/1.0447</f>
        <v>68318.943237293002</v>
      </c>
      <c r="L59" s="22">
        <f>6184/1.0845</f>
        <v>5702.1668971876443</v>
      </c>
      <c r="M59" s="22"/>
      <c r="N59" s="22"/>
      <c r="O59" s="22"/>
      <c r="P59" s="23"/>
      <c r="Q59" s="23"/>
      <c r="R59" s="23"/>
      <c r="S59" s="23"/>
      <c r="T59" s="23"/>
      <c r="U59" s="19">
        <f t="shared" si="12"/>
        <v>74021.110134480652</v>
      </c>
      <c r="V59" s="128">
        <f t="shared" si="11"/>
        <v>0.70523161332393913</v>
      </c>
      <c r="X59" s="80"/>
      <c r="Y59" s="72"/>
      <c r="AA59" s="2"/>
      <c r="AB59" s="2" t="str">
        <f t="shared" si="4"/>
        <v/>
      </c>
      <c r="AC59" s="132" t="str">
        <f t="shared" si="5"/>
        <v/>
      </c>
    </row>
    <row r="60" spans="1:29" ht="15.75">
      <c r="A60" s="29" t="s">
        <v>168</v>
      </c>
      <c r="B60" s="3" t="s">
        <v>89</v>
      </c>
      <c r="C60" s="9" t="s">
        <v>90</v>
      </c>
      <c r="D60" s="3" t="s">
        <v>30</v>
      </c>
      <c r="E60" s="3" t="str">
        <f t="shared" si="14"/>
        <v>Hiwa</v>
      </c>
      <c r="F60" s="10" t="s">
        <v>59</v>
      </c>
      <c r="G60" s="1">
        <v>256</v>
      </c>
      <c r="H60" s="27">
        <f>G60*205</f>
        <v>52480</v>
      </c>
      <c r="I60" s="82" t="b">
        <v>1</v>
      </c>
      <c r="J60" s="116">
        <f t="shared" si="10"/>
        <v>0.64972291228740686</v>
      </c>
      <c r="K60" s="117">
        <f>35686.4/1.0466</f>
        <v>34097.45843684311</v>
      </c>
      <c r="L60" s="22">
        <f>3092/1.0845</f>
        <v>2851.0834485938221</v>
      </c>
      <c r="M60" s="22"/>
      <c r="N60" s="22"/>
      <c r="O60" s="22"/>
      <c r="P60" s="23"/>
      <c r="Q60" s="23"/>
      <c r="R60" s="23"/>
      <c r="S60" s="23"/>
      <c r="T60" s="23"/>
      <c r="U60" s="19">
        <f t="shared" si="12"/>
        <v>36948.541885436935</v>
      </c>
      <c r="V60" s="128">
        <f t="shared" si="11"/>
        <v>0.7040499597072587</v>
      </c>
      <c r="X60" s="80"/>
      <c r="Y60" s="72"/>
      <c r="AA60" s="2"/>
      <c r="AB60" s="2" t="str">
        <f t="shared" si="4"/>
        <v/>
      </c>
      <c r="AC60" s="132" t="str">
        <f t="shared" si="5"/>
        <v/>
      </c>
    </row>
    <row r="61" spans="1:29" ht="15.75">
      <c r="A61" s="29" t="s">
        <v>170</v>
      </c>
      <c r="B61" s="3" t="s">
        <v>171</v>
      </c>
      <c r="C61" s="3" t="s">
        <v>34</v>
      </c>
      <c r="D61" s="3" t="s">
        <v>172</v>
      </c>
      <c r="E61" s="3" t="s">
        <v>173</v>
      </c>
      <c r="F61" s="3" t="s">
        <v>36</v>
      </c>
      <c r="G61" s="3">
        <v>10</v>
      </c>
      <c r="H61" s="28">
        <v>250</v>
      </c>
      <c r="I61" s="82" t="b">
        <v>1</v>
      </c>
      <c r="J61" s="116">
        <f t="shared" si="10"/>
        <v>12.13</v>
      </c>
      <c r="K61" s="117">
        <v>3032.5</v>
      </c>
      <c r="L61" s="22">
        <f>180+(180*9%)</f>
        <v>196.2</v>
      </c>
      <c r="M61" s="22"/>
      <c r="N61" s="22"/>
      <c r="O61" s="22"/>
      <c r="P61" s="23"/>
      <c r="Q61" s="23"/>
      <c r="R61" s="23"/>
      <c r="S61" s="23"/>
      <c r="T61" s="23"/>
      <c r="U61" s="19">
        <f t="shared" si="12"/>
        <v>3228.7</v>
      </c>
      <c r="V61" s="128">
        <f t="shared" si="11"/>
        <v>12.9148</v>
      </c>
      <c r="X61" s="54"/>
      <c r="Y61" s="56"/>
      <c r="AA61" s="2"/>
      <c r="AB61" s="2" t="str">
        <f t="shared" si="4"/>
        <v/>
      </c>
      <c r="AC61" s="132" t="str">
        <f t="shared" si="5"/>
        <v/>
      </c>
    </row>
    <row r="62" spans="1:29" ht="15.75">
      <c r="A62" s="29" t="s">
        <v>174</v>
      </c>
      <c r="B62" s="3" t="s">
        <v>175</v>
      </c>
      <c r="C62" s="9" t="s">
        <v>176</v>
      </c>
      <c r="D62" s="3" t="s">
        <v>177</v>
      </c>
      <c r="E62" s="3" t="str">
        <f t="shared" ref="E62:E76" si="15">IF(B62="","",IF(D62="Godfroy","Godfroy",(IF(LEFT(B62,1)="1","Hiwa","Direct"))))</f>
        <v>Direct</v>
      </c>
      <c r="F62" s="10" t="s">
        <v>128</v>
      </c>
      <c r="G62" s="1">
        <v>14</v>
      </c>
      <c r="H62" s="27">
        <f>G62*24</f>
        <v>336</v>
      </c>
      <c r="I62" s="82" t="b">
        <v>0</v>
      </c>
      <c r="J62" s="116">
        <f>IF(H62="","",+K62/H62)</f>
        <v>0</v>
      </c>
      <c r="K62" s="117"/>
      <c r="L62" s="22"/>
      <c r="M62" s="22"/>
      <c r="N62" s="22"/>
      <c r="O62" s="22"/>
      <c r="P62" s="23"/>
      <c r="Q62" s="23"/>
      <c r="R62" s="23"/>
      <c r="S62" s="23"/>
      <c r="T62" s="23"/>
      <c r="U62" s="19">
        <f>IF(B62="","",K62+SUM(L62:Q62))</f>
        <v>0</v>
      </c>
      <c r="V62" s="128">
        <f>IF(J62="","",+U62/H62)</f>
        <v>0</v>
      </c>
      <c r="X62" s="54"/>
      <c r="Y62" s="56"/>
      <c r="AA62" s="2"/>
      <c r="AB62" s="2" t="str">
        <f t="shared" si="4"/>
        <v/>
      </c>
      <c r="AC62" s="132" t="str">
        <f t="shared" si="5"/>
        <v/>
      </c>
    </row>
    <row r="63" spans="1:29" ht="15.75">
      <c r="A63" s="29" t="s">
        <v>178</v>
      </c>
      <c r="B63" s="3" t="s">
        <v>179</v>
      </c>
      <c r="C63" s="9" t="s">
        <v>176</v>
      </c>
      <c r="D63" s="3" t="s">
        <v>177</v>
      </c>
      <c r="E63" s="3" t="str">
        <f t="shared" si="15"/>
        <v>Direct</v>
      </c>
      <c r="F63" s="10" t="s">
        <v>128</v>
      </c>
      <c r="G63" s="1">
        <v>10</v>
      </c>
      <c r="H63" s="27">
        <f>G63*24</f>
        <v>240</v>
      </c>
      <c r="I63" s="82" t="b">
        <v>0</v>
      </c>
      <c r="J63" s="116">
        <f>IF(H63="","",+K63/H63)</f>
        <v>0</v>
      </c>
      <c r="K63" s="117"/>
      <c r="L63" s="22"/>
      <c r="M63" s="22"/>
      <c r="N63" s="22"/>
      <c r="O63" s="22"/>
      <c r="P63" s="23"/>
      <c r="Q63" s="23"/>
      <c r="R63" s="23"/>
      <c r="S63" s="23"/>
      <c r="T63" s="23"/>
      <c r="U63" s="19">
        <f>IF(B63="","",K63+SUM(L63:Q63))</f>
        <v>0</v>
      </c>
      <c r="V63" s="128">
        <f>IF(J63="","",+U63/H63)</f>
        <v>0</v>
      </c>
      <c r="X63" s="54"/>
      <c r="Y63" s="56"/>
      <c r="AA63" s="2"/>
      <c r="AB63" s="2" t="str">
        <f t="shared" si="4"/>
        <v/>
      </c>
      <c r="AC63" s="132" t="str">
        <f t="shared" si="5"/>
        <v/>
      </c>
    </row>
    <row r="64" spans="1:29" ht="15.75">
      <c r="A64" s="29" t="s">
        <v>180</v>
      </c>
      <c r="B64" s="3" t="s">
        <v>103</v>
      </c>
      <c r="C64" s="9" t="s">
        <v>62</v>
      </c>
      <c r="D64" s="3" t="s">
        <v>177</v>
      </c>
      <c r="E64" s="3" t="str">
        <f t="shared" si="15"/>
        <v>Direct</v>
      </c>
      <c r="F64" s="10" t="s">
        <v>46</v>
      </c>
      <c r="G64" s="1">
        <v>112</v>
      </c>
      <c r="H64" s="27">
        <f>G64*210</f>
        <v>23520</v>
      </c>
      <c r="I64" s="82" t="b">
        <v>1</v>
      </c>
      <c r="J64" s="116">
        <f>IF(H64="","",+K64/H64)</f>
        <v>1.35</v>
      </c>
      <c r="K64" s="117">
        <v>31752</v>
      </c>
      <c r="L64" s="22"/>
      <c r="M64" s="22"/>
      <c r="N64" s="22"/>
      <c r="O64" s="22"/>
      <c r="P64" s="23"/>
      <c r="Q64" s="23"/>
      <c r="R64" s="23"/>
      <c r="S64" s="23"/>
      <c r="T64" s="23"/>
      <c r="U64" s="19">
        <f>IF(B64="","",K64+SUM(L64:Q64))</f>
        <v>31752</v>
      </c>
      <c r="V64" s="128">
        <f>IF(J64="","",+U64/H64)</f>
        <v>1.35</v>
      </c>
      <c r="X64" s="54"/>
      <c r="Y64" s="56"/>
      <c r="AA64" s="2"/>
      <c r="AB64" s="2" t="str">
        <f t="shared" si="4"/>
        <v/>
      </c>
      <c r="AC64" s="132" t="str">
        <f t="shared" si="5"/>
        <v/>
      </c>
    </row>
    <row r="65" spans="1:29" ht="15.75">
      <c r="A65" s="29" t="s">
        <v>181</v>
      </c>
      <c r="B65" s="3" t="s">
        <v>143</v>
      </c>
      <c r="C65" s="9" t="s">
        <v>119</v>
      </c>
      <c r="D65" s="3" t="s">
        <v>144</v>
      </c>
      <c r="E65" s="3" t="str">
        <f t="shared" si="15"/>
        <v>Direct</v>
      </c>
      <c r="F65" s="10" t="s">
        <v>121</v>
      </c>
      <c r="G65" s="1">
        <v>110</v>
      </c>
      <c r="H65" s="27">
        <v>1100</v>
      </c>
      <c r="I65" s="82" t="b">
        <v>1</v>
      </c>
      <c r="J65" s="116">
        <f t="shared" si="10"/>
        <v>1.085</v>
      </c>
      <c r="K65" s="117">
        <v>1193.5</v>
      </c>
      <c r="L65" s="22"/>
      <c r="M65" s="22"/>
      <c r="N65" s="22"/>
      <c r="O65" s="22"/>
      <c r="P65" s="23"/>
      <c r="Q65" s="23"/>
      <c r="R65" s="23"/>
      <c r="S65" s="23"/>
      <c r="T65" s="23"/>
      <c r="U65" s="19">
        <f t="shared" si="12"/>
        <v>1193.5</v>
      </c>
      <c r="V65" s="128">
        <f t="shared" si="11"/>
        <v>1.085</v>
      </c>
      <c r="X65" s="54"/>
      <c r="Y65" s="56"/>
      <c r="AA65" s="2"/>
      <c r="AB65" s="2" t="str">
        <f t="shared" si="4"/>
        <v/>
      </c>
      <c r="AC65" s="132" t="str">
        <f t="shared" si="5"/>
        <v/>
      </c>
    </row>
    <row r="66" spans="1:29" ht="15.75">
      <c r="A66" s="29" t="s">
        <v>182</v>
      </c>
      <c r="B66" s="3" t="s">
        <v>183</v>
      </c>
      <c r="C66" s="3" t="s">
        <v>119</v>
      </c>
      <c r="D66" s="13" t="s">
        <v>184</v>
      </c>
      <c r="E66" s="3" t="str">
        <f t="shared" si="15"/>
        <v>Direct</v>
      </c>
      <c r="F66" s="3" t="s">
        <v>121</v>
      </c>
      <c r="G66" s="3">
        <v>4</v>
      </c>
      <c r="H66" s="28">
        <v>840</v>
      </c>
      <c r="I66" s="82" t="b">
        <v>1</v>
      </c>
      <c r="J66" s="116">
        <f t="shared" si="10"/>
        <v>2.1</v>
      </c>
      <c r="K66" s="117">
        <v>1764</v>
      </c>
      <c r="L66" s="22"/>
      <c r="M66" s="22"/>
      <c r="N66" s="22"/>
      <c r="O66" s="22"/>
      <c r="P66" s="23"/>
      <c r="Q66" s="23"/>
      <c r="R66" s="23"/>
      <c r="S66" s="23"/>
      <c r="T66" s="23"/>
      <c r="U66" s="19">
        <f t="shared" si="12"/>
        <v>1764</v>
      </c>
      <c r="V66" s="128">
        <f t="shared" si="11"/>
        <v>2.1</v>
      </c>
      <c r="X66" s="54"/>
      <c r="Y66" s="56"/>
      <c r="AA66" s="2"/>
      <c r="AB66" s="2" t="str">
        <f t="shared" si="4"/>
        <v/>
      </c>
      <c r="AC66" s="132" t="str">
        <f t="shared" si="5"/>
        <v/>
      </c>
    </row>
    <row r="67" spans="1:29" s="98" customFormat="1" ht="15.75">
      <c r="A67" s="84" t="s">
        <v>185</v>
      </c>
      <c r="B67" s="85" t="s">
        <v>186</v>
      </c>
      <c r="C67" s="86" t="s">
        <v>29</v>
      </c>
      <c r="D67" s="87" t="s">
        <v>97</v>
      </c>
      <c r="E67" s="85" t="str">
        <f t="shared" si="15"/>
        <v>Direct</v>
      </c>
      <c r="F67" s="88" t="s">
        <v>46</v>
      </c>
      <c r="G67" s="89">
        <v>80</v>
      </c>
      <c r="H67" s="90">
        <f>G67*215</f>
        <v>17200</v>
      </c>
      <c r="I67" s="91" t="b">
        <v>0</v>
      </c>
      <c r="J67" s="120">
        <f t="shared" si="10"/>
        <v>0</v>
      </c>
      <c r="K67" s="121"/>
      <c r="L67" s="94"/>
      <c r="M67" s="94"/>
      <c r="N67" s="94"/>
      <c r="O67" s="94"/>
      <c r="P67" s="95"/>
      <c r="Q67" s="95"/>
      <c r="R67" s="95"/>
      <c r="S67" s="95"/>
      <c r="T67" s="95"/>
      <c r="U67" s="96">
        <f t="shared" si="12"/>
        <v>0</v>
      </c>
      <c r="V67" s="129">
        <f t="shared" si="11"/>
        <v>0</v>
      </c>
      <c r="X67" s="99"/>
      <c r="Y67" s="100"/>
      <c r="AA67" s="101"/>
      <c r="AB67" s="101" t="str">
        <f t="shared" si="4"/>
        <v/>
      </c>
      <c r="AC67" s="133" t="str">
        <f t="shared" si="5"/>
        <v/>
      </c>
    </row>
    <row r="68" spans="1:29" ht="15.75">
      <c r="A68" s="29" t="s">
        <v>187</v>
      </c>
      <c r="B68" s="3" t="s">
        <v>186</v>
      </c>
      <c r="C68" s="9" t="s">
        <v>29</v>
      </c>
      <c r="D68" s="3" t="s">
        <v>188</v>
      </c>
      <c r="E68" s="3" t="str">
        <f t="shared" si="15"/>
        <v>Direct</v>
      </c>
      <c r="F68" s="3" t="s">
        <v>46</v>
      </c>
      <c r="G68" s="3">
        <v>80</v>
      </c>
      <c r="H68" s="28">
        <v>17200</v>
      </c>
      <c r="I68" s="82" t="b">
        <v>1</v>
      </c>
      <c r="J68" s="116">
        <f t="shared" si="10"/>
        <v>1.028139534883721</v>
      </c>
      <c r="K68" s="117">
        <v>17684</v>
      </c>
      <c r="L68" s="22"/>
      <c r="M68" s="22"/>
      <c r="N68" s="22"/>
      <c r="O68" s="22"/>
      <c r="P68" s="23"/>
      <c r="Q68" s="23"/>
      <c r="R68" s="23"/>
      <c r="S68" s="23"/>
      <c r="T68" s="23"/>
      <c r="U68" s="19">
        <f t="shared" si="12"/>
        <v>17684</v>
      </c>
      <c r="V68" s="128">
        <f t="shared" si="11"/>
        <v>1.028139534883721</v>
      </c>
      <c r="X68" s="54"/>
      <c r="Y68" s="56"/>
      <c r="AA68" s="2"/>
      <c r="AB68" s="2" t="str">
        <f t="shared" ref="AB68:AB131" si="16">IF(AA68="","",AA68*(H68/G68))</f>
        <v/>
      </c>
      <c r="AC68" s="132" t="str">
        <f t="shared" ref="AC68:AC131" si="17">IF(AB68="","",AB68*V68)</f>
        <v/>
      </c>
    </row>
    <row r="69" spans="1:29" ht="15.75">
      <c r="A69" s="29" t="s">
        <v>189</v>
      </c>
      <c r="B69" s="3" t="s">
        <v>186</v>
      </c>
      <c r="C69" s="9" t="s">
        <v>29</v>
      </c>
      <c r="D69" s="3" t="s">
        <v>188</v>
      </c>
      <c r="E69" s="3" t="str">
        <f t="shared" si="15"/>
        <v>Direct</v>
      </c>
      <c r="F69" s="3" t="s">
        <v>46</v>
      </c>
      <c r="G69" s="3">
        <v>80</v>
      </c>
      <c r="H69" s="28">
        <v>17200</v>
      </c>
      <c r="I69" s="82" t="b">
        <v>0</v>
      </c>
      <c r="J69" s="116">
        <f t="shared" si="10"/>
        <v>0</v>
      </c>
      <c r="K69" s="117"/>
      <c r="L69" s="106"/>
      <c r="M69" s="22"/>
      <c r="N69" s="22"/>
      <c r="O69" s="22"/>
      <c r="P69" s="23"/>
      <c r="Q69" s="23"/>
      <c r="R69" s="23"/>
      <c r="S69" s="23"/>
      <c r="T69" s="23"/>
      <c r="U69" s="19">
        <f t="shared" si="12"/>
        <v>0</v>
      </c>
      <c r="V69" s="128">
        <f t="shared" si="11"/>
        <v>0</v>
      </c>
      <c r="X69" s="54"/>
      <c r="Y69" s="56"/>
      <c r="AA69" s="2"/>
      <c r="AB69" s="2" t="str">
        <f t="shared" si="16"/>
        <v/>
      </c>
      <c r="AC69" s="132" t="str">
        <f t="shared" si="17"/>
        <v/>
      </c>
    </row>
    <row r="70" spans="1:29" ht="15.75">
      <c r="A70" s="29" t="s">
        <v>190</v>
      </c>
      <c r="B70" s="3" t="s">
        <v>93</v>
      </c>
      <c r="C70" s="3" t="s">
        <v>90</v>
      </c>
      <c r="D70" s="3" t="s">
        <v>104</v>
      </c>
      <c r="E70" s="3" t="str">
        <f t="shared" si="15"/>
        <v>Direct</v>
      </c>
      <c r="F70" s="3" t="s">
        <v>46</v>
      </c>
      <c r="G70" s="3">
        <f>15*128</f>
        <v>1920</v>
      </c>
      <c r="H70" s="28">
        <f>G70*205</f>
        <v>393600</v>
      </c>
      <c r="I70" s="82" t="b">
        <v>0</v>
      </c>
      <c r="J70" s="116">
        <f t="shared" si="10"/>
        <v>0</v>
      </c>
      <c r="K70" s="117"/>
      <c r="L70" s="22"/>
      <c r="M70" s="22"/>
      <c r="N70" s="22"/>
      <c r="O70" s="22"/>
      <c r="P70" s="23"/>
      <c r="Q70" s="23"/>
      <c r="R70" s="23"/>
      <c r="S70" s="23"/>
      <c r="T70" s="23"/>
      <c r="U70" s="19">
        <f t="shared" si="12"/>
        <v>0</v>
      </c>
      <c r="V70" s="128">
        <f t="shared" si="11"/>
        <v>0</v>
      </c>
      <c r="X70" s="54"/>
      <c r="Y70" s="56"/>
      <c r="AA70" s="2"/>
      <c r="AB70" s="2" t="str">
        <f t="shared" si="16"/>
        <v/>
      </c>
      <c r="AC70" s="132" t="str">
        <f t="shared" si="17"/>
        <v/>
      </c>
    </row>
    <row r="71" spans="1:29" ht="15.75">
      <c r="A71" s="29" t="s">
        <v>191</v>
      </c>
      <c r="B71" s="3" t="s">
        <v>93</v>
      </c>
      <c r="C71" s="3" t="s">
        <v>90</v>
      </c>
      <c r="D71" s="3" t="s">
        <v>104</v>
      </c>
      <c r="E71" s="3" t="str">
        <f t="shared" si="15"/>
        <v>Direct</v>
      </c>
      <c r="F71" s="3" t="s">
        <v>46</v>
      </c>
      <c r="G71" s="3">
        <f>14*128</f>
        <v>1792</v>
      </c>
      <c r="H71" s="28">
        <f>G71*205</f>
        <v>367360</v>
      </c>
      <c r="I71" s="82" t="b">
        <v>0</v>
      </c>
      <c r="J71" s="116">
        <f t="shared" si="10"/>
        <v>0</v>
      </c>
      <c r="K71" s="117"/>
      <c r="L71" s="22"/>
      <c r="M71" s="22"/>
      <c r="N71" s="22"/>
      <c r="O71" s="22"/>
      <c r="P71" s="23"/>
      <c r="Q71" s="23"/>
      <c r="R71" s="23"/>
      <c r="S71" s="23"/>
      <c r="T71" s="23"/>
      <c r="U71" s="19">
        <f t="shared" si="12"/>
        <v>0</v>
      </c>
      <c r="V71" s="128">
        <f t="shared" si="11"/>
        <v>0</v>
      </c>
      <c r="X71" s="54"/>
      <c r="Y71" s="56"/>
      <c r="AA71" s="2"/>
      <c r="AB71" s="2" t="str">
        <f t="shared" si="16"/>
        <v/>
      </c>
      <c r="AC71" s="132" t="str">
        <f t="shared" si="17"/>
        <v/>
      </c>
    </row>
    <row r="72" spans="1:29" ht="15.75">
      <c r="A72" s="29" t="s">
        <v>192</v>
      </c>
      <c r="B72" s="3" t="s">
        <v>193</v>
      </c>
      <c r="C72" s="3" t="s">
        <v>34</v>
      </c>
      <c r="D72" s="3" t="s">
        <v>194</v>
      </c>
      <c r="E72" s="3" t="str">
        <f t="shared" si="15"/>
        <v>Direct</v>
      </c>
      <c r="F72" s="3" t="s">
        <v>36</v>
      </c>
      <c r="G72" s="3">
        <v>1</v>
      </c>
      <c r="H72" s="28">
        <v>20</v>
      </c>
      <c r="I72" s="82" t="b">
        <v>1</v>
      </c>
      <c r="J72" s="116">
        <f t="shared" si="10"/>
        <v>2.68</v>
      </c>
      <c r="K72" s="117">
        <v>53.6</v>
      </c>
      <c r="L72" s="22">
        <v>225</v>
      </c>
      <c r="M72" s="22"/>
      <c r="N72" s="22"/>
      <c r="O72" s="22"/>
      <c r="P72" s="23"/>
      <c r="Q72" s="23"/>
      <c r="R72" s="23"/>
      <c r="S72" s="23"/>
      <c r="T72" s="23"/>
      <c r="U72" s="19">
        <f t="shared" si="12"/>
        <v>278.60000000000002</v>
      </c>
      <c r="V72" s="128">
        <f t="shared" si="11"/>
        <v>13.930000000000001</v>
      </c>
      <c r="X72" s="54"/>
      <c r="Y72" s="56"/>
      <c r="AA72" s="2"/>
      <c r="AB72" s="2" t="str">
        <f t="shared" si="16"/>
        <v/>
      </c>
      <c r="AC72" s="132" t="str">
        <f t="shared" si="17"/>
        <v/>
      </c>
    </row>
    <row r="73" spans="1:29" ht="15.75">
      <c r="A73" s="29" t="s">
        <v>195</v>
      </c>
      <c r="B73" s="3" t="s">
        <v>196</v>
      </c>
      <c r="C73" s="9" t="s">
        <v>176</v>
      </c>
      <c r="D73" s="3" t="s">
        <v>197</v>
      </c>
      <c r="E73" s="3" t="str">
        <f t="shared" si="15"/>
        <v>Direct</v>
      </c>
      <c r="F73" s="10" t="s">
        <v>128</v>
      </c>
      <c r="G73" s="14">
        <v>96</v>
      </c>
      <c r="H73" s="81">
        <f>G73*24</f>
        <v>2304</v>
      </c>
      <c r="I73" s="82" t="b">
        <v>1</v>
      </c>
      <c r="J73" s="116">
        <f t="shared" si="10"/>
        <v>2.0999999999999996</v>
      </c>
      <c r="K73" s="117">
        <v>4838.3999999999996</v>
      </c>
      <c r="L73" s="22">
        <f>2*520</f>
        <v>1040</v>
      </c>
      <c r="M73" s="22"/>
      <c r="N73" s="22"/>
      <c r="O73" s="22"/>
      <c r="P73" s="23"/>
      <c r="Q73" s="23"/>
      <c r="R73" s="23"/>
      <c r="S73" s="23"/>
      <c r="T73" s="23"/>
      <c r="U73" s="19">
        <f t="shared" si="12"/>
        <v>5878.4</v>
      </c>
      <c r="V73" s="128">
        <f t="shared" si="11"/>
        <v>2.5513888888888889</v>
      </c>
      <c r="X73" s="54"/>
      <c r="Y73" s="56"/>
      <c r="AA73" s="2"/>
      <c r="AB73" s="2" t="str">
        <f t="shared" si="16"/>
        <v/>
      </c>
      <c r="AC73" s="132" t="str">
        <f t="shared" si="17"/>
        <v/>
      </c>
    </row>
    <row r="74" spans="1:29" ht="15.75">
      <c r="A74" s="29" t="s">
        <v>198</v>
      </c>
      <c r="B74" s="3" t="s">
        <v>132</v>
      </c>
      <c r="C74" s="3" t="s">
        <v>133</v>
      </c>
      <c r="D74" s="13" t="s">
        <v>134</v>
      </c>
      <c r="E74" s="3" t="str">
        <f t="shared" si="15"/>
        <v>Direct</v>
      </c>
      <c r="F74" s="3" t="s">
        <v>121</v>
      </c>
      <c r="G74" s="65">
        <v>32</v>
      </c>
      <c r="H74" s="53">
        <f>G74*220</f>
        <v>7040</v>
      </c>
      <c r="I74" s="82" t="b">
        <v>0</v>
      </c>
      <c r="J74" s="116">
        <f t="shared" si="10"/>
        <v>0</v>
      </c>
      <c r="K74" s="117"/>
      <c r="L74" s="22"/>
      <c r="M74" s="22"/>
      <c r="N74" s="22"/>
      <c r="O74" s="22"/>
      <c r="P74" s="23"/>
      <c r="Q74" s="23"/>
      <c r="R74" s="23"/>
      <c r="S74" s="23"/>
      <c r="T74" s="23"/>
      <c r="U74" s="19">
        <f t="shared" si="12"/>
        <v>0</v>
      </c>
      <c r="V74" s="128">
        <f t="shared" si="11"/>
        <v>0</v>
      </c>
      <c r="X74" s="54"/>
      <c r="Y74" s="56"/>
      <c r="AA74" s="2"/>
      <c r="AB74" s="2" t="str">
        <f t="shared" si="16"/>
        <v/>
      </c>
      <c r="AC74" s="132" t="str">
        <f t="shared" si="17"/>
        <v/>
      </c>
    </row>
    <row r="75" spans="1:29" ht="15.75">
      <c r="A75" s="29" t="s">
        <v>199</v>
      </c>
      <c r="B75" s="3" t="s">
        <v>136</v>
      </c>
      <c r="C75" s="3" t="s">
        <v>133</v>
      </c>
      <c r="D75" s="13" t="s">
        <v>134</v>
      </c>
      <c r="E75" s="3" t="str">
        <f t="shared" si="15"/>
        <v>Direct</v>
      </c>
      <c r="F75" s="3" t="s">
        <v>121</v>
      </c>
      <c r="G75" s="65">
        <v>20</v>
      </c>
      <c r="H75" s="53">
        <f>G75*220</f>
        <v>4400</v>
      </c>
      <c r="I75" s="82" t="b">
        <v>0</v>
      </c>
      <c r="J75" s="116">
        <f t="shared" si="10"/>
        <v>0</v>
      </c>
      <c r="K75" s="117"/>
      <c r="L75" s="22"/>
      <c r="M75" s="22"/>
      <c r="N75" s="22"/>
      <c r="O75" s="22"/>
      <c r="P75" s="23"/>
      <c r="Q75" s="23"/>
      <c r="R75" s="23"/>
      <c r="S75" s="23"/>
      <c r="T75" s="23"/>
      <c r="U75" s="19">
        <f t="shared" si="12"/>
        <v>0</v>
      </c>
      <c r="V75" s="128">
        <f t="shared" si="11"/>
        <v>0</v>
      </c>
      <c r="X75" s="54"/>
      <c r="Y75" s="56"/>
      <c r="AA75" s="2"/>
      <c r="AB75" s="2" t="str">
        <f t="shared" si="16"/>
        <v/>
      </c>
      <c r="AC75" s="132" t="str">
        <f t="shared" si="17"/>
        <v/>
      </c>
    </row>
    <row r="76" spans="1:29" ht="15.75">
      <c r="A76" s="29" t="s">
        <v>200</v>
      </c>
      <c r="B76" s="3" t="s">
        <v>143</v>
      </c>
      <c r="C76" s="9" t="s">
        <v>119</v>
      </c>
      <c r="D76" s="3" t="s">
        <v>144</v>
      </c>
      <c r="E76" s="3" t="str">
        <f t="shared" si="15"/>
        <v>Direct</v>
      </c>
      <c r="F76" s="10" t="s">
        <v>121</v>
      </c>
      <c r="G76" s="1">
        <v>110</v>
      </c>
      <c r="H76" s="27">
        <v>1100</v>
      </c>
      <c r="I76" s="82" t="b">
        <v>0</v>
      </c>
      <c r="J76" s="116">
        <f t="shared" si="10"/>
        <v>0</v>
      </c>
      <c r="K76" s="117"/>
      <c r="L76" s="22"/>
      <c r="M76" s="22"/>
      <c r="N76" s="22"/>
      <c r="O76" s="22"/>
      <c r="P76" s="23"/>
      <c r="Q76" s="23"/>
      <c r="R76" s="23"/>
      <c r="S76" s="23"/>
      <c r="T76" s="23"/>
      <c r="U76" s="19">
        <f t="shared" si="12"/>
        <v>0</v>
      </c>
      <c r="V76" s="128">
        <f t="shared" si="11"/>
        <v>0</v>
      </c>
      <c r="X76" s="54"/>
      <c r="Y76" s="56"/>
      <c r="AA76" s="2"/>
      <c r="AB76" s="2" t="str">
        <f t="shared" si="16"/>
        <v/>
      </c>
      <c r="AC76" s="132" t="str">
        <f t="shared" si="17"/>
        <v/>
      </c>
    </row>
    <row r="77" spans="1:29" ht="15.75">
      <c r="A77" s="29" t="s">
        <v>201</v>
      </c>
      <c r="B77" s="3" t="s">
        <v>193</v>
      </c>
      <c r="C77" s="3" t="s">
        <v>34</v>
      </c>
      <c r="D77" s="3" t="s">
        <v>194</v>
      </c>
      <c r="E77" s="3" t="str">
        <f>IF(B77="","",IF(D77="Godfroy","Godfroy",(IF(LEFT(B77,1)="1","Hiwa","Direct"))))</f>
        <v>Direct</v>
      </c>
      <c r="F77" s="3" t="s">
        <v>36</v>
      </c>
      <c r="G77" s="3">
        <v>1</v>
      </c>
      <c r="H77" s="28">
        <v>20</v>
      </c>
      <c r="I77" s="82" t="b">
        <v>1</v>
      </c>
      <c r="J77" s="116">
        <f t="shared" si="10"/>
        <v>2.68</v>
      </c>
      <c r="K77" s="117">
        <v>53.6</v>
      </c>
      <c r="L77" s="22">
        <v>46</v>
      </c>
      <c r="M77" s="22"/>
      <c r="N77" s="22"/>
      <c r="O77" s="22"/>
      <c r="P77" s="23"/>
      <c r="Q77" s="23"/>
      <c r="R77" s="23"/>
      <c r="S77" s="23"/>
      <c r="T77" s="23"/>
      <c r="U77" s="19">
        <f t="shared" si="12"/>
        <v>99.6</v>
      </c>
      <c r="V77" s="128">
        <f t="shared" si="11"/>
        <v>4.9799999999999995</v>
      </c>
      <c r="X77" s="54"/>
      <c r="Y77" s="56"/>
      <c r="AA77" s="2"/>
      <c r="AB77" s="2" t="str">
        <f t="shared" si="16"/>
        <v/>
      </c>
      <c r="AC77" s="132" t="str">
        <f t="shared" si="17"/>
        <v/>
      </c>
    </row>
    <row r="78" spans="1:29" ht="15.75">
      <c r="A78" s="29" t="s">
        <v>202</v>
      </c>
      <c r="B78" s="3" t="s">
        <v>377</v>
      </c>
      <c r="C78" s="3" t="s">
        <v>126</v>
      </c>
      <c r="D78" s="3" t="s">
        <v>127</v>
      </c>
      <c r="E78" s="3" t="str">
        <f>IF(B78="","",IF(D78="Godfroy","Godfroy",(IF(LEFT(B78,1)="1","Hiwa","Direct"))))</f>
        <v>Direct</v>
      </c>
      <c r="F78" s="3" t="s">
        <v>128</v>
      </c>
      <c r="G78" s="3">
        <v>4</v>
      </c>
      <c r="H78" s="28">
        <v>880</v>
      </c>
      <c r="I78" s="82" t="b">
        <v>1</v>
      </c>
      <c r="J78" s="116">
        <f t="shared" si="10"/>
        <v>0.95</v>
      </c>
      <c r="K78" s="117">
        <v>836</v>
      </c>
      <c r="L78" s="22"/>
      <c r="M78" s="22"/>
      <c r="N78" s="22"/>
      <c r="O78" s="22"/>
      <c r="P78" s="23"/>
      <c r="Q78" s="23"/>
      <c r="R78" s="23"/>
      <c r="S78" s="23"/>
      <c r="T78" s="23"/>
      <c r="U78" s="19">
        <f t="shared" si="12"/>
        <v>836</v>
      </c>
      <c r="V78" s="128">
        <f t="shared" si="11"/>
        <v>0.95</v>
      </c>
      <c r="X78" s="54"/>
      <c r="Y78" s="56"/>
      <c r="AA78" s="2"/>
      <c r="AB78" s="2" t="str">
        <f t="shared" si="16"/>
        <v/>
      </c>
      <c r="AC78" s="132" t="str">
        <f t="shared" si="17"/>
        <v/>
      </c>
    </row>
    <row r="79" spans="1:29" ht="15.75">
      <c r="A79" s="29" t="s">
        <v>203</v>
      </c>
      <c r="B79" s="3" t="s">
        <v>123</v>
      </c>
      <c r="C79" s="9" t="s">
        <v>52</v>
      </c>
      <c r="D79" s="13" t="s">
        <v>30</v>
      </c>
      <c r="E79" s="3" t="str">
        <f t="shared" ref="E79:E83" si="18">IF(B79="","",IF(D79="Godfroy","Godfroy",(IF(LEFT(B79,1)="1","Hiwa","Direct"))))</f>
        <v>Hiwa</v>
      </c>
      <c r="F79" s="3" t="s">
        <v>46</v>
      </c>
      <c r="G79" s="1">
        <v>80</v>
      </c>
      <c r="H79" s="27">
        <v>16800</v>
      </c>
      <c r="I79" s="82" t="b">
        <v>0</v>
      </c>
      <c r="J79" s="116">
        <f t="shared" si="10"/>
        <v>0</v>
      </c>
      <c r="K79" s="122"/>
      <c r="L79" s="22"/>
      <c r="M79" s="22"/>
      <c r="N79" s="22"/>
      <c r="O79" s="22"/>
      <c r="P79" s="23"/>
      <c r="Q79" s="23"/>
      <c r="R79" s="23"/>
      <c r="S79" s="23"/>
      <c r="T79" s="23"/>
      <c r="U79" s="19">
        <f t="shared" si="12"/>
        <v>0</v>
      </c>
      <c r="V79" s="128">
        <f t="shared" si="11"/>
        <v>0</v>
      </c>
      <c r="X79" s="54"/>
      <c r="Y79" s="56"/>
      <c r="AA79" s="2"/>
      <c r="AB79" s="2" t="str">
        <f t="shared" si="16"/>
        <v/>
      </c>
      <c r="AC79" s="132" t="str">
        <f t="shared" si="17"/>
        <v/>
      </c>
    </row>
    <row r="80" spans="1:29" ht="15.75">
      <c r="A80" s="29" t="s">
        <v>204</v>
      </c>
      <c r="B80" s="3" t="s">
        <v>89</v>
      </c>
      <c r="C80" s="9" t="s">
        <v>90</v>
      </c>
      <c r="D80" s="3" t="s">
        <v>30</v>
      </c>
      <c r="E80" s="3" t="str">
        <f t="shared" si="18"/>
        <v>Hiwa</v>
      </c>
      <c r="F80" s="10" t="s">
        <v>59</v>
      </c>
      <c r="G80" s="1">
        <v>512</v>
      </c>
      <c r="H80" s="27">
        <f t="shared" ref="H80:H81" si="19">G80*205</f>
        <v>104960</v>
      </c>
      <c r="I80" s="82" t="b">
        <v>0</v>
      </c>
      <c r="J80" s="116">
        <f t="shared" si="10"/>
        <v>0</v>
      </c>
      <c r="K80" s="123"/>
      <c r="L80" s="22"/>
      <c r="M80" s="22"/>
      <c r="N80" s="22"/>
      <c r="O80" s="22"/>
      <c r="P80" s="23"/>
      <c r="Q80" s="23"/>
      <c r="R80" s="23"/>
      <c r="S80" s="23"/>
      <c r="T80" s="23"/>
      <c r="U80" s="19">
        <f t="shared" si="12"/>
        <v>0</v>
      </c>
      <c r="V80" s="128">
        <f t="shared" si="11"/>
        <v>0</v>
      </c>
      <c r="X80" s="80"/>
      <c r="Y80" s="72"/>
      <c r="AA80" s="2"/>
      <c r="AB80" s="2" t="str">
        <f t="shared" si="16"/>
        <v/>
      </c>
      <c r="AC80" s="132" t="str">
        <f t="shared" si="17"/>
        <v/>
      </c>
    </row>
    <row r="81" spans="1:29" ht="15.75">
      <c r="A81" s="29" t="s">
        <v>206</v>
      </c>
      <c r="B81" s="3" t="s">
        <v>89</v>
      </c>
      <c r="C81" s="9" t="s">
        <v>90</v>
      </c>
      <c r="D81" s="3" t="s">
        <v>30</v>
      </c>
      <c r="E81" s="3" t="str">
        <f t="shared" si="18"/>
        <v>Hiwa</v>
      </c>
      <c r="F81" s="10" t="s">
        <v>59</v>
      </c>
      <c r="G81" s="1">
        <v>512</v>
      </c>
      <c r="H81" s="27">
        <f t="shared" si="19"/>
        <v>104960</v>
      </c>
      <c r="I81" s="82" t="b">
        <v>0</v>
      </c>
      <c r="J81" s="116">
        <f t="shared" si="10"/>
        <v>0</v>
      </c>
      <c r="K81" s="122"/>
      <c r="L81" s="17"/>
      <c r="M81" s="22"/>
      <c r="N81" s="22"/>
      <c r="O81" s="22"/>
      <c r="P81" s="22"/>
      <c r="Q81" s="23"/>
      <c r="R81" s="23"/>
      <c r="S81" s="23"/>
      <c r="T81" s="23"/>
      <c r="U81" s="19">
        <f t="shared" si="12"/>
        <v>0</v>
      </c>
      <c r="V81" s="128">
        <f t="shared" si="11"/>
        <v>0</v>
      </c>
      <c r="X81" s="80"/>
      <c r="Y81" s="72"/>
      <c r="AA81" s="2"/>
      <c r="AB81" s="2" t="str">
        <f t="shared" si="16"/>
        <v/>
      </c>
      <c r="AC81" s="132" t="str">
        <f t="shared" si="17"/>
        <v/>
      </c>
    </row>
    <row r="82" spans="1:29" ht="15.75">
      <c r="A82" s="29" t="s">
        <v>208</v>
      </c>
      <c r="B82" s="3" t="s">
        <v>106</v>
      </c>
      <c r="C82" s="3" t="s">
        <v>62</v>
      </c>
      <c r="D82" s="3" t="s">
        <v>104</v>
      </c>
      <c r="E82" s="3" t="str">
        <f t="shared" si="18"/>
        <v>Direct</v>
      </c>
      <c r="F82" s="3" t="s">
        <v>31</v>
      </c>
      <c r="G82" s="3">
        <f>(4*112)+(2*114)</f>
        <v>676</v>
      </c>
      <c r="H82" s="28">
        <f>G82*210</f>
        <v>141960</v>
      </c>
      <c r="I82" s="82" t="b">
        <v>0</v>
      </c>
      <c r="J82" s="116">
        <f t="shared" si="10"/>
        <v>0</v>
      </c>
      <c r="K82" s="123"/>
      <c r="L82" s="22"/>
      <c r="M82" s="22"/>
      <c r="N82" s="22"/>
      <c r="O82" s="22"/>
      <c r="P82" s="23"/>
      <c r="Q82" s="23"/>
      <c r="R82" s="23"/>
      <c r="S82" s="23"/>
      <c r="T82" s="23"/>
      <c r="U82" s="19">
        <f t="shared" si="12"/>
        <v>0</v>
      </c>
      <c r="V82" s="128">
        <f t="shared" si="11"/>
        <v>0</v>
      </c>
      <c r="X82" s="80"/>
      <c r="Y82" s="56"/>
      <c r="AA82" s="2"/>
      <c r="AB82" s="2" t="str">
        <f t="shared" si="16"/>
        <v/>
      </c>
      <c r="AC82" s="132" t="str">
        <f t="shared" si="17"/>
        <v/>
      </c>
    </row>
    <row r="83" spans="1:29" ht="15.75">
      <c r="A83" s="29" t="s">
        <v>210</v>
      </c>
      <c r="B83" s="3" t="s">
        <v>93</v>
      </c>
      <c r="C83" s="3" t="s">
        <v>90</v>
      </c>
      <c r="D83" s="3" t="s">
        <v>112</v>
      </c>
      <c r="E83" s="3" t="str">
        <f t="shared" si="18"/>
        <v>Direct</v>
      </c>
      <c r="F83" s="3" t="s">
        <v>59</v>
      </c>
      <c r="G83" s="3">
        <v>112</v>
      </c>
      <c r="H83" s="28">
        <f>G83*205</f>
        <v>22960</v>
      </c>
      <c r="I83" s="82" t="b">
        <v>0</v>
      </c>
      <c r="J83" s="116">
        <f t="shared" si="10"/>
        <v>0</v>
      </c>
      <c r="K83" s="122"/>
      <c r="L83" s="22"/>
      <c r="M83" s="22"/>
      <c r="N83" s="22"/>
      <c r="O83" s="22"/>
      <c r="P83" s="23"/>
      <c r="Q83" s="23"/>
      <c r="R83" s="23"/>
      <c r="S83" s="23"/>
      <c r="T83" s="23"/>
      <c r="U83" s="19">
        <f t="shared" si="12"/>
        <v>0</v>
      </c>
      <c r="V83" s="128">
        <f t="shared" si="11"/>
        <v>0</v>
      </c>
      <c r="X83" s="54"/>
      <c r="Y83" s="56"/>
      <c r="AA83" s="2"/>
      <c r="AB83" s="2" t="str">
        <f t="shared" si="16"/>
        <v/>
      </c>
      <c r="AC83" s="132" t="str">
        <f t="shared" si="17"/>
        <v/>
      </c>
    </row>
    <row r="84" spans="1:29" ht="15.75">
      <c r="A84" s="29" t="s">
        <v>211</v>
      </c>
      <c r="B84" s="3" t="s">
        <v>93</v>
      </c>
      <c r="C84" s="3" t="s">
        <v>90</v>
      </c>
      <c r="D84" s="3" t="s">
        <v>112</v>
      </c>
      <c r="E84" s="3" t="str">
        <f t="shared" ref="E84:E85" si="20">IF(B84="","",IF(D84="Godfroy","Godfroy",(IF(LEFT(B84,1)="1","Hiwa","Direct"))))</f>
        <v>Direct</v>
      </c>
      <c r="F84" s="3" t="s">
        <v>59</v>
      </c>
      <c r="G84" s="3">
        <v>112</v>
      </c>
      <c r="H84" s="28">
        <f>G84*205</f>
        <v>22960</v>
      </c>
      <c r="I84" s="82" t="b">
        <v>0</v>
      </c>
      <c r="J84" s="116">
        <f t="shared" si="10"/>
        <v>0</v>
      </c>
      <c r="K84" s="122"/>
      <c r="L84" s="22"/>
      <c r="M84" s="22"/>
      <c r="N84" s="22"/>
      <c r="O84" s="22"/>
      <c r="P84" s="23"/>
      <c r="Q84" s="23"/>
      <c r="R84" s="23"/>
      <c r="S84" s="23"/>
      <c r="T84" s="23"/>
      <c r="U84" s="19">
        <f t="shared" si="12"/>
        <v>0</v>
      </c>
      <c r="V84" s="128">
        <f t="shared" si="11"/>
        <v>0</v>
      </c>
      <c r="X84" s="54"/>
      <c r="Y84" s="56"/>
      <c r="AA84" s="2"/>
      <c r="AB84" s="2" t="str">
        <f t="shared" si="16"/>
        <v/>
      </c>
      <c r="AC84" s="132" t="str">
        <f t="shared" si="17"/>
        <v/>
      </c>
    </row>
    <row r="85" spans="1:29" ht="15.75">
      <c r="A85" s="29" t="s">
        <v>212</v>
      </c>
      <c r="B85" s="3" t="s">
        <v>143</v>
      </c>
      <c r="C85" s="9" t="s">
        <v>119</v>
      </c>
      <c r="D85" s="3" t="s">
        <v>144</v>
      </c>
      <c r="E85" s="3" t="str">
        <f t="shared" si="20"/>
        <v>Direct</v>
      </c>
      <c r="F85" s="10" t="s">
        <v>121</v>
      </c>
      <c r="G85" s="1">
        <v>110</v>
      </c>
      <c r="H85" s="27">
        <v>1100</v>
      </c>
      <c r="I85" s="82" t="b">
        <v>0</v>
      </c>
      <c r="J85" s="116">
        <f t="shared" si="10"/>
        <v>0</v>
      </c>
      <c r="K85" s="117"/>
      <c r="L85" s="22"/>
      <c r="M85" s="22"/>
      <c r="N85" s="22"/>
      <c r="O85" s="22"/>
      <c r="P85" s="23"/>
      <c r="Q85" s="23"/>
      <c r="R85" s="23"/>
      <c r="S85" s="23"/>
      <c r="T85" s="23"/>
      <c r="U85" s="19">
        <f t="shared" si="12"/>
        <v>0</v>
      </c>
      <c r="V85" s="128">
        <f t="shared" si="11"/>
        <v>0</v>
      </c>
      <c r="X85" s="54"/>
      <c r="Y85" s="56"/>
      <c r="AA85" s="2"/>
      <c r="AB85" s="2" t="str">
        <f t="shared" si="16"/>
        <v/>
      </c>
      <c r="AC85" s="132" t="str">
        <f t="shared" si="17"/>
        <v/>
      </c>
    </row>
    <row r="86" spans="1:29" ht="15.75">
      <c r="A86" s="29" t="s">
        <v>213</v>
      </c>
      <c r="B86" s="3"/>
      <c r="C86" s="9"/>
      <c r="D86" s="3"/>
      <c r="E86" s="3"/>
      <c r="F86" s="10"/>
      <c r="G86" s="1"/>
      <c r="H86" s="27"/>
      <c r="I86" s="82" t="b">
        <v>0</v>
      </c>
      <c r="J86" s="116" t="str">
        <f t="shared" si="10"/>
        <v/>
      </c>
      <c r="K86" s="117"/>
      <c r="L86" s="22"/>
      <c r="M86" s="22"/>
      <c r="N86" s="22"/>
      <c r="O86" s="22"/>
      <c r="P86" s="23"/>
      <c r="Q86" s="23"/>
      <c r="R86" s="23"/>
      <c r="S86" s="23"/>
      <c r="T86" s="23"/>
      <c r="U86" s="19" t="str">
        <f t="shared" si="12"/>
        <v/>
      </c>
      <c r="V86" s="128" t="str">
        <f t="shared" si="11"/>
        <v/>
      </c>
      <c r="X86" s="54"/>
      <c r="Y86" s="56"/>
      <c r="AA86" s="2"/>
      <c r="AB86" s="2" t="str">
        <f t="shared" si="16"/>
        <v/>
      </c>
      <c r="AC86" s="132" t="str">
        <f t="shared" si="17"/>
        <v/>
      </c>
    </row>
    <row r="87" spans="1:29" ht="15.75">
      <c r="A87" s="29" t="s">
        <v>216</v>
      </c>
      <c r="B87" s="3"/>
      <c r="C87" s="9"/>
      <c r="D87" s="3"/>
      <c r="E87" s="3"/>
      <c r="F87" s="10"/>
      <c r="G87" s="1"/>
      <c r="H87" s="27"/>
      <c r="I87" s="82" t="b">
        <v>0</v>
      </c>
      <c r="J87" s="116" t="str">
        <f t="shared" si="10"/>
        <v/>
      </c>
      <c r="K87" s="117"/>
      <c r="L87" s="22"/>
      <c r="M87" s="22"/>
      <c r="N87" s="22"/>
      <c r="O87" s="22"/>
      <c r="P87" s="23"/>
      <c r="Q87" s="23"/>
      <c r="R87" s="23"/>
      <c r="S87" s="23"/>
      <c r="T87" s="23"/>
      <c r="U87" s="19" t="str">
        <f t="shared" si="12"/>
        <v/>
      </c>
      <c r="V87" s="128" t="str">
        <f t="shared" si="11"/>
        <v/>
      </c>
      <c r="X87" s="54"/>
      <c r="Y87" s="56"/>
      <c r="AA87" s="2"/>
      <c r="AB87" s="2" t="str">
        <f t="shared" si="16"/>
        <v/>
      </c>
      <c r="AC87" s="132" t="str">
        <f t="shared" si="17"/>
        <v/>
      </c>
    </row>
    <row r="88" spans="1:29" ht="15.75">
      <c r="A88" s="29" t="s">
        <v>218</v>
      </c>
      <c r="B88" s="3"/>
      <c r="C88" s="3"/>
      <c r="D88" s="3"/>
      <c r="E88" s="3"/>
      <c r="F88" s="3"/>
      <c r="G88" s="3"/>
      <c r="H88" s="28"/>
      <c r="I88" s="82" t="b">
        <v>0</v>
      </c>
      <c r="J88" s="116" t="str">
        <f t="shared" si="10"/>
        <v/>
      </c>
      <c r="K88" s="117"/>
      <c r="L88" s="22"/>
      <c r="M88" s="22"/>
      <c r="N88" s="22"/>
      <c r="O88" s="22"/>
      <c r="P88" s="23"/>
      <c r="Q88" s="23"/>
      <c r="R88" s="23"/>
      <c r="S88" s="23"/>
      <c r="T88" s="23"/>
      <c r="U88" s="19" t="str">
        <f t="shared" si="12"/>
        <v/>
      </c>
      <c r="V88" s="128" t="str">
        <f t="shared" si="11"/>
        <v/>
      </c>
      <c r="X88" s="54"/>
      <c r="Y88" s="56"/>
      <c r="AA88" s="2"/>
      <c r="AB88" s="2" t="str">
        <f t="shared" si="16"/>
        <v/>
      </c>
      <c r="AC88" s="132" t="str">
        <f t="shared" si="17"/>
        <v/>
      </c>
    </row>
    <row r="89" spans="1:29" ht="15.75">
      <c r="A89" s="29" t="s">
        <v>219</v>
      </c>
      <c r="B89" s="3"/>
      <c r="C89" s="3"/>
      <c r="D89" s="3"/>
      <c r="E89" s="3"/>
      <c r="F89" s="3"/>
      <c r="G89" s="3"/>
      <c r="H89" s="28"/>
      <c r="I89" s="82" t="b">
        <v>0</v>
      </c>
      <c r="J89" s="116" t="str">
        <f t="shared" si="10"/>
        <v/>
      </c>
      <c r="K89" s="124"/>
      <c r="L89" s="22"/>
      <c r="M89" s="22"/>
      <c r="N89" s="22"/>
      <c r="O89" s="22"/>
      <c r="P89" s="23"/>
      <c r="Q89" s="23"/>
      <c r="R89" s="23"/>
      <c r="S89" s="23"/>
      <c r="T89" s="23"/>
      <c r="U89" s="19" t="str">
        <f t="shared" si="12"/>
        <v/>
      </c>
      <c r="V89" s="128" t="str">
        <f t="shared" si="11"/>
        <v/>
      </c>
      <c r="X89" s="54"/>
      <c r="Y89" s="56"/>
      <c r="AA89" s="2"/>
      <c r="AB89" s="2" t="str">
        <f t="shared" si="16"/>
        <v/>
      </c>
      <c r="AC89" s="132" t="str">
        <f t="shared" si="17"/>
        <v/>
      </c>
    </row>
    <row r="90" spans="1:29" ht="15.75">
      <c r="A90" s="29" t="s">
        <v>220</v>
      </c>
      <c r="B90" s="3"/>
      <c r="C90" s="9"/>
      <c r="D90" s="3"/>
      <c r="E90" s="3"/>
      <c r="F90" s="3"/>
      <c r="G90" s="3"/>
      <c r="H90" s="28"/>
      <c r="I90" s="82" t="b">
        <v>0</v>
      </c>
      <c r="J90" s="116" t="str">
        <f t="shared" si="10"/>
        <v/>
      </c>
      <c r="K90" s="124"/>
      <c r="L90" s="106"/>
      <c r="M90" s="22"/>
      <c r="N90" s="22"/>
      <c r="O90" s="22"/>
      <c r="P90" s="23"/>
      <c r="Q90" s="23"/>
      <c r="R90" s="23"/>
      <c r="S90" s="23"/>
      <c r="T90" s="23"/>
      <c r="U90" s="19" t="str">
        <f t="shared" si="12"/>
        <v/>
      </c>
      <c r="V90" s="128" t="str">
        <f t="shared" si="11"/>
        <v/>
      </c>
      <c r="X90" s="54"/>
      <c r="Y90" s="56"/>
      <c r="AA90" s="2"/>
      <c r="AB90" s="2" t="str">
        <f t="shared" si="16"/>
        <v/>
      </c>
      <c r="AC90" s="132" t="str">
        <f t="shared" si="17"/>
        <v/>
      </c>
    </row>
    <row r="91" spans="1:29" ht="15.75">
      <c r="A91" s="29" t="s">
        <v>221</v>
      </c>
      <c r="B91" s="3"/>
      <c r="C91" s="3"/>
      <c r="D91" s="3"/>
      <c r="E91" s="3"/>
      <c r="F91" s="3"/>
      <c r="G91" s="3"/>
      <c r="H91" s="28"/>
      <c r="I91" s="82" t="b">
        <v>0</v>
      </c>
      <c r="J91" s="116" t="str">
        <f t="shared" si="10"/>
        <v/>
      </c>
      <c r="K91" s="124"/>
      <c r="L91" s="22"/>
      <c r="M91" s="22"/>
      <c r="N91" s="22"/>
      <c r="O91" s="22"/>
      <c r="P91" s="23"/>
      <c r="Q91" s="23"/>
      <c r="R91" s="23"/>
      <c r="S91" s="23"/>
      <c r="T91" s="23"/>
      <c r="U91" s="19" t="str">
        <f t="shared" si="12"/>
        <v/>
      </c>
      <c r="V91" s="128" t="str">
        <f t="shared" si="11"/>
        <v/>
      </c>
      <c r="X91" s="54"/>
      <c r="Y91" s="56"/>
      <c r="AA91" s="2"/>
      <c r="AB91" s="2" t="str">
        <f t="shared" si="16"/>
        <v/>
      </c>
      <c r="AC91" s="132" t="str">
        <f t="shared" si="17"/>
        <v/>
      </c>
    </row>
    <row r="92" spans="1:29" ht="15.75">
      <c r="A92" s="29" t="s">
        <v>223</v>
      </c>
      <c r="B92" s="3"/>
      <c r="C92" s="3"/>
      <c r="D92" s="3"/>
      <c r="E92" s="3"/>
      <c r="F92" s="3"/>
      <c r="G92" s="3"/>
      <c r="H92" s="28"/>
      <c r="I92" s="82" t="b">
        <v>0</v>
      </c>
      <c r="J92" s="116" t="str">
        <f t="shared" si="10"/>
        <v/>
      </c>
      <c r="K92" s="124"/>
      <c r="L92" s="22"/>
      <c r="M92" s="22"/>
      <c r="N92" s="22"/>
      <c r="O92" s="22"/>
      <c r="P92" s="23"/>
      <c r="Q92" s="23"/>
      <c r="R92" s="23"/>
      <c r="S92" s="23"/>
      <c r="T92" s="23"/>
      <c r="U92" s="19" t="str">
        <f t="shared" si="12"/>
        <v/>
      </c>
      <c r="V92" s="128" t="str">
        <f t="shared" si="11"/>
        <v/>
      </c>
      <c r="X92" s="54"/>
      <c r="Y92" s="56"/>
      <c r="AA92" s="2"/>
      <c r="AB92" s="2" t="str">
        <f t="shared" si="16"/>
        <v/>
      </c>
      <c r="AC92" s="132" t="str">
        <f t="shared" si="17"/>
        <v/>
      </c>
    </row>
    <row r="93" spans="1:29" ht="15.75">
      <c r="A93" s="29" t="s">
        <v>225</v>
      </c>
      <c r="B93" s="3"/>
      <c r="C93" s="3"/>
      <c r="D93" s="3"/>
      <c r="E93" s="3"/>
      <c r="F93" s="3"/>
      <c r="G93" s="3"/>
      <c r="H93" s="28"/>
      <c r="I93" s="82" t="b">
        <v>0</v>
      </c>
      <c r="J93" s="116" t="str">
        <f t="shared" si="10"/>
        <v/>
      </c>
      <c r="K93" s="124"/>
      <c r="L93" s="22"/>
      <c r="M93" s="22"/>
      <c r="N93" s="22"/>
      <c r="O93" s="22"/>
      <c r="P93" s="23"/>
      <c r="Q93" s="23"/>
      <c r="R93" s="23"/>
      <c r="S93" s="23"/>
      <c r="T93" s="23"/>
      <c r="U93" s="19" t="str">
        <f t="shared" si="12"/>
        <v/>
      </c>
      <c r="V93" s="128" t="str">
        <f t="shared" si="11"/>
        <v/>
      </c>
      <c r="X93" s="54"/>
      <c r="Y93" s="56"/>
      <c r="AA93" s="2"/>
      <c r="AB93" s="2" t="str">
        <f t="shared" si="16"/>
        <v/>
      </c>
      <c r="AC93" s="132" t="str">
        <f t="shared" si="17"/>
        <v/>
      </c>
    </row>
    <row r="94" spans="1:29" ht="15.75">
      <c r="A94" s="29" t="s">
        <v>227</v>
      </c>
      <c r="B94" s="3"/>
      <c r="C94" s="3"/>
      <c r="D94" s="3"/>
      <c r="E94" s="3"/>
      <c r="F94" s="3"/>
      <c r="G94" s="3"/>
      <c r="H94" s="28"/>
      <c r="I94" s="82" t="b">
        <v>0</v>
      </c>
      <c r="J94" s="116" t="str">
        <f t="shared" si="10"/>
        <v/>
      </c>
      <c r="K94" s="124"/>
      <c r="L94" s="22"/>
      <c r="M94" s="22"/>
      <c r="N94" s="22"/>
      <c r="O94" s="22"/>
      <c r="P94" s="23"/>
      <c r="Q94" s="23"/>
      <c r="R94" s="23"/>
      <c r="S94" s="23"/>
      <c r="T94" s="23"/>
      <c r="U94" s="19" t="str">
        <f t="shared" si="12"/>
        <v/>
      </c>
      <c r="V94" s="128" t="str">
        <f t="shared" si="11"/>
        <v/>
      </c>
      <c r="X94" s="54"/>
      <c r="Y94" s="56"/>
      <c r="AA94" s="2"/>
      <c r="AB94" s="2" t="str">
        <f t="shared" si="16"/>
        <v/>
      </c>
      <c r="AC94" s="132" t="str">
        <f t="shared" si="17"/>
        <v/>
      </c>
    </row>
    <row r="95" spans="1:29" ht="15.75">
      <c r="A95" s="29" t="s">
        <v>228</v>
      </c>
      <c r="B95" s="3"/>
      <c r="C95" s="3"/>
      <c r="D95" s="3"/>
      <c r="E95" s="3"/>
      <c r="F95" s="3"/>
      <c r="G95" s="3"/>
      <c r="H95" s="28"/>
      <c r="I95" s="82" t="b">
        <v>0</v>
      </c>
      <c r="J95" s="116" t="str">
        <f t="shared" si="10"/>
        <v/>
      </c>
      <c r="K95" s="124"/>
      <c r="L95" s="22"/>
      <c r="M95" s="22"/>
      <c r="N95" s="22"/>
      <c r="O95" s="22"/>
      <c r="P95" s="23"/>
      <c r="Q95" s="23"/>
      <c r="R95" s="23"/>
      <c r="S95" s="23"/>
      <c r="T95" s="23"/>
      <c r="U95" s="19" t="str">
        <f t="shared" si="12"/>
        <v/>
      </c>
      <c r="V95" s="128" t="str">
        <f t="shared" si="11"/>
        <v/>
      </c>
      <c r="X95" s="54"/>
      <c r="Y95" s="56"/>
      <c r="AA95" s="2"/>
      <c r="AB95" s="2" t="str">
        <f t="shared" si="16"/>
        <v/>
      </c>
      <c r="AC95" s="132" t="str">
        <f t="shared" si="17"/>
        <v/>
      </c>
    </row>
    <row r="96" spans="1:29" ht="15.75">
      <c r="A96" s="29" t="s">
        <v>230</v>
      </c>
      <c r="B96" s="3"/>
      <c r="C96" s="3"/>
      <c r="D96" s="3"/>
      <c r="E96" s="3"/>
      <c r="F96" s="3"/>
      <c r="G96" s="3"/>
      <c r="H96" s="28"/>
      <c r="I96" s="82" t="b">
        <v>0</v>
      </c>
      <c r="J96" s="116" t="str">
        <f t="shared" si="10"/>
        <v/>
      </c>
      <c r="K96" s="124"/>
      <c r="L96" s="22"/>
      <c r="M96" s="22"/>
      <c r="N96" s="22"/>
      <c r="O96" s="22"/>
      <c r="P96" s="23"/>
      <c r="Q96" s="23"/>
      <c r="R96" s="23"/>
      <c r="S96" s="23"/>
      <c r="T96" s="23"/>
      <c r="U96" s="19" t="str">
        <f t="shared" si="12"/>
        <v/>
      </c>
      <c r="V96" s="128" t="str">
        <f t="shared" si="11"/>
        <v/>
      </c>
      <c r="X96" s="54"/>
      <c r="Y96" s="72"/>
      <c r="AA96" s="2"/>
      <c r="AB96" s="2" t="str">
        <f t="shared" si="16"/>
        <v/>
      </c>
      <c r="AC96" s="132" t="str">
        <f t="shared" si="17"/>
        <v/>
      </c>
    </row>
    <row r="97" spans="1:29" ht="15.75">
      <c r="A97" s="29" t="s">
        <v>231</v>
      </c>
      <c r="B97" s="3"/>
      <c r="C97" s="3"/>
      <c r="D97" s="3"/>
      <c r="E97" s="3"/>
      <c r="F97" s="3"/>
      <c r="G97" s="3"/>
      <c r="H97" s="28"/>
      <c r="I97" s="82" t="b">
        <v>0</v>
      </c>
      <c r="J97" s="116" t="str">
        <f t="shared" si="10"/>
        <v/>
      </c>
      <c r="K97" s="124"/>
      <c r="L97" s="22"/>
      <c r="M97" s="22"/>
      <c r="N97" s="22"/>
      <c r="O97" s="22"/>
      <c r="P97" s="23"/>
      <c r="Q97" s="23"/>
      <c r="R97" s="23"/>
      <c r="S97" s="23"/>
      <c r="T97" s="23"/>
      <c r="U97" s="19" t="str">
        <f t="shared" si="12"/>
        <v/>
      </c>
      <c r="V97" s="128" t="str">
        <f t="shared" si="11"/>
        <v/>
      </c>
      <c r="X97" s="54"/>
      <c r="Y97" s="56"/>
      <c r="AA97" s="2"/>
      <c r="AB97" s="2" t="str">
        <f t="shared" si="16"/>
        <v/>
      </c>
      <c r="AC97" s="132" t="str">
        <f t="shared" si="17"/>
        <v/>
      </c>
    </row>
    <row r="98" spans="1:29" ht="15.75">
      <c r="A98" s="29" t="s">
        <v>232</v>
      </c>
      <c r="B98" s="3"/>
      <c r="C98" s="9"/>
      <c r="D98" s="3"/>
      <c r="E98" s="3"/>
      <c r="F98" s="10"/>
      <c r="G98" s="1"/>
      <c r="H98" s="27"/>
      <c r="I98" s="82" t="b">
        <v>0</v>
      </c>
      <c r="J98" s="116" t="str">
        <f t="shared" si="10"/>
        <v/>
      </c>
      <c r="K98" s="124"/>
      <c r="L98" s="22"/>
      <c r="M98" s="22"/>
      <c r="N98" s="22"/>
      <c r="O98" s="22"/>
      <c r="P98" s="23"/>
      <c r="Q98" s="23"/>
      <c r="R98" s="23"/>
      <c r="S98" s="23"/>
      <c r="T98" s="23"/>
      <c r="U98" s="19" t="str">
        <f t="shared" si="12"/>
        <v/>
      </c>
      <c r="V98" s="128" t="str">
        <f t="shared" si="11"/>
        <v/>
      </c>
      <c r="X98" s="54"/>
      <c r="Y98" s="56"/>
      <c r="AA98" s="2"/>
      <c r="AB98" s="2" t="str">
        <f t="shared" si="16"/>
        <v/>
      </c>
      <c r="AC98" s="132" t="str">
        <f t="shared" si="17"/>
        <v/>
      </c>
    </row>
    <row r="99" spans="1:29" ht="15.75">
      <c r="A99" s="29" t="s">
        <v>233</v>
      </c>
      <c r="B99" s="3"/>
      <c r="C99" s="3"/>
      <c r="D99" s="3"/>
      <c r="E99" s="3"/>
      <c r="F99" s="3"/>
      <c r="G99" s="3"/>
      <c r="H99" s="28"/>
      <c r="I99" s="82" t="b">
        <v>0</v>
      </c>
      <c r="J99" s="116" t="str">
        <f t="shared" si="10"/>
        <v/>
      </c>
      <c r="K99" s="124"/>
      <c r="L99" s="22"/>
      <c r="M99" s="22"/>
      <c r="N99" s="22"/>
      <c r="O99" s="22"/>
      <c r="P99" s="23"/>
      <c r="Q99" s="23"/>
      <c r="R99" s="23"/>
      <c r="S99" s="23"/>
      <c r="T99" s="23"/>
      <c r="U99" s="19" t="str">
        <f t="shared" si="12"/>
        <v/>
      </c>
      <c r="V99" s="128" t="str">
        <f t="shared" si="11"/>
        <v/>
      </c>
      <c r="X99" s="54"/>
      <c r="Y99" s="56"/>
      <c r="AA99" s="2"/>
      <c r="AB99" s="2" t="str">
        <f t="shared" si="16"/>
        <v/>
      </c>
      <c r="AC99" s="132" t="str">
        <f t="shared" si="17"/>
        <v/>
      </c>
    </row>
    <row r="100" spans="1:29" ht="15.75">
      <c r="A100" s="29" t="s">
        <v>236</v>
      </c>
      <c r="B100" s="3"/>
      <c r="C100" s="3"/>
      <c r="D100" s="3"/>
      <c r="E100" s="3"/>
      <c r="F100" s="3"/>
      <c r="G100" s="3"/>
      <c r="H100" s="28"/>
      <c r="I100" s="82" t="b">
        <v>0</v>
      </c>
      <c r="J100" s="116" t="str">
        <f t="shared" si="10"/>
        <v/>
      </c>
      <c r="K100" s="124"/>
      <c r="L100" s="22"/>
      <c r="M100" s="22"/>
      <c r="N100" s="22"/>
      <c r="O100" s="22"/>
      <c r="P100" s="23"/>
      <c r="Q100" s="23"/>
      <c r="R100" s="23"/>
      <c r="S100" s="23"/>
      <c r="T100" s="23"/>
      <c r="U100" s="19" t="str">
        <f t="shared" si="12"/>
        <v/>
      </c>
      <c r="V100" s="128" t="str">
        <f t="shared" si="11"/>
        <v/>
      </c>
      <c r="X100" s="54"/>
      <c r="Y100" s="56"/>
      <c r="AA100" s="2"/>
      <c r="AB100" s="2" t="str">
        <f t="shared" si="16"/>
        <v/>
      </c>
      <c r="AC100" s="132" t="str">
        <f t="shared" si="17"/>
        <v/>
      </c>
    </row>
    <row r="101" spans="1:29" ht="16.5" customHeight="1">
      <c r="A101" s="29" t="s">
        <v>237</v>
      </c>
      <c r="B101" s="3"/>
      <c r="C101" s="3"/>
      <c r="D101" s="3"/>
      <c r="E101" s="3"/>
      <c r="F101" s="3"/>
      <c r="G101" s="3"/>
      <c r="H101" s="28"/>
      <c r="I101" s="82" t="b">
        <v>0</v>
      </c>
      <c r="J101" s="116" t="str">
        <f t="shared" si="10"/>
        <v/>
      </c>
      <c r="K101" s="124"/>
      <c r="L101" s="22"/>
      <c r="M101" s="22"/>
      <c r="N101" s="22"/>
      <c r="O101" s="22"/>
      <c r="P101" s="23"/>
      <c r="Q101" s="23"/>
      <c r="R101" s="23"/>
      <c r="S101" s="23"/>
      <c r="T101" s="23"/>
      <c r="U101" s="19" t="str">
        <f t="shared" si="12"/>
        <v/>
      </c>
      <c r="V101" s="128" t="str">
        <f t="shared" si="11"/>
        <v/>
      </c>
      <c r="X101" s="54"/>
      <c r="Y101" s="56"/>
      <c r="AA101" s="2"/>
      <c r="AB101" s="2" t="str">
        <f t="shared" si="16"/>
        <v/>
      </c>
      <c r="AC101" s="132" t="str">
        <f t="shared" si="17"/>
        <v/>
      </c>
    </row>
    <row r="102" spans="1:29" ht="15.75">
      <c r="A102" s="29" t="s">
        <v>238</v>
      </c>
      <c r="B102" s="3"/>
      <c r="C102" s="3"/>
      <c r="D102" s="3"/>
      <c r="E102" s="3"/>
      <c r="F102" s="3"/>
      <c r="G102" s="3"/>
      <c r="H102" s="28"/>
      <c r="I102" s="82" t="b">
        <v>0</v>
      </c>
      <c r="J102" s="116" t="str">
        <f t="shared" si="10"/>
        <v/>
      </c>
      <c r="K102" s="124"/>
      <c r="L102" s="22"/>
      <c r="M102" s="22"/>
      <c r="N102" s="22"/>
      <c r="O102" s="22"/>
      <c r="P102" s="23"/>
      <c r="Q102" s="23"/>
      <c r="R102" s="23"/>
      <c r="S102" s="23"/>
      <c r="T102" s="23"/>
      <c r="U102" s="19" t="str">
        <f t="shared" si="12"/>
        <v/>
      </c>
      <c r="V102" s="128" t="str">
        <f t="shared" si="11"/>
        <v/>
      </c>
      <c r="X102" s="54"/>
      <c r="Y102" s="56"/>
      <c r="AA102" s="2"/>
      <c r="AB102" s="2" t="str">
        <f t="shared" si="16"/>
        <v/>
      </c>
      <c r="AC102" s="132" t="str">
        <f t="shared" si="17"/>
        <v/>
      </c>
    </row>
    <row r="103" spans="1:29" ht="15.75">
      <c r="A103" s="29" t="s">
        <v>242</v>
      </c>
      <c r="B103" s="3"/>
      <c r="C103" s="9"/>
      <c r="D103" s="3"/>
      <c r="E103" s="3"/>
      <c r="F103" s="3"/>
      <c r="G103" s="3"/>
      <c r="H103" s="28"/>
      <c r="I103" s="82" t="b">
        <v>0</v>
      </c>
      <c r="J103" s="116" t="str">
        <f t="shared" si="10"/>
        <v/>
      </c>
      <c r="K103" s="124"/>
      <c r="L103" s="106"/>
      <c r="M103" s="22"/>
      <c r="N103" s="22"/>
      <c r="O103" s="22"/>
      <c r="P103" s="23"/>
      <c r="Q103" s="23"/>
      <c r="R103" s="23"/>
      <c r="S103" s="23"/>
      <c r="T103" s="23"/>
      <c r="U103" s="19" t="str">
        <f t="shared" si="12"/>
        <v/>
      </c>
      <c r="V103" s="128" t="str">
        <f t="shared" si="11"/>
        <v/>
      </c>
      <c r="X103" s="54"/>
      <c r="Y103" s="56"/>
      <c r="AA103" s="2"/>
      <c r="AB103" s="2" t="str">
        <f t="shared" si="16"/>
        <v/>
      </c>
      <c r="AC103" s="132" t="str">
        <f t="shared" si="17"/>
        <v/>
      </c>
    </row>
    <row r="104" spans="1:29" ht="15.75">
      <c r="A104" s="29" t="s">
        <v>243</v>
      </c>
      <c r="B104" s="3"/>
      <c r="C104" s="9"/>
      <c r="D104" s="3"/>
      <c r="E104" s="3"/>
      <c r="F104" s="10"/>
      <c r="G104" s="1"/>
      <c r="H104" s="27"/>
      <c r="I104" s="82" t="b">
        <v>0</v>
      </c>
      <c r="J104" s="116" t="str">
        <f t="shared" si="10"/>
        <v/>
      </c>
      <c r="K104" s="124"/>
      <c r="L104" s="22"/>
      <c r="M104" s="22"/>
      <c r="N104" s="22"/>
      <c r="O104" s="22"/>
      <c r="P104" s="23"/>
      <c r="Q104" s="23"/>
      <c r="R104" s="23"/>
      <c r="S104" s="23"/>
      <c r="T104" s="23"/>
      <c r="U104" s="19" t="str">
        <f t="shared" si="12"/>
        <v/>
      </c>
      <c r="V104" s="128" t="str">
        <f t="shared" si="11"/>
        <v/>
      </c>
      <c r="X104" s="54"/>
      <c r="Y104" s="56"/>
      <c r="AA104" s="2"/>
      <c r="AB104" s="2" t="str">
        <f t="shared" si="16"/>
        <v/>
      </c>
      <c r="AC104" s="132" t="str">
        <f t="shared" si="17"/>
        <v/>
      </c>
    </row>
    <row r="105" spans="1:29" ht="15.75">
      <c r="A105" s="29" t="s">
        <v>244</v>
      </c>
      <c r="B105" s="3"/>
      <c r="C105" s="9"/>
      <c r="D105" s="3"/>
      <c r="E105" s="3"/>
      <c r="F105" s="3"/>
      <c r="G105" s="3"/>
      <c r="H105" s="28"/>
      <c r="I105" s="82" t="b">
        <v>0</v>
      </c>
      <c r="J105" s="116" t="str">
        <f t="shared" si="10"/>
        <v/>
      </c>
      <c r="K105" s="124"/>
      <c r="L105" s="22"/>
      <c r="M105" s="22"/>
      <c r="N105" s="22"/>
      <c r="O105" s="22"/>
      <c r="P105" s="23"/>
      <c r="Q105" s="23"/>
      <c r="R105" s="23"/>
      <c r="S105" s="23"/>
      <c r="T105" s="23"/>
      <c r="U105" s="19" t="str">
        <f t="shared" si="12"/>
        <v/>
      </c>
      <c r="V105" s="128" t="str">
        <f t="shared" si="11"/>
        <v/>
      </c>
      <c r="X105" s="54"/>
      <c r="Y105" s="56"/>
      <c r="AA105" s="2"/>
      <c r="AB105" s="2" t="str">
        <f t="shared" si="16"/>
        <v/>
      </c>
      <c r="AC105" s="132" t="str">
        <f t="shared" si="17"/>
        <v/>
      </c>
    </row>
    <row r="106" spans="1:29" ht="15.75">
      <c r="A106" s="29" t="s">
        <v>245</v>
      </c>
      <c r="B106" s="3"/>
      <c r="C106" s="3"/>
      <c r="D106" s="3"/>
      <c r="E106" s="3"/>
      <c r="F106" s="3"/>
      <c r="G106" s="3"/>
      <c r="H106" s="28"/>
      <c r="I106" s="82" t="b">
        <v>0</v>
      </c>
      <c r="J106" s="116" t="str">
        <f t="shared" ref="J106:J145" si="21">IF(H106="","",+K106/H106)</f>
        <v/>
      </c>
      <c r="K106" s="124"/>
      <c r="L106" s="22"/>
      <c r="M106" s="22"/>
      <c r="N106" s="22"/>
      <c r="O106" s="22"/>
      <c r="P106" s="23"/>
      <c r="Q106" s="23"/>
      <c r="R106" s="23"/>
      <c r="S106" s="23"/>
      <c r="T106" s="23"/>
      <c r="U106" s="19" t="str">
        <f t="shared" si="12"/>
        <v/>
      </c>
      <c r="V106" s="128" t="str">
        <f t="shared" ref="V106:V146" si="22">IF(J106="","",+U106/H106)</f>
        <v/>
      </c>
      <c r="X106" s="54"/>
      <c r="Y106" s="56"/>
      <c r="AA106" s="2"/>
      <c r="AB106" s="2" t="str">
        <f t="shared" si="16"/>
        <v/>
      </c>
      <c r="AC106" s="132" t="str">
        <f t="shared" si="17"/>
        <v/>
      </c>
    </row>
    <row r="107" spans="1:29" ht="15.75">
      <c r="A107" s="29" t="s">
        <v>248</v>
      </c>
      <c r="B107" s="3"/>
      <c r="C107" s="9"/>
      <c r="D107" s="3"/>
      <c r="E107" s="3"/>
      <c r="F107" s="3"/>
      <c r="G107" s="3"/>
      <c r="H107" s="28"/>
      <c r="I107" s="82" t="b">
        <v>0</v>
      </c>
      <c r="J107" s="116" t="str">
        <f t="shared" si="21"/>
        <v/>
      </c>
      <c r="K107" s="124"/>
      <c r="L107" s="22"/>
      <c r="M107" s="22"/>
      <c r="N107" s="22"/>
      <c r="O107" s="22"/>
      <c r="P107" s="23"/>
      <c r="Q107" s="23"/>
      <c r="R107" s="23"/>
      <c r="S107" s="23"/>
      <c r="T107" s="23"/>
      <c r="U107" s="19" t="str">
        <f t="shared" si="12"/>
        <v/>
      </c>
      <c r="V107" s="128" t="str">
        <f t="shared" si="22"/>
        <v/>
      </c>
      <c r="X107" s="54"/>
      <c r="Y107" s="56"/>
      <c r="AA107" s="2"/>
      <c r="AB107" s="2" t="str">
        <f t="shared" si="16"/>
        <v/>
      </c>
      <c r="AC107" s="132" t="str">
        <f t="shared" si="17"/>
        <v/>
      </c>
    </row>
    <row r="108" spans="1:29" ht="15.75">
      <c r="A108" s="29" t="s">
        <v>249</v>
      </c>
      <c r="B108" s="3"/>
      <c r="C108" s="3"/>
      <c r="D108" s="3"/>
      <c r="E108" s="3"/>
      <c r="F108" s="3"/>
      <c r="G108" s="3"/>
      <c r="H108" s="28"/>
      <c r="I108" s="82" t="b">
        <v>0</v>
      </c>
      <c r="J108" s="116" t="str">
        <f t="shared" si="21"/>
        <v/>
      </c>
      <c r="K108" s="124"/>
      <c r="L108" s="22"/>
      <c r="M108" s="22"/>
      <c r="N108" s="22"/>
      <c r="O108" s="22"/>
      <c r="P108" s="23"/>
      <c r="Q108" s="23"/>
      <c r="R108" s="23"/>
      <c r="S108" s="23"/>
      <c r="T108" s="23"/>
      <c r="U108" s="19" t="str">
        <f t="shared" si="12"/>
        <v/>
      </c>
      <c r="V108" s="128" t="str">
        <f t="shared" si="22"/>
        <v/>
      </c>
      <c r="X108" s="54"/>
      <c r="Y108" s="56"/>
      <c r="AA108" s="2"/>
      <c r="AB108" s="2" t="str">
        <f t="shared" si="16"/>
        <v/>
      </c>
      <c r="AC108" s="132" t="str">
        <f t="shared" si="17"/>
        <v/>
      </c>
    </row>
    <row r="109" spans="1:29" ht="15.75">
      <c r="A109" s="29" t="s">
        <v>250</v>
      </c>
      <c r="B109" s="3"/>
      <c r="C109" s="9"/>
      <c r="D109" s="3"/>
      <c r="E109" s="3"/>
      <c r="F109" s="10"/>
      <c r="G109" s="1"/>
      <c r="H109" s="27"/>
      <c r="I109" s="82" t="b">
        <v>0</v>
      </c>
      <c r="J109" s="116" t="str">
        <f t="shared" si="21"/>
        <v/>
      </c>
      <c r="K109" s="124"/>
      <c r="L109" s="22"/>
      <c r="M109" s="22"/>
      <c r="N109" s="22"/>
      <c r="O109" s="22"/>
      <c r="P109" s="23"/>
      <c r="Q109" s="23"/>
      <c r="R109" s="23"/>
      <c r="S109" s="23"/>
      <c r="T109" s="23"/>
      <c r="U109" s="19" t="str">
        <f t="shared" si="12"/>
        <v/>
      </c>
      <c r="V109" s="128" t="str">
        <f t="shared" si="22"/>
        <v/>
      </c>
      <c r="X109" s="54"/>
      <c r="Y109" s="56"/>
      <c r="AA109" s="2"/>
      <c r="AB109" s="2" t="str">
        <f t="shared" si="16"/>
        <v/>
      </c>
      <c r="AC109" s="132" t="str">
        <f t="shared" si="17"/>
        <v/>
      </c>
    </row>
    <row r="110" spans="1:29" ht="15.75">
      <c r="A110" s="29" t="s">
        <v>251</v>
      </c>
      <c r="B110" s="3"/>
      <c r="C110" s="9"/>
      <c r="D110" s="3"/>
      <c r="E110" s="3"/>
      <c r="F110" s="10"/>
      <c r="G110" s="1"/>
      <c r="H110" s="27"/>
      <c r="I110" s="82" t="b">
        <v>0</v>
      </c>
      <c r="J110" s="116" t="str">
        <f t="shared" si="21"/>
        <v/>
      </c>
      <c r="K110" s="124"/>
      <c r="L110" s="22"/>
      <c r="M110" s="22"/>
      <c r="N110" s="22"/>
      <c r="O110" s="22"/>
      <c r="P110" s="23"/>
      <c r="Q110" s="23"/>
      <c r="R110" s="23"/>
      <c r="S110" s="23"/>
      <c r="T110" s="23"/>
      <c r="U110" s="19" t="str">
        <f t="shared" si="12"/>
        <v/>
      </c>
      <c r="V110" s="128" t="str">
        <f t="shared" si="22"/>
        <v/>
      </c>
      <c r="X110" s="54"/>
      <c r="Y110" s="56"/>
      <c r="AA110" s="2"/>
      <c r="AB110" s="2" t="str">
        <f t="shared" si="16"/>
        <v/>
      </c>
      <c r="AC110" s="132" t="str">
        <f t="shared" si="17"/>
        <v/>
      </c>
    </row>
    <row r="111" spans="1:29" ht="15.75">
      <c r="A111" s="29" t="s">
        <v>253</v>
      </c>
      <c r="B111" s="3"/>
      <c r="C111" s="9"/>
      <c r="D111" s="3"/>
      <c r="E111" s="3"/>
      <c r="F111" s="10"/>
      <c r="G111" s="1"/>
      <c r="H111" s="27"/>
      <c r="I111" s="82" t="b">
        <v>0</v>
      </c>
      <c r="J111" s="116" t="str">
        <f t="shared" si="21"/>
        <v/>
      </c>
      <c r="K111" s="124"/>
      <c r="L111" s="22"/>
      <c r="M111" s="22"/>
      <c r="N111" s="22"/>
      <c r="O111" s="22"/>
      <c r="P111" s="23"/>
      <c r="Q111" s="23"/>
      <c r="R111" s="23"/>
      <c r="S111" s="23"/>
      <c r="T111" s="23"/>
      <c r="U111" s="19" t="str">
        <f t="shared" si="12"/>
        <v/>
      </c>
      <c r="V111" s="128" t="str">
        <f t="shared" si="22"/>
        <v/>
      </c>
      <c r="X111" s="54"/>
      <c r="Y111" s="56"/>
      <c r="AA111" s="2"/>
      <c r="AB111" s="2" t="str">
        <f t="shared" si="16"/>
        <v/>
      </c>
      <c r="AC111" s="132" t="str">
        <f t="shared" si="17"/>
        <v/>
      </c>
    </row>
    <row r="112" spans="1:29" ht="15.75">
      <c r="A112" s="29" t="s">
        <v>256</v>
      </c>
      <c r="B112" s="3"/>
      <c r="C112" s="9"/>
      <c r="D112" s="3"/>
      <c r="E112" s="3"/>
      <c r="F112" s="10"/>
      <c r="G112" s="1"/>
      <c r="H112" s="27"/>
      <c r="I112" s="82" t="b">
        <v>0</v>
      </c>
      <c r="J112" s="116" t="str">
        <f t="shared" si="21"/>
        <v/>
      </c>
      <c r="K112" s="124"/>
      <c r="L112" s="22"/>
      <c r="M112" s="22"/>
      <c r="N112" s="22"/>
      <c r="O112" s="22"/>
      <c r="P112" s="23"/>
      <c r="Q112" s="23"/>
      <c r="R112" s="23"/>
      <c r="S112" s="23"/>
      <c r="T112" s="23"/>
      <c r="U112" s="19" t="str">
        <f t="shared" si="12"/>
        <v/>
      </c>
      <c r="V112" s="128" t="str">
        <f t="shared" si="22"/>
        <v/>
      </c>
      <c r="X112" s="54"/>
      <c r="Y112" s="56"/>
      <c r="AA112" s="2"/>
      <c r="AB112" s="2" t="str">
        <f t="shared" si="16"/>
        <v/>
      </c>
      <c r="AC112" s="132" t="str">
        <f t="shared" si="17"/>
        <v/>
      </c>
    </row>
    <row r="113" spans="1:29" ht="15.75">
      <c r="A113" s="29" t="s">
        <v>257</v>
      </c>
      <c r="B113" s="3"/>
      <c r="C113" s="9"/>
      <c r="D113" s="3"/>
      <c r="E113" s="3"/>
      <c r="F113" s="10"/>
      <c r="G113" s="1"/>
      <c r="H113" s="27"/>
      <c r="I113" s="82" t="b">
        <v>0</v>
      </c>
      <c r="J113" s="116" t="str">
        <f t="shared" si="21"/>
        <v/>
      </c>
      <c r="K113" s="124"/>
      <c r="L113" s="22"/>
      <c r="M113" s="22"/>
      <c r="N113" s="22"/>
      <c r="O113" s="22"/>
      <c r="P113" s="23"/>
      <c r="Q113" s="23"/>
      <c r="R113" s="23"/>
      <c r="S113" s="23"/>
      <c r="T113" s="23"/>
      <c r="U113" s="19" t="str">
        <f t="shared" ref="U113:U146" si="23">IF(B113="","",K113+SUM(L113:Q113))</f>
        <v/>
      </c>
      <c r="V113" s="128" t="str">
        <f t="shared" si="22"/>
        <v/>
      </c>
      <c r="X113" s="54"/>
      <c r="Y113" s="56"/>
      <c r="AA113" s="2"/>
      <c r="AB113" s="2" t="str">
        <f t="shared" si="16"/>
        <v/>
      </c>
      <c r="AC113" s="132" t="str">
        <f t="shared" si="17"/>
        <v/>
      </c>
    </row>
    <row r="114" spans="1:29" ht="15.75">
      <c r="A114" s="29" t="s">
        <v>258</v>
      </c>
      <c r="B114" s="3"/>
      <c r="C114" s="9"/>
      <c r="D114" s="3"/>
      <c r="E114" s="3"/>
      <c r="F114" s="10"/>
      <c r="G114" s="1"/>
      <c r="H114" s="27"/>
      <c r="I114" s="82" t="b">
        <v>0</v>
      </c>
      <c r="J114" s="116" t="str">
        <f t="shared" si="21"/>
        <v/>
      </c>
      <c r="K114" s="124"/>
      <c r="L114" s="106"/>
      <c r="M114" s="22"/>
      <c r="N114" s="22"/>
      <c r="O114" s="22"/>
      <c r="P114" s="23"/>
      <c r="Q114" s="23"/>
      <c r="R114" s="23"/>
      <c r="S114" s="23"/>
      <c r="T114" s="23"/>
      <c r="U114" s="19" t="str">
        <f t="shared" si="23"/>
        <v/>
      </c>
      <c r="V114" s="128" t="str">
        <f t="shared" si="22"/>
        <v/>
      </c>
      <c r="X114" s="54"/>
      <c r="Y114" s="56"/>
      <c r="AA114" s="2"/>
      <c r="AB114" s="2" t="str">
        <f t="shared" si="16"/>
        <v/>
      </c>
      <c r="AC114" s="132" t="str">
        <f t="shared" si="17"/>
        <v/>
      </c>
    </row>
    <row r="115" spans="1:29" ht="15.75">
      <c r="A115" s="29" t="s">
        <v>259</v>
      </c>
      <c r="B115" s="3"/>
      <c r="C115" s="9"/>
      <c r="D115" s="3"/>
      <c r="E115" s="3"/>
      <c r="F115" s="10"/>
      <c r="G115" s="1"/>
      <c r="H115" s="27"/>
      <c r="I115" s="82" t="b">
        <v>0</v>
      </c>
      <c r="J115" s="116" t="str">
        <f t="shared" si="21"/>
        <v/>
      </c>
      <c r="K115" s="124"/>
      <c r="L115" s="22"/>
      <c r="M115" s="22"/>
      <c r="N115" s="22"/>
      <c r="O115" s="22"/>
      <c r="P115" s="23"/>
      <c r="Q115" s="23"/>
      <c r="R115" s="23"/>
      <c r="S115" s="23"/>
      <c r="T115" s="23"/>
      <c r="U115" s="19" t="str">
        <f t="shared" si="23"/>
        <v/>
      </c>
      <c r="V115" s="128" t="str">
        <f t="shared" si="22"/>
        <v/>
      </c>
      <c r="X115" s="80"/>
      <c r="Y115" s="72"/>
      <c r="AA115" s="2"/>
      <c r="AB115" s="2" t="str">
        <f t="shared" si="16"/>
        <v/>
      </c>
      <c r="AC115" s="132" t="str">
        <f t="shared" si="17"/>
        <v/>
      </c>
    </row>
    <row r="116" spans="1:29" ht="15.75">
      <c r="A116" s="29" t="s">
        <v>261</v>
      </c>
      <c r="B116" s="3"/>
      <c r="C116" s="3"/>
      <c r="D116" s="3"/>
      <c r="E116" s="3"/>
      <c r="F116" s="3"/>
      <c r="G116" s="3"/>
      <c r="H116" s="28"/>
      <c r="I116" s="82" t="b">
        <v>0</v>
      </c>
      <c r="J116" s="116" t="str">
        <f t="shared" si="21"/>
        <v/>
      </c>
      <c r="K116" s="124"/>
      <c r="L116" s="22"/>
      <c r="M116" s="22"/>
      <c r="N116" s="22"/>
      <c r="O116" s="22"/>
      <c r="P116" s="23"/>
      <c r="Q116" s="23"/>
      <c r="R116" s="23"/>
      <c r="S116" s="23"/>
      <c r="T116" s="23"/>
      <c r="U116" s="19" t="str">
        <f t="shared" si="23"/>
        <v/>
      </c>
      <c r="V116" s="128" t="str">
        <f t="shared" si="22"/>
        <v/>
      </c>
      <c r="X116" s="54"/>
      <c r="Y116" s="56"/>
      <c r="AA116" s="2"/>
      <c r="AB116" s="2" t="str">
        <f t="shared" si="16"/>
        <v/>
      </c>
      <c r="AC116" s="132" t="str">
        <f t="shared" si="17"/>
        <v/>
      </c>
    </row>
    <row r="117" spans="1:29" ht="15.75">
      <c r="A117" s="29" t="s">
        <v>262</v>
      </c>
      <c r="B117" s="3"/>
      <c r="C117" s="3"/>
      <c r="D117" s="3"/>
      <c r="E117" s="3"/>
      <c r="F117" s="3"/>
      <c r="G117" s="3"/>
      <c r="H117" s="28"/>
      <c r="I117" s="82" t="b">
        <v>0</v>
      </c>
      <c r="J117" s="116" t="str">
        <f t="shared" si="21"/>
        <v/>
      </c>
      <c r="K117" s="124"/>
      <c r="L117" s="22"/>
      <c r="M117" s="22"/>
      <c r="N117" s="22"/>
      <c r="O117" s="22"/>
      <c r="P117" s="23"/>
      <c r="Q117" s="23"/>
      <c r="R117" s="23"/>
      <c r="S117" s="23"/>
      <c r="T117" s="23"/>
      <c r="U117" s="19" t="str">
        <f t="shared" si="23"/>
        <v/>
      </c>
      <c r="V117" s="128" t="str">
        <f t="shared" si="22"/>
        <v/>
      </c>
      <c r="X117" s="54"/>
      <c r="Y117" s="56"/>
      <c r="AA117" s="2"/>
      <c r="AB117" s="2" t="str">
        <f t="shared" si="16"/>
        <v/>
      </c>
      <c r="AC117" s="132" t="str">
        <f t="shared" si="17"/>
        <v/>
      </c>
    </row>
    <row r="118" spans="1:29" ht="15.75">
      <c r="A118" s="29" t="s">
        <v>264</v>
      </c>
      <c r="B118" s="3"/>
      <c r="C118" s="3"/>
      <c r="D118" s="3"/>
      <c r="E118" s="3"/>
      <c r="F118" s="3"/>
      <c r="G118" s="3"/>
      <c r="H118" s="28"/>
      <c r="I118" s="82" t="b">
        <v>0</v>
      </c>
      <c r="J118" s="116" t="str">
        <f t="shared" si="21"/>
        <v/>
      </c>
      <c r="K118" s="124"/>
      <c r="L118" s="22"/>
      <c r="M118" s="22"/>
      <c r="N118" s="22"/>
      <c r="O118" s="22"/>
      <c r="P118" s="23"/>
      <c r="Q118" s="23"/>
      <c r="R118" s="23"/>
      <c r="S118" s="23"/>
      <c r="T118" s="23"/>
      <c r="U118" s="19" t="str">
        <f t="shared" si="23"/>
        <v/>
      </c>
      <c r="V118" s="128" t="str">
        <f t="shared" si="22"/>
        <v/>
      </c>
      <c r="X118" s="54"/>
      <c r="Y118" s="56"/>
      <c r="AA118" s="2"/>
      <c r="AB118" s="2" t="str">
        <f t="shared" si="16"/>
        <v/>
      </c>
      <c r="AC118" s="132" t="str">
        <f t="shared" si="17"/>
        <v/>
      </c>
    </row>
    <row r="119" spans="1:29" ht="15.75">
      <c r="A119" s="29" t="s">
        <v>265</v>
      </c>
      <c r="B119" s="3"/>
      <c r="C119" s="3"/>
      <c r="D119" s="3"/>
      <c r="E119" s="3"/>
      <c r="F119" s="3"/>
      <c r="G119" s="3"/>
      <c r="H119" s="28"/>
      <c r="I119" s="82" t="b">
        <v>0</v>
      </c>
      <c r="J119" s="116" t="str">
        <f t="shared" si="21"/>
        <v/>
      </c>
      <c r="K119" s="124"/>
      <c r="L119" s="22"/>
      <c r="M119" s="22"/>
      <c r="N119" s="22"/>
      <c r="O119" s="22"/>
      <c r="P119" s="23"/>
      <c r="Q119" s="23"/>
      <c r="R119" s="23"/>
      <c r="S119" s="23"/>
      <c r="T119" s="23"/>
      <c r="U119" s="19" t="str">
        <f t="shared" si="23"/>
        <v/>
      </c>
      <c r="V119" s="128" t="str">
        <f t="shared" si="22"/>
        <v/>
      </c>
      <c r="X119" s="54"/>
      <c r="Y119" s="56"/>
      <c r="AA119" s="2"/>
      <c r="AB119" s="2" t="str">
        <f t="shared" si="16"/>
        <v/>
      </c>
      <c r="AC119" s="132" t="str">
        <f t="shared" si="17"/>
        <v/>
      </c>
    </row>
    <row r="120" spans="1:29" ht="15.75">
      <c r="A120" s="29" t="s">
        <v>268</v>
      </c>
      <c r="B120" s="3"/>
      <c r="C120" s="3"/>
      <c r="D120" s="3"/>
      <c r="E120" s="3"/>
      <c r="F120" s="3"/>
      <c r="G120" s="3"/>
      <c r="H120" s="28"/>
      <c r="I120" s="82" t="b">
        <v>0</v>
      </c>
      <c r="J120" s="116" t="str">
        <f t="shared" si="21"/>
        <v/>
      </c>
      <c r="K120" s="124"/>
      <c r="L120" s="22"/>
      <c r="M120" s="22"/>
      <c r="N120" s="22"/>
      <c r="O120" s="22"/>
      <c r="P120" s="23"/>
      <c r="Q120" s="23"/>
      <c r="R120" s="23"/>
      <c r="S120" s="23"/>
      <c r="T120" s="23"/>
      <c r="U120" s="19" t="str">
        <f t="shared" si="23"/>
        <v/>
      </c>
      <c r="V120" s="128" t="str">
        <f t="shared" si="22"/>
        <v/>
      </c>
      <c r="X120" s="54"/>
      <c r="Y120" s="56"/>
      <c r="AA120" s="2"/>
      <c r="AB120" s="2" t="str">
        <f t="shared" si="16"/>
        <v/>
      </c>
      <c r="AC120" s="132" t="str">
        <f t="shared" si="17"/>
        <v/>
      </c>
    </row>
    <row r="121" spans="1:29" ht="15.75">
      <c r="A121" s="29" t="s">
        <v>270</v>
      </c>
      <c r="B121" s="3"/>
      <c r="C121" s="9"/>
      <c r="D121" s="3"/>
      <c r="E121" s="3"/>
      <c r="F121" s="10"/>
      <c r="G121" s="1"/>
      <c r="H121" s="27"/>
      <c r="I121" s="82" t="b">
        <v>0</v>
      </c>
      <c r="J121" s="116" t="str">
        <f t="shared" si="21"/>
        <v/>
      </c>
      <c r="K121" s="124"/>
      <c r="L121" s="22"/>
      <c r="M121" s="22"/>
      <c r="N121" s="22"/>
      <c r="O121" s="22"/>
      <c r="P121" s="23"/>
      <c r="Q121" s="23"/>
      <c r="R121" s="23"/>
      <c r="S121" s="23"/>
      <c r="T121" s="23"/>
      <c r="U121" s="19" t="str">
        <f t="shared" si="23"/>
        <v/>
      </c>
      <c r="V121" s="128" t="str">
        <f t="shared" si="22"/>
        <v/>
      </c>
      <c r="X121" s="54"/>
      <c r="Y121" s="56"/>
      <c r="AA121" s="2"/>
      <c r="AB121" s="2" t="str">
        <f t="shared" si="16"/>
        <v/>
      </c>
      <c r="AC121" s="132" t="str">
        <f t="shared" si="17"/>
        <v/>
      </c>
    </row>
    <row r="122" spans="1:29" ht="15.75">
      <c r="A122" s="29" t="s">
        <v>271</v>
      </c>
      <c r="B122" s="3"/>
      <c r="C122" s="9"/>
      <c r="D122" s="3"/>
      <c r="E122" s="3"/>
      <c r="F122" s="10"/>
      <c r="G122" s="1"/>
      <c r="H122" s="27"/>
      <c r="I122" s="82" t="b">
        <v>0</v>
      </c>
      <c r="J122" s="116" t="str">
        <f t="shared" si="21"/>
        <v/>
      </c>
      <c r="K122" s="124"/>
      <c r="L122" s="22"/>
      <c r="M122" s="22"/>
      <c r="N122" s="22"/>
      <c r="O122" s="22"/>
      <c r="P122" s="23"/>
      <c r="Q122" s="23"/>
      <c r="R122" s="23"/>
      <c r="S122" s="23"/>
      <c r="T122" s="23"/>
      <c r="U122" s="19" t="str">
        <f t="shared" si="23"/>
        <v/>
      </c>
      <c r="V122" s="128" t="str">
        <f t="shared" si="22"/>
        <v/>
      </c>
      <c r="X122" s="54"/>
      <c r="Y122" s="56"/>
      <c r="AA122" s="2"/>
      <c r="AB122" s="2" t="str">
        <f t="shared" si="16"/>
        <v/>
      </c>
      <c r="AC122" s="132" t="str">
        <f t="shared" si="17"/>
        <v/>
      </c>
    </row>
    <row r="123" spans="1:29" ht="15.75">
      <c r="A123" s="29" t="s">
        <v>272</v>
      </c>
      <c r="B123" s="3"/>
      <c r="C123" s="9"/>
      <c r="D123" s="3"/>
      <c r="E123" s="3"/>
      <c r="F123" s="10"/>
      <c r="G123" s="1"/>
      <c r="H123" s="27"/>
      <c r="I123" s="82" t="b">
        <v>0</v>
      </c>
      <c r="J123" s="116" t="str">
        <f t="shared" si="21"/>
        <v/>
      </c>
      <c r="K123" s="124"/>
      <c r="L123" s="22"/>
      <c r="M123" s="22"/>
      <c r="N123" s="22"/>
      <c r="O123" s="22"/>
      <c r="P123" s="23"/>
      <c r="Q123" s="23"/>
      <c r="R123" s="23"/>
      <c r="S123" s="23"/>
      <c r="T123" s="23"/>
      <c r="U123" s="19" t="str">
        <f t="shared" si="23"/>
        <v/>
      </c>
      <c r="V123" s="128" t="str">
        <f t="shared" si="22"/>
        <v/>
      </c>
      <c r="X123" s="54"/>
      <c r="Y123" s="56"/>
      <c r="AA123" s="2"/>
      <c r="AB123" s="2" t="str">
        <f t="shared" si="16"/>
        <v/>
      </c>
      <c r="AC123" s="132" t="str">
        <f t="shared" si="17"/>
        <v/>
      </c>
    </row>
    <row r="124" spans="1:29" ht="15.75">
      <c r="A124" s="29" t="s">
        <v>273</v>
      </c>
      <c r="B124" s="3"/>
      <c r="C124" s="3"/>
      <c r="D124" s="3"/>
      <c r="E124" s="3"/>
      <c r="F124" s="3"/>
      <c r="G124" s="3"/>
      <c r="H124" s="28"/>
      <c r="I124" s="82" t="b">
        <v>0</v>
      </c>
      <c r="J124" s="116" t="str">
        <f t="shared" si="21"/>
        <v/>
      </c>
      <c r="K124" s="124"/>
      <c r="L124" s="22"/>
      <c r="M124" s="22"/>
      <c r="N124" s="22"/>
      <c r="O124" s="22"/>
      <c r="P124" s="23"/>
      <c r="Q124" s="23"/>
      <c r="R124" s="23"/>
      <c r="S124" s="23"/>
      <c r="T124" s="23"/>
      <c r="U124" s="19" t="str">
        <f t="shared" si="23"/>
        <v/>
      </c>
      <c r="V124" s="128" t="str">
        <f t="shared" si="22"/>
        <v/>
      </c>
      <c r="X124" s="54"/>
      <c r="Y124" s="56"/>
      <c r="AA124" s="2"/>
      <c r="AB124" s="2" t="str">
        <f t="shared" si="16"/>
        <v/>
      </c>
      <c r="AC124" s="132" t="str">
        <f t="shared" si="17"/>
        <v/>
      </c>
    </row>
    <row r="125" spans="1:29" ht="15.75">
      <c r="A125" s="29" t="s">
        <v>274</v>
      </c>
      <c r="B125" s="3"/>
      <c r="C125" s="3"/>
      <c r="D125" s="13"/>
      <c r="E125" s="3"/>
      <c r="F125" s="3"/>
      <c r="G125" s="65"/>
      <c r="H125" s="53"/>
      <c r="I125" s="82" t="b">
        <v>0</v>
      </c>
      <c r="J125" s="116" t="str">
        <f t="shared" si="21"/>
        <v/>
      </c>
      <c r="K125" s="124"/>
      <c r="L125" s="22"/>
      <c r="M125" s="22"/>
      <c r="N125" s="22"/>
      <c r="O125" s="22"/>
      <c r="P125" s="23"/>
      <c r="Q125" s="23"/>
      <c r="R125" s="23"/>
      <c r="S125" s="23"/>
      <c r="T125" s="23"/>
      <c r="U125" s="19" t="str">
        <f t="shared" si="23"/>
        <v/>
      </c>
      <c r="V125" s="128" t="str">
        <f t="shared" si="22"/>
        <v/>
      </c>
      <c r="X125" s="54"/>
      <c r="Y125" s="56"/>
      <c r="AA125" s="2"/>
      <c r="AB125" s="2" t="str">
        <f t="shared" si="16"/>
        <v/>
      </c>
      <c r="AC125" s="132" t="str">
        <f t="shared" si="17"/>
        <v/>
      </c>
    </row>
    <row r="126" spans="1:29" ht="15.75">
      <c r="A126" s="29" t="s">
        <v>275</v>
      </c>
      <c r="B126" s="3"/>
      <c r="C126" s="3"/>
      <c r="D126" s="13"/>
      <c r="E126" s="3"/>
      <c r="F126" s="3"/>
      <c r="G126" s="65"/>
      <c r="H126" s="53"/>
      <c r="I126" s="82" t="b">
        <v>0</v>
      </c>
      <c r="J126" s="116" t="str">
        <f t="shared" si="21"/>
        <v/>
      </c>
      <c r="K126" s="124"/>
      <c r="L126" s="22"/>
      <c r="M126" s="22"/>
      <c r="N126" s="22"/>
      <c r="O126" s="22"/>
      <c r="P126" s="23"/>
      <c r="Q126" s="23"/>
      <c r="R126" s="23"/>
      <c r="S126" s="23"/>
      <c r="T126" s="23"/>
      <c r="U126" s="19" t="str">
        <f t="shared" si="23"/>
        <v/>
      </c>
      <c r="V126" s="128" t="str">
        <f t="shared" si="22"/>
        <v/>
      </c>
      <c r="X126" s="54"/>
      <c r="Y126" s="56"/>
      <c r="AA126" s="2"/>
      <c r="AB126" s="2" t="str">
        <f t="shared" si="16"/>
        <v/>
      </c>
      <c r="AC126" s="132" t="str">
        <f t="shared" si="17"/>
        <v/>
      </c>
    </row>
    <row r="127" spans="1:29" ht="15.75">
      <c r="A127" s="29" t="s">
        <v>276</v>
      </c>
      <c r="B127" s="3"/>
      <c r="C127" s="9"/>
      <c r="D127" s="13"/>
      <c r="E127" s="3"/>
      <c r="F127" s="10"/>
      <c r="G127" s="1"/>
      <c r="H127" s="27"/>
      <c r="I127" s="82" t="b">
        <v>0</v>
      </c>
      <c r="J127" s="116" t="str">
        <f t="shared" si="21"/>
        <v/>
      </c>
      <c r="K127" s="124"/>
      <c r="L127" s="22"/>
      <c r="M127" s="22"/>
      <c r="N127" s="22"/>
      <c r="O127" s="22"/>
      <c r="P127" s="23"/>
      <c r="Q127" s="23"/>
      <c r="R127" s="23"/>
      <c r="S127" s="23"/>
      <c r="T127" s="23"/>
      <c r="U127" s="19" t="str">
        <f t="shared" si="23"/>
        <v/>
      </c>
      <c r="V127" s="128" t="str">
        <f t="shared" si="22"/>
        <v/>
      </c>
      <c r="X127" s="54"/>
      <c r="Y127" s="56"/>
      <c r="AA127" s="2"/>
      <c r="AB127" s="2" t="str">
        <f t="shared" si="16"/>
        <v/>
      </c>
      <c r="AC127" s="132" t="str">
        <f t="shared" si="17"/>
        <v/>
      </c>
    </row>
    <row r="128" spans="1:29" ht="15.75">
      <c r="A128" s="29" t="s">
        <v>279</v>
      </c>
      <c r="B128" s="3"/>
      <c r="C128" s="9"/>
      <c r="D128" s="13"/>
      <c r="E128" s="3"/>
      <c r="F128" s="10"/>
      <c r="G128" s="1"/>
      <c r="H128" s="27"/>
      <c r="I128" s="82" t="b">
        <v>0</v>
      </c>
      <c r="J128" s="116" t="str">
        <f t="shared" si="21"/>
        <v/>
      </c>
      <c r="K128" s="124"/>
      <c r="L128" s="22"/>
      <c r="M128" s="22"/>
      <c r="N128" s="22"/>
      <c r="O128" s="22"/>
      <c r="P128" s="23"/>
      <c r="Q128" s="23"/>
      <c r="R128" s="23"/>
      <c r="S128" s="23"/>
      <c r="T128" s="23"/>
      <c r="U128" s="19" t="str">
        <f t="shared" si="23"/>
        <v/>
      </c>
      <c r="V128" s="128" t="str">
        <f t="shared" si="22"/>
        <v/>
      </c>
      <c r="X128" s="54"/>
      <c r="Y128" s="56"/>
      <c r="AA128" s="2"/>
      <c r="AB128" s="2" t="str">
        <f t="shared" si="16"/>
        <v/>
      </c>
      <c r="AC128" s="132" t="str">
        <f t="shared" si="17"/>
        <v/>
      </c>
    </row>
    <row r="129" spans="1:29" ht="15.75">
      <c r="A129" s="29" t="s">
        <v>281</v>
      </c>
      <c r="B129" s="3"/>
      <c r="C129" s="9"/>
      <c r="D129" s="3"/>
      <c r="E129" s="3"/>
      <c r="F129" s="10"/>
      <c r="G129" s="1"/>
      <c r="H129" s="27"/>
      <c r="I129" s="82" t="b">
        <v>0</v>
      </c>
      <c r="J129" s="116" t="str">
        <f t="shared" si="21"/>
        <v/>
      </c>
      <c r="K129" s="124"/>
      <c r="L129" s="22"/>
      <c r="M129" s="22"/>
      <c r="N129" s="22"/>
      <c r="O129" s="22"/>
      <c r="P129" s="23"/>
      <c r="Q129" s="23"/>
      <c r="R129" s="23"/>
      <c r="S129" s="23"/>
      <c r="T129" s="23"/>
      <c r="U129" s="19" t="str">
        <f t="shared" si="23"/>
        <v/>
      </c>
      <c r="V129" s="128" t="str">
        <f t="shared" si="22"/>
        <v/>
      </c>
      <c r="X129" s="54"/>
      <c r="Y129" s="56"/>
      <c r="AA129" s="2"/>
      <c r="AB129" s="2" t="str">
        <f t="shared" si="16"/>
        <v/>
      </c>
      <c r="AC129" s="132" t="str">
        <f t="shared" si="17"/>
        <v/>
      </c>
    </row>
    <row r="130" spans="1:29" ht="15.75">
      <c r="A130" s="29" t="s">
        <v>282</v>
      </c>
      <c r="B130" s="3"/>
      <c r="C130" s="9"/>
      <c r="D130" s="3"/>
      <c r="E130" s="3"/>
      <c r="F130" s="10"/>
      <c r="G130" s="14"/>
      <c r="H130" s="81"/>
      <c r="I130" s="82" t="b">
        <v>0</v>
      </c>
      <c r="J130" s="116" t="str">
        <f t="shared" si="21"/>
        <v/>
      </c>
      <c r="K130" s="124"/>
      <c r="L130" s="22"/>
      <c r="M130" s="22"/>
      <c r="N130" s="22"/>
      <c r="O130" s="22"/>
      <c r="P130" s="23"/>
      <c r="Q130" s="23"/>
      <c r="R130" s="23"/>
      <c r="S130" s="23"/>
      <c r="T130" s="23"/>
      <c r="U130" s="19" t="str">
        <f t="shared" si="23"/>
        <v/>
      </c>
      <c r="V130" s="128" t="str">
        <f t="shared" si="22"/>
        <v/>
      </c>
      <c r="X130" s="54"/>
      <c r="Y130" s="56"/>
      <c r="AA130" s="2"/>
      <c r="AB130" s="2" t="str">
        <f t="shared" si="16"/>
        <v/>
      </c>
      <c r="AC130" s="132" t="str">
        <f t="shared" si="17"/>
        <v/>
      </c>
    </row>
    <row r="131" spans="1:29" ht="15.75">
      <c r="A131" s="29" t="s">
        <v>283</v>
      </c>
      <c r="B131" s="3"/>
      <c r="C131" s="3"/>
      <c r="D131" s="13"/>
      <c r="E131" s="3"/>
      <c r="F131" s="3"/>
      <c r="G131" s="3"/>
      <c r="H131" s="28"/>
      <c r="I131" s="82" t="b">
        <v>0</v>
      </c>
      <c r="J131" s="116" t="str">
        <f t="shared" si="21"/>
        <v/>
      </c>
      <c r="K131" s="124"/>
      <c r="L131" s="106"/>
      <c r="M131" s="22"/>
      <c r="N131" s="22"/>
      <c r="O131" s="22"/>
      <c r="P131" s="23"/>
      <c r="Q131" s="23"/>
      <c r="R131" s="23"/>
      <c r="S131" s="23"/>
      <c r="T131" s="23"/>
      <c r="U131" s="19" t="str">
        <f t="shared" si="23"/>
        <v/>
      </c>
      <c r="V131" s="128" t="str">
        <f t="shared" si="22"/>
        <v/>
      </c>
      <c r="X131" s="54"/>
      <c r="Y131" s="56"/>
      <c r="AA131" s="2"/>
      <c r="AB131" s="2" t="str">
        <f t="shared" si="16"/>
        <v/>
      </c>
      <c r="AC131" s="132" t="str">
        <f t="shared" si="17"/>
        <v/>
      </c>
    </row>
    <row r="132" spans="1:29" ht="15.75">
      <c r="A132" s="29" t="s">
        <v>284</v>
      </c>
      <c r="B132" s="3"/>
      <c r="C132" s="9"/>
      <c r="D132" s="13"/>
      <c r="E132" s="3"/>
      <c r="F132" s="10"/>
      <c r="G132" s="1"/>
      <c r="H132" s="27"/>
      <c r="I132" s="82" t="b">
        <v>0</v>
      </c>
      <c r="J132" s="116" t="str">
        <f t="shared" si="21"/>
        <v/>
      </c>
      <c r="K132" s="124"/>
      <c r="L132" s="22"/>
      <c r="M132" s="22"/>
      <c r="N132" s="22"/>
      <c r="O132" s="22"/>
      <c r="P132" s="23"/>
      <c r="Q132" s="23"/>
      <c r="R132" s="23"/>
      <c r="S132" s="23"/>
      <c r="T132" s="23"/>
      <c r="U132" s="19" t="str">
        <f t="shared" si="23"/>
        <v/>
      </c>
      <c r="V132" s="128" t="str">
        <f t="shared" si="22"/>
        <v/>
      </c>
      <c r="X132" s="54"/>
      <c r="Y132" s="56"/>
      <c r="AA132" s="2"/>
      <c r="AB132" s="2" t="str">
        <f t="shared" ref="AB132:AB146" si="24">IF(AA132="","",AA132*(H132/G132))</f>
        <v/>
      </c>
      <c r="AC132" s="132" t="str">
        <f t="shared" ref="AC132:AC146" si="25">IF(AB132="","",AB132*V132)</f>
        <v/>
      </c>
    </row>
    <row r="133" spans="1:29" ht="15.75">
      <c r="A133" s="29" t="s">
        <v>286</v>
      </c>
      <c r="B133" s="3"/>
      <c r="C133" s="3"/>
      <c r="D133" s="13"/>
      <c r="E133" s="3"/>
      <c r="F133" s="3"/>
      <c r="G133" s="3"/>
      <c r="H133" s="28"/>
      <c r="I133" s="82" t="b">
        <v>0</v>
      </c>
      <c r="J133" s="116" t="str">
        <f t="shared" si="21"/>
        <v/>
      </c>
      <c r="K133" s="124"/>
      <c r="L133" s="22"/>
      <c r="M133" s="22"/>
      <c r="N133" s="22"/>
      <c r="O133" s="22"/>
      <c r="P133" s="23"/>
      <c r="Q133" s="23"/>
      <c r="R133" s="23"/>
      <c r="S133" s="23"/>
      <c r="T133" s="23"/>
      <c r="U133" s="19" t="str">
        <f t="shared" si="23"/>
        <v/>
      </c>
      <c r="V133" s="128" t="str">
        <f t="shared" si="22"/>
        <v/>
      </c>
      <c r="X133" s="54"/>
      <c r="Y133" s="56"/>
      <c r="AA133" s="2"/>
      <c r="AB133" s="2" t="str">
        <f t="shared" si="24"/>
        <v/>
      </c>
      <c r="AC133" s="132" t="str">
        <f t="shared" si="25"/>
        <v/>
      </c>
    </row>
    <row r="134" spans="1:29" ht="15.75">
      <c r="A134" s="29" t="s">
        <v>287</v>
      </c>
      <c r="B134" s="3"/>
      <c r="C134" s="3"/>
      <c r="D134" s="3"/>
      <c r="E134" s="3"/>
      <c r="F134" s="3"/>
      <c r="G134" s="3"/>
      <c r="H134" s="28"/>
      <c r="I134" s="82" t="b">
        <v>0</v>
      </c>
      <c r="J134" s="116" t="str">
        <f t="shared" si="21"/>
        <v/>
      </c>
      <c r="K134" s="124"/>
      <c r="L134" s="106"/>
      <c r="M134" s="22"/>
      <c r="N134" s="22"/>
      <c r="O134" s="22"/>
      <c r="P134" s="23"/>
      <c r="Q134" s="23"/>
      <c r="R134" s="23"/>
      <c r="S134" s="23"/>
      <c r="T134" s="23"/>
      <c r="U134" s="19" t="str">
        <f t="shared" si="23"/>
        <v/>
      </c>
      <c r="V134" s="128" t="str">
        <f t="shared" si="22"/>
        <v/>
      </c>
      <c r="X134" s="54"/>
      <c r="Y134" s="56"/>
      <c r="AA134" s="2"/>
      <c r="AB134" s="2" t="str">
        <f t="shared" si="24"/>
        <v/>
      </c>
      <c r="AC134" s="132" t="str">
        <f t="shared" si="25"/>
        <v/>
      </c>
    </row>
    <row r="135" spans="1:29" ht="15.75">
      <c r="A135" s="29" t="s">
        <v>290</v>
      </c>
      <c r="B135" s="3"/>
      <c r="C135" s="9"/>
      <c r="D135" s="3"/>
      <c r="E135" s="3"/>
      <c r="F135" s="10"/>
      <c r="G135" s="1"/>
      <c r="H135" s="27"/>
      <c r="I135" s="82" t="b">
        <v>0</v>
      </c>
      <c r="J135" s="116" t="str">
        <f t="shared" si="21"/>
        <v/>
      </c>
      <c r="K135" s="124"/>
      <c r="L135" s="22"/>
      <c r="M135" s="22"/>
      <c r="N135" s="22"/>
      <c r="O135" s="22"/>
      <c r="P135" s="23"/>
      <c r="Q135" s="23"/>
      <c r="R135" s="23"/>
      <c r="S135" s="23"/>
      <c r="T135" s="23"/>
      <c r="U135" s="19" t="str">
        <f t="shared" si="23"/>
        <v/>
      </c>
      <c r="V135" s="128" t="str">
        <f t="shared" si="22"/>
        <v/>
      </c>
      <c r="X135" s="54"/>
      <c r="Y135" s="56"/>
      <c r="AA135" s="2"/>
      <c r="AB135" s="2" t="str">
        <f t="shared" si="24"/>
        <v/>
      </c>
      <c r="AC135" s="132" t="str">
        <f t="shared" si="25"/>
        <v/>
      </c>
    </row>
    <row r="136" spans="1:29" ht="15.75">
      <c r="A136" s="29" t="s">
        <v>291</v>
      </c>
      <c r="B136" s="3"/>
      <c r="C136" s="9"/>
      <c r="D136" s="3"/>
      <c r="E136" s="3"/>
      <c r="F136" s="10"/>
      <c r="G136" s="1"/>
      <c r="H136" s="27"/>
      <c r="I136" s="82" t="b">
        <v>0</v>
      </c>
      <c r="J136" s="116" t="str">
        <f t="shared" si="21"/>
        <v/>
      </c>
      <c r="K136" s="124"/>
      <c r="L136" s="22"/>
      <c r="M136" s="22"/>
      <c r="N136" s="22"/>
      <c r="O136" s="22"/>
      <c r="P136" s="23"/>
      <c r="Q136" s="23"/>
      <c r="R136" s="23"/>
      <c r="S136" s="23"/>
      <c r="T136" s="23"/>
      <c r="U136" s="19" t="str">
        <f t="shared" si="23"/>
        <v/>
      </c>
      <c r="V136" s="128" t="str">
        <f t="shared" si="22"/>
        <v/>
      </c>
      <c r="X136" s="54"/>
      <c r="Y136" s="56"/>
      <c r="AA136" s="2"/>
      <c r="AB136" s="2" t="str">
        <f t="shared" si="24"/>
        <v/>
      </c>
      <c r="AC136" s="132" t="str">
        <f t="shared" si="25"/>
        <v/>
      </c>
    </row>
    <row r="137" spans="1:29" ht="15.75">
      <c r="A137" s="29" t="s">
        <v>293</v>
      </c>
      <c r="B137" s="3"/>
      <c r="C137" s="3"/>
      <c r="D137" s="3"/>
      <c r="E137" s="3"/>
      <c r="F137" s="3"/>
      <c r="G137" s="3"/>
      <c r="H137" s="28"/>
      <c r="I137" s="82" t="b">
        <v>0</v>
      </c>
      <c r="J137" s="116" t="str">
        <f t="shared" si="21"/>
        <v/>
      </c>
      <c r="K137" s="124"/>
      <c r="L137" s="22"/>
      <c r="M137" s="22"/>
      <c r="N137" s="22"/>
      <c r="O137" s="22"/>
      <c r="P137" s="23"/>
      <c r="Q137" s="23"/>
      <c r="R137" s="23"/>
      <c r="S137" s="23"/>
      <c r="T137" s="23"/>
      <c r="U137" s="19" t="str">
        <f t="shared" si="23"/>
        <v/>
      </c>
      <c r="V137" s="128" t="str">
        <f t="shared" si="22"/>
        <v/>
      </c>
      <c r="X137" s="54"/>
      <c r="Y137" s="56"/>
      <c r="AA137" s="2"/>
      <c r="AB137" s="2" t="str">
        <f t="shared" si="24"/>
        <v/>
      </c>
      <c r="AC137" s="132" t="str">
        <f t="shared" si="25"/>
        <v/>
      </c>
    </row>
    <row r="138" spans="1:29" ht="15.75">
      <c r="A138" s="29" t="s">
        <v>294</v>
      </c>
      <c r="B138" s="3"/>
      <c r="C138" s="3"/>
      <c r="D138" s="3"/>
      <c r="E138" s="3"/>
      <c r="F138" s="3"/>
      <c r="G138" s="3"/>
      <c r="H138" s="28"/>
      <c r="I138" s="82" t="b">
        <v>0</v>
      </c>
      <c r="J138" s="116" t="str">
        <f t="shared" si="21"/>
        <v/>
      </c>
      <c r="K138" s="124"/>
      <c r="L138" s="22"/>
      <c r="M138" s="22"/>
      <c r="N138" s="22"/>
      <c r="O138" s="22"/>
      <c r="P138" s="23"/>
      <c r="Q138" s="23"/>
      <c r="R138" s="23"/>
      <c r="S138" s="23"/>
      <c r="T138" s="23"/>
      <c r="U138" s="19" t="str">
        <f t="shared" si="23"/>
        <v/>
      </c>
      <c r="V138" s="128" t="str">
        <f t="shared" si="22"/>
        <v/>
      </c>
      <c r="X138" s="54"/>
      <c r="Y138" s="56"/>
      <c r="AA138" s="2"/>
      <c r="AB138" s="2" t="str">
        <f t="shared" si="24"/>
        <v/>
      </c>
      <c r="AC138" s="132" t="str">
        <f t="shared" si="25"/>
        <v/>
      </c>
    </row>
    <row r="139" spans="1:29" ht="15.75">
      <c r="A139" s="29" t="s">
        <v>295</v>
      </c>
      <c r="B139" s="3"/>
      <c r="C139" s="3"/>
      <c r="D139" s="3"/>
      <c r="E139" s="3"/>
      <c r="F139" s="3"/>
      <c r="G139" s="3"/>
      <c r="H139" s="28"/>
      <c r="I139" s="82" t="b">
        <v>0</v>
      </c>
      <c r="J139" s="116" t="str">
        <f t="shared" si="21"/>
        <v/>
      </c>
      <c r="K139" s="124"/>
      <c r="L139" s="22"/>
      <c r="M139" s="22"/>
      <c r="N139" s="22"/>
      <c r="O139" s="22"/>
      <c r="P139" s="23"/>
      <c r="Q139" s="23"/>
      <c r="R139" s="23"/>
      <c r="S139" s="23"/>
      <c r="T139" s="23"/>
      <c r="U139" s="19" t="str">
        <f t="shared" si="23"/>
        <v/>
      </c>
      <c r="V139" s="128" t="str">
        <f t="shared" si="22"/>
        <v/>
      </c>
      <c r="X139" s="54"/>
      <c r="Y139" s="56"/>
      <c r="AA139" s="2"/>
      <c r="AB139" s="2" t="str">
        <f t="shared" si="24"/>
        <v/>
      </c>
      <c r="AC139" s="132" t="str">
        <f t="shared" si="25"/>
        <v/>
      </c>
    </row>
    <row r="140" spans="1:29" ht="15.75">
      <c r="A140" s="29" t="s">
        <v>297</v>
      </c>
      <c r="B140" s="3"/>
      <c r="C140" s="3"/>
      <c r="D140" s="3"/>
      <c r="E140" s="3"/>
      <c r="F140" s="3"/>
      <c r="G140" s="3"/>
      <c r="H140" s="28"/>
      <c r="I140" s="82" t="b">
        <v>0</v>
      </c>
      <c r="J140" s="116" t="str">
        <f t="shared" si="21"/>
        <v/>
      </c>
      <c r="K140" s="124"/>
      <c r="L140" s="22"/>
      <c r="M140" s="22"/>
      <c r="N140" s="22"/>
      <c r="O140" s="22"/>
      <c r="P140" s="23"/>
      <c r="Q140" s="23"/>
      <c r="R140" s="23"/>
      <c r="S140" s="23"/>
      <c r="T140" s="23"/>
      <c r="U140" s="19" t="str">
        <f t="shared" si="23"/>
        <v/>
      </c>
      <c r="V140" s="128" t="str">
        <f t="shared" si="22"/>
        <v/>
      </c>
      <c r="X140" s="54"/>
      <c r="Y140" s="56"/>
      <c r="AA140" s="2"/>
      <c r="AB140" s="2" t="str">
        <f t="shared" si="24"/>
        <v/>
      </c>
      <c r="AC140" s="132" t="str">
        <f t="shared" si="25"/>
        <v/>
      </c>
    </row>
    <row r="141" spans="1:29" ht="15.75">
      <c r="A141" s="29" t="s">
        <v>298</v>
      </c>
      <c r="B141" s="3"/>
      <c r="C141" s="9"/>
      <c r="D141" s="3"/>
      <c r="E141" s="3"/>
      <c r="F141" s="3"/>
      <c r="G141" s="3"/>
      <c r="H141" s="28"/>
      <c r="I141" s="82" t="b">
        <v>0</v>
      </c>
      <c r="J141" s="116" t="str">
        <f t="shared" si="21"/>
        <v/>
      </c>
      <c r="K141" s="124"/>
      <c r="L141" s="22"/>
      <c r="M141" s="22"/>
      <c r="N141" s="22"/>
      <c r="O141" s="22"/>
      <c r="P141" s="23"/>
      <c r="Q141" s="23"/>
      <c r="R141" s="23"/>
      <c r="S141" s="23"/>
      <c r="T141" s="23"/>
      <c r="U141" s="19" t="str">
        <f t="shared" si="23"/>
        <v/>
      </c>
      <c r="V141" s="128" t="str">
        <f t="shared" si="22"/>
        <v/>
      </c>
      <c r="X141" s="54"/>
      <c r="Y141" s="56"/>
      <c r="AA141" s="2"/>
      <c r="AB141" s="2" t="str">
        <f t="shared" si="24"/>
        <v/>
      </c>
      <c r="AC141" s="132" t="str">
        <f t="shared" si="25"/>
        <v/>
      </c>
    </row>
    <row r="142" spans="1:29" ht="15.75">
      <c r="A142" s="29" t="s">
        <v>299</v>
      </c>
      <c r="B142" s="3"/>
      <c r="C142" s="9"/>
      <c r="D142" s="13"/>
      <c r="E142" s="3"/>
      <c r="F142" s="10"/>
      <c r="G142" s="1"/>
      <c r="H142" s="27"/>
      <c r="I142" s="82" t="b">
        <v>0</v>
      </c>
      <c r="J142" s="116" t="str">
        <f t="shared" si="21"/>
        <v/>
      </c>
      <c r="K142" s="124"/>
      <c r="L142" s="22"/>
      <c r="M142" s="22"/>
      <c r="N142" s="22"/>
      <c r="O142" s="22"/>
      <c r="P142" s="23"/>
      <c r="Q142" s="23"/>
      <c r="R142" s="23"/>
      <c r="S142" s="23"/>
      <c r="T142" s="23"/>
      <c r="U142" s="19" t="str">
        <f t="shared" si="23"/>
        <v/>
      </c>
      <c r="V142" s="128" t="str">
        <f t="shared" si="22"/>
        <v/>
      </c>
      <c r="X142" s="54"/>
      <c r="Y142" s="56"/>
      <c r="AA142" s="2"/>
      <c r="AB142" s="2" t="str">
        <f t="shared" si="24"/>
        <v/>
      </c>
      <c r="AC142" s="132" t="str">
        <f t="shared" si="25"/>
        <v/>
      </c>
    </row>
    <row r="143" spans="1:29" ht="15.75">
      <c r="A143" s="29" t="s">
        <v>302</v>
      </c>
      <c r="B143" s="3"/>
      <c r="C143" s="9"/>
      <c r="D143" s="13"/>
      <c r="E143" s="3"/>
      <c r="F143" s="10"/>
      <c r="G143" s="1"/>
      <c r="H143" s="27"/>
      <c r="I143" s="82" t="b">
        <v>0</v>
      </c>
      <c r="J143" s="116" t="str">
        <f t="shared" si="21"/>
        <v/>
      </c>
      <c r="K143" s="124"/>
      <c r="L143" s="22"/>
      <c r="M143" s="22"/>
      <c r="N143" s="22"/>
      <c r="O143" s="22"/>
      <c r="P143" s="23"/>
      <c r="Q143" s="23"/>
      <c r="R143" s="23"/>
      <c r="S143" s="23"/>
      <c r="T143" s="23"/>
      <c r="U143" s="19" t="str">
        <f t="shared" si="23"/>
        <v/>
      </c>
      <c r="V143" s="128" t="str">
        <f t="shared" si="22"/>
        <v/>
      </c>
      <c r="X143" s="54"/>
      <c r="Y143" s="56"/>
      <c r="AA143" s="2"/>
      <c r="AB143" s="2" t="str">
        <f t="shared" si="24"/>
        <v/>
      </c>
      <c r="AC143" s="132" t="str">
        <f t="shared" si="25"/>
        <v/>
      </c>
    </row>
    <row r="144" spans="1:29" ht="15.75">
      <c r="A144" s="29" t="s">
        <v>304</v>
      </c>
      <c r="B144" s="3"/>
      <c r="C144" s="9"/>
      <c r="D144" s="3"/>
      <c r="E144" s="3"/>
      <c r="F144" s="10"/>
      <c r="G144" s="1"/>
      <c r="H144" s="27"/>
      <c r="I144" s="82" t="b">
        <v>0</v>
      </c>
      <c r="J144" s="116" t="str">
        <f t="shared" si="21"/>
        <v/>
      </c>
      <c r="K144" s="124"/>
      <c r="L144" s="22"/>
      <c r="M144" s="22"/>
      <c r="N144" s="22"/>
      <c r="O144" s="22"/>
      <c r="P144" s="23"/>
      <c r="Q144" s="23"/>
      <c r="R144" s="23"/>
      <c r="S144" s="23"/>
      <c r="T144" s="23"/>
      <c r="U144" s="19" t="str">
        <f t="shared" si="23"/>
        <v/>
      </c>
      <c r="V144" s="128" t="str">
        <f t="shared" si="22"/>
        <v/>
      </c>
      <c r="X144" s="54"/>
      <c r="Y144" s="56"/>
      <c r="AA144" s="61"/>
      <c r="AB144" s="61" t="str">
        <f t="shared" si="24"/>
        <v/>
      </c>
      <c r="AC144" s="132" t="str">
        <f t="shared" si="25"/>
        <v/>
      </c>
    </row>
    <row r="145" spans="1:29" ht="15.75">
      <c r="A145" s="29" t="s">
        <v>305</v>
      </c>
      <c r="B145" s="3"/>
      <c r="C145" s="3"/>
      <c r="D145" s="3"/>
      <c r="E145" s="3"/>
      <c r="F145" s="3"/>
      <c r="G145" s="3"/>
      <c r="H145" s="28"/>
      <c r="I145" s="82" t="b">
        <v>0</v>
      </c>
      <c r="J145" s="116" t="str">
        <f t="shared" si="21"/>
        <v/>
      </c>
      <c r="K145" s="124"/>
      <c r="L145" s="22"/>
      <c r="M145" s="22"/>
      <c r="N145" s="22"/>
      <c r="O145" s="22"/>
      <c r="P145" s="23"/>
      <c r="Q145" s="23"/>
      <c r="R145" s="23"/>
      <c r="S145" s="23"/>
      <c r="T145" s="23"/>
      <c r="U145" s="19" t="str">
        <f t="shared" si="23"/>
        <v/>
      </c>
      <c r="V145" s="128" t="str">
        <f t="shared" si="22"/>
        <v/>
      </c>
      <c r="X145" s="54"/>
      <c r="Y145" s="56"/>
      <c r="AA145" s="61"/>
      <c r="AB145" s="61" t="str">
        <f t="shared" si="24"/>
        <v/>
      </c>
      <c r="AC145" s="132" t="str">
        <f t="shared" si="25"/>
        <v/>
      </c>
    </row>
    <row r="146" spans="1:29" ht="15.75">
      <c r="A146" s="29" t="s">
        <v>309</v>
      </c>
      <c r="B146" s="3"/>
      <c r="C146" s="3"/>
      <c r="D146" s="3"/>
      <c r="E146" s="3"/>
      <c r="F146" s="3"/>
      <c r="G146" s="3"/>
      <c r="H146" s="28"/>
      <c r="I146" s="82" t="b">
        <v>0</v>
      </c>
      <c r="J146" s="116"/>
      <c r="K146" s="125"/>
      <c r="L146" s="58"/>
      <c r="M146" s="58"/>
      <c r="N146" s="58"/>
      <c r="O146" s="58"/>
      <c r="P146" s="59"/>
      <c r="Q146" s="59"/>
      <c r="R146" s="59"/>
      <c r="S146" s="59"/>
      <c r="T146" s="59"/>
      <c r="U146" s="104" t="str">
        <f t="shared" si="23"/>
        <v/>
      </c>
      <c r="V146" s="130" t="str">
        <f t="shared" si="22"/>
        <v/>
      </c>
      <c r="X146" s="54"/>
      <c r="Y146" s="56"/>
      <c r="AA146" s="105"/>
      <c r="AB146" s="105" t="str">
        <f t="shared" si="24"/>
        <v/>
      </c>
      <c r="AC146" s="134" t="str">
        <f t="shared" si="25"/>
        <v/>
      </c>
    </row>
    <row r="147" spans="1:29" ht="15.75">
      <c r="A147" s="29"/>
      <c r="B147" s="3"/>
      <c r="C147" s="3"/>
      <c r="D147" s="3"/>
      <c r="E147" s="3"/>
      <c r="F147" s="3"/>
      <c r="G147" s="3"/>
      <c r="H147" s="28"/>
      <c r="I147" s="82"/>
      <c r="J147" s="116"/>
      <c r="K147" s="125"/>
      <c r="L147" s="58"/>
      <c r="M147" s="58"/>
      <c r="N147" s="58"/>
      <c r="O147" s="58"/>
      <c r="P147" s="59"/>
      <c r="Q147" s="59"/>
      <c r="R147" s="59"/>
      <c r="S147" s="59"/>
      <c r="T147" s="59"/>
      <c r="U147" s="104"/>
      <c r="V147" s="130"/>
      <c r="X147" s="54"/>
      <c r="Y147" s="56"/>
      <c r="AA147" s="105"/>
      <c r="AB147" s="105"/>
      <c r="AC147" s="134"/>
    </row>
    <row r="148" spans="1:29" ht="15.75">
      <c r="A148" s="29"/>
      <c r="B148" s="3"/>
      <c r="C148" s="9"/>
      <c r="D148" s="3"/>
      <c r="E148" s="3"/>
      <c r="F148" s="10"/>
      <c r="G148" s="1"/>
      <c r="H148" s="27"/>
      <c r="I148" s="82"/>
      <c r="J148" s="116"/>
      <c r="K148" s="125"/>
      <c r="L148" s="58"/>
      <c r="M148" s="58"/>
      <c r="N148" s="58"/>
      <c r="O148" s="58"/>
      <c r="P148" s="59"/>
      <c r="Q148" s="59"/>
      <c r="R148" s="59"/>
      <c r="S148" s="59"/>
      <c r="T148" s="59"/>
      <c r="U148" s="104"/>
      <c r="V148" s="130"/>
      <c r="X148" s="54"/>
      <c r="Y148" s="56"/>
      <c r="AA148" s="105"/>
      <c r="AB148" s="105"/>
      <c r="AC148" s="134"/>
    </row>
    <row r="149" spans="1:29" ht="15.75">
      <c r="A149" s="29"/>
      <c r="B149" s="55"/>
      <c r="C149" s="9"/>
      <c r="D149" s="3"/>
      <c r="E149" s="3"/>
      <c r="F149" s="3"/>
      <c r="G149" s="3"/>
      <c r="H149" s="28"/>
      <c r="I149" s="82"/>
      <c r="J149" s="116"/>
      <c r="K149" s="125"/>
      <c r="L149" s="106"/>
      <c r="M149" s="58"/>
      <c r="N149" s="58"/>
      <c r="O149" s="58"/>
      <c r="P149" s="59"/>
      <c r="Q149" s="59"/>
      <c r="R149" s="59"/>
      <c r="S149" s="59"/>
      <c r="T149" s="59"/>
      <c r="U149" s="104"/>
      <c r="V149" s="130"/>
      <c r="X149" s="54"/>
      <c r="Y149" s="56"/>
      <c r="AA149" s="105"/>
      <c r="AB149" s="105"/>
      <c r="AC149" s="134"/>
    </row>
    <row r="150" spans="1:29" ht="15.75">
      <c r="A150" s="29"/>
      <c r="B150" s="3"/>
      <c r="C150" s="9"/>
      <c r="D150" s="3"/>
      <c r="E150" s="3"/>
      <c r="F150" s="10"/>
      <c r="G150" s="1"/>
      <c r="H150" s="27"/>
      <c r="I150" s="82"/>
      <c r="J150" s="116"/>
      <c r="K150" s="125"/>
      <c r="L150" s="58"/>
      <c r="M150" s="58"/>
      <c r="N150" s="58"/>
      <c r="O150" s="58"/>
      <c r="P150" s="59"/>
      <c r="Q150" s="59"/>
      <c r="R150" s="59"/>
      <c r="S150" s="59"/>
      <c r="T150" s="59"/>
      <c r="U150" s="104"/>
      <c r="V150" s="130"/>
      <c r="X150" s="54"/>
      <c r="Y150" s="56"/>
      <c r="AA150" s="105"/>
      <c r="AB150" s="105"/>
      <c r="AC150" s="134"/>
    </row>
    <row r="151" spans="1:29" ht="15.75">
      <c r="A151" s="29"/>
      <c r="B151" s="3"/>
      <c r="C151" s="9"/>
      <c r="D151" s="3"/>
      <c r="E151" s="3"/>
      <c r="F151" s="10"/>
      <c r="G151" s="1"/>
      <c r="H151" s="27"/>
      <c r="I151" s="82"/>
      <c r="J151" s="116"/>
      <c r="K151" s="125"/>
      <c r="L151" s="58"/>
      <c r="M151" s="58"/>
      <c r="N151" s="58"/>
      <c r="O151" s="58"/>
      <c r="P151" s="59"/>
      <c r="Q151" s="59"/>
      <c r="R151" s="59"/>
      <c r="S151" s="59"/>
      <c r="T151" s="59"/>
      <c r="U151" s="104"/>
      <c r="V151" s="130"/>
      <c r="X151" s="54"/>
      <c r="Y151" s="56"/>
      <c r="AA151" s="105"/>
      <c r="AB151" s="105"/>
      <c r="AC151" s="134"/>
    </row>
    <row r="152" spans="1:29" ht="15.75">
      <c r="A152" s="29"/>
      <c r="B152" s="55"/>
      <c r="C152" s="55"/>
      <c r="D152" s="55"/>
      <c r="E152" s="55"/>
      <c r="F152" s="55"/>
      <c r="G152" s="55"/>
      <c r="H152" s="56"/>
      <c r="I152" s="82"/>
      <c r="J152" s="116"/>
      <c r="K152" s="125"/>
      <c r="L152" s="58"/>
      <c r="M152" s="58"/>
      <c r="N152" s="58"/>
      <c r="O152" s="58"/>
      <c r="P152" s="59"/>
      <c r="Q152" s="59"/>
      <c r="R152" s="59"/>
      <c r="S152" s="59"/>
      <c r="T152" s="59"/>
      <c r="U152" s="104"/>
      <c r="V152" s="130"/>
      <c r="X152" s="54"/>
      <c r="Y152" s="56"/>
      <c r="AA152" s="105"/>
      <c r="AB152" s="105"/>
      <c r="AC152" s="134"/>
    </row>
    <row r="153" spans="1:29" ht="15.75">
      <c r="A153" s="29"/>
      <c r="B153" s="55"/>
      <c r="C153" s="55"/>
      <c r="D153" s="55"/>
      <c r="E153" s="55"/>
      <c r="F153" s="55"/>
      <c r="G153" s="55"/>
      <c r="H153" s="56"/>
      <c r="I153" s="82"/>
      <c r="J153" s="116"/>
      <c r="K153" s="125"/>
      <c r="L153" s="58"/>
      <c r="M153" s="58"/>
      <c r="N153" s="58"/>
      <c r="O153" s="58"/>
      <c r="P153" s="59"/>
      <c r="Q153" s="59"/>
      <c r="R153" s="59"/>
      <c r="S153" s="59"/>
      <c r="T153" s="59"/>
      <c r="U153" s="104"/>
      <c r="V153" s="130"/>
      <c r="X153" s="54"/>
      <c r="Y153" s="56"/>
      <c r="AA153" s="105"/>
      <c r="AB153" s="105"/>
      <c r="AC153" s="134"/>
    </row>
    <row r="154" spans="1:29" ht="15.75">
      <c r="A154" s="29"/>
      <c r="B154" s="55"/>
      <c r="C154" s="55"/>
      <c r="D154" s="55"/>
      <c r="E154" s="55"/>
      <c r="F154" s="55"/>
      <c r="G154" s="55"/>
      <c r="H154" s="56"/>
      <c r="I154" s="82"/>
      <c r="J154" s="116"/>
      <c r="K154" s="125"/>
      <c r="L154" s="58"/>
      <c r="M154" s="58"/>
      <c r="N154" s="58"/>
      <c r="O154" s="58"/>
      <c r="P154" s="59"/>
      <c r="Q154" s="59"/>
      <c r="R154" s="59"/>
      <c r="S154" s="59"/>
      <c r="T154" s="59"/>
      <c r="U154" s="104"/>
      <c r="V154" s="130"/>
      <c r="X154" s="54"/>
      <c r="Y154" s="56"/>
      <c r="AA154" s="105"/>
      <c r="AB154" s="105"/>
      <c r="AC154" s="134"/>
    </row>
    <row r="155" spans="1:29" ht="15.75">
      <c r="A155" s="29"/>
      <c r="B155" s="55"/>
      <c r="C155" s="55"/>
      <c r="D155" s="55"/>
      <c r="E155" s="55"/>
      <c r="F155" s="55"/>
      <c r="G155" s="55"/>
      <c r="H155" s="56"/>
      <c r="I155" s="82"/>
      <c r="J155" s="116"/>
      <c r="K155" s="125"/>
      <c r="L155" s="58"/>
      <c r="M155" s="58"/>
      <c r="N155" s="58"/>
      <c r="O155" s="58"/>
      <c r="P155" s="59"/>
      <c r="Q155" s="59"/>
      <c r="R155" s="59"/>
      <c r="S155" s="59"/>
      <c r="T155" s="59"/>
      <c r="U155" s="104"/>
      <c r="V155" s="130"/>
      <c r="X155" s="54"/>
      <c r="Y155" s="56"/>
      <c r="AA155" s="105"/>
      <c r="AB155" s="105"/>
      <c r="AC155" s="134"/>
    </row>
    <row r="156" spans="1:29" ht="15.75">
      <c r="A156" s="29"/>
      <c r="B156" s="55"/>
      <c r="C156" s="55"/>
      <c r="D156" s="55"/>
      <c r="E156" s="55"/>
      <c r="F156" s="55"/>
      <c r="G156" s="55"/>
      <c r="H156" s="56"/>
      <c r="I156" s="82"/>
      <c r="J156" s="116"/>
      <c r="K156" s="125"/>
      <c r="L156" s="58"/>
      <c r="M156" s="58"/>
      <c r="N156" s="58"/>
      <c r="O156" s="58"/>
      <c r="P156" s="59"/>
      <c r="Q156" s="59"/>
      <c r="R156" s="59"/>
      <c r="S156" s="59"/>
      <c r="T156" s="59"/>
      <c r="U156" s="104"/>
      <c r="V156" s="130"/>
      <c r="X156" s="54"/>
      <c r="Y156" s="56"/>
      <c r="AA156" s="105"/>
      <c r="AB156" s="105"/>
      <c r="AC156" s="134"/>
    </row>
    <row r="157" spans="1:29" ht="15.75">
      <c r="A157" s="29"/>
      <c r="B157" s="55"/>
      <c r="C157" s="55"/>
      <c r="D157" s="55"/>
      <c r="E157" s="55"/>
      <c r="F157" s="55"/>
      <c r="G157" s="55"/>
      <c r="H157" s="56"/>
      <c r="I157" s="82"/>
      <c r="J157" s="116"/>
      <c r="K157" s="125"/>
      <c r="L157" s="58"/>
      <c r="M157" s="58"/>
      <c r="N157" s="58"/>
      <c r="O157" s="58"/>
      <c r="P157" s="59"/>
      <c r="Q157" s="59"/>
      <c r="R157" s="59"/>
      <c r="S157" s="59"/>
      <c r="T157" s="59"/>
      <c r="U157" s="104"/>
      <c r="V157" s="130"/>
      <c r="X157" s="54"/>
      <c r="Y157" s="56"/>
      <c r="AA157" s="105"/>
      <c r="AB157" s="105"/>
      <c r="AC157" s="134"/>
    </row>
    <row r="158" spans="1:29" ht="15.75">
      <c r="A158" s="29"/>
      <c r="B158" s="3"/>
      <c r="C158" s="9"/>
      <c r="D158" s="3"/>
      <c r="E158" s="3"/>
      <c r="F158" s="10"/>
      <c r="G158" s="1"/>
      <c r="H158" s="27"/>
      <c r="I158" s="82"/>
      <c r="J158" s="116"/>
      <c r="K158" s="125"/>
      <c r="L158" s="58"/>
      <c r="M158" s="58"/>
      <c r="N158" s="58"/>
      <c r="O158" s="58"/>
      <c r="P158" s="59"/>
      <c r="Q158" s="59"/>
      <c r="R158" s="59"/>
      <c r="S158" s="59"/>
      <c r="T158" s="59"/>
      <c r="U158" s="104"/>
      <c r="V158" s="130"/>
      <c r="X158" s="54"/>
      <c r="Y158" s="56"/>
      <c r="AA158" s="105"/>
      <c r="AB158" s="105"/>
      <c r="AC158" s="134"/>
    </row>
    <row r="159" spans="1:29" ht="15.75">
      <c r="A159" s="29"/>
      <c r="B159" s="3"/>
      <c r="C159" s="3"/>
      <c r="D159" s="3"/>
      <c r="E159" s="3"/>
      <c r="F159" s="3"/>
      <c r="G159" s="3"/>
      <c r="H159" s="28"/>
      <c r="I159" s="82"/>
      <c r="J159" s="116"/>
      <c r="K159" s="125"/>
      <c r="L159" s="58"/>
      <c r="M159" s="58"/>
      <c r="N159" s="58"/>
      <c r="O159" s="58"/>
      <c r="P159" s="59"/>
      <c r="Q159" s="59"/>
      <c r="R159" s="59"/>
      <c r="S159" s="59"/>
      <c r="T159" s="59"/>
      <c r="U159" s="104"/>
      <c r="V159" s="130"/>
      <c r="X159" s="54"/>
      <c r="Y159" s="56"/>
      <c r="AA159" s="105"/>
      <c r="AB159" s="105"/>
      <c r="AC159" s="134"/>
    </row>
    <row r="160" spans="1:29" ht="15.75">
      <c r="A160" s="29"/>
      <c r="B160" s="3"/>
      <c r="C160" s="3"/>
      <c r="D160" s="3"/>
      <c r="E160" s="3"/>
      <c r="F160" s="3"/>
      <c r="G160" s="3"/>
      <c r="H160" s="28"/>
      <c r="I160" s="82"/>
      <c r="J160" s="116"/>
      <c r="K160" s="125"/>
      <c r="L160" s="58"/>
      <c r="M160" s="58"/>
      <c r="N160" s="58"/>
      <c r="O160" s="58"/>
      <c r="P160" s="59"/>
      <c r="Q160" s="59"/>
      <c r="R160" s="59"/>
      <c r="S160" s="59"/>
      <c r="T160" s="59"/>
      <c r="U160" s="104"/>
      <c r="V160" s="130"/>
      <c r="X160" s="54"/>
      <c r="Y160" s="56"/>
      <c r="AA160" s="105"/>
      <c r="AB160" s="105"/>
      <c r="AC160" s="134"/>
    </row>
    <row r="161" spans="1:29" ht="15.75">
      <c r="A161" s="29"/>
      <c r="B161" s="55"/>
      <c r="C161" s="55"/>
      <c r="D161" s="55"/>
      <c r="E161" s="55"/>
      <c r="F161" s="55"/>
      <c r="G161" s="55"/>
      <c r="H161" s="56"/>
      <c r="I161" s="82"/>
      <c r="J161" s="116"/>
      <c r="K161" s="125"/>
      <c r="L161" s="58"/>
      <c r="M161" s="58"/>
      <c r="N161" s="58"/>
      <c r="O161" s="58"/>
      <c r="P161" s="59"/>
      <c r="Q161" s="59"/>
      <c r="R161" s="59"/>
      <c r="S161" s="59"/>
      <c r="T161" s="59"/>
      <c r="U161" s="104"/>
      <c r="V161" s="130"/>
      <c r="X161" s="54"/>
      <c r="Y161" s="56"/>
      <c r="AA161" s="105"/>
      <c r="AB161" s="105"/>
      <c r="AC161" s="134"/>
    </row>
    <row r="162" spans="1:29" ht="15.75">
      <c r="A162" s="29"/>
      <c r="B162" s="55"/>
      <c r="C162" s="55"/>
      <c r="D162" s="55"/>
      <c r="E162" s="55"/>
      <c r="F162" s="55"/>
      <c r="G162" s="55"/>
      <c r="H162" s="56"/>
      <c r="I162" s="82"/>
      <c r="J162" s="116"/>
      <c r="K162" s="125"/>
      <c r="L162" s="58"/>
      <c r="M162" s="58"/>
      <c r="N162" s="58"/>
      <c r="O162" s="58"/>
      <c r="P162" s="59"/>
      <c r="Q162" s="59"/>
      <c r="R162" s="59"/>
      <c r="S162" s="59"/>
      <c r="T162" s="59"/>
      <c r="U162" s="104"/>
      <c r="V162" s="130"/>
      <c r="X162" s="54"/>
      <c r="Y162" s="56"/>
      <c r="AA162" s="105"/>
      <c r="AB162" s="105"/>
      <c r="AC162" s="134"/>
    </row>
    <row r="163" spans="1:29" ht="15.75">
      <c r="A163" s="29"/>
      <c r="B163" s="55"/>
      <c r="C163" s="55"/>
      <c r="D163" s="55"/>
      <c r="E163" s="55"/>
      <c r="F163" s="55"/>
      <c r="G163" s="55"/>
      <c r="H163" s="56"/>
      <c r="I163" s="82"/>
      <c r="J163" s="116"/>
      <c r="K163" s="125"/>
      <c r="L163" s="58"/>
      <c r="M163" s="58"/>
      <c r="N163" s="58"/>
      <c r="O163" s="58"/>
      <c r="P163" s="59"/>
      <c r="Q163" s="59"/>
      <c r="R163" s="59"/>
      <c r="S163" s="59"/>
      <c r="T163" s="59"/>
      <c r="U163" s="104"/>
      <c r="V163" s="130"/>
      <c r="X163" s="54"/>
      <c r="Y163" s="56"/>
      <c r="AA163" s="105"/>
      <c r="AB163" s="105"/>
      <c r="AC163" s="134"/>
    </row>
    <row r="164" spans="1:29" ht="15.75">
      <c r="A164" s="29"/>
      <c r="B164" s="55"/>
      <c r="C164" s="55"/>
      <c r="D164" s="55"/>
      <c r="E164" s="55"/>
      <c r="F164" s="55"/>
      <c r="G164" s="55"/>
      <c r="H164" s="56"/>
      <c r="I164" s="82"/>
      <c r="J164" s="116"/>
      <c r="K164" s="125"/>
      <c r="L164" s="58"/>
      <c r="M164" s="58"/>
      <c r="N164" s="58"/>
      <c r="O164" s="58"/>
      <c r="P164" s="59"/>
      <c r="Q164" s="59"/>
      <c r="R164" s="59"/>
      <c r="S164" s="59"/>
      <c r="T164" s="59"/>
      <c r="U164" s="104"/>
      <c r="V164" s="130"/>
      <c r="X164" s="54"/>
      <c r="Y164" s="56"/>
      <c r="AA164" s="105"/>
      <c r="AB164" s="105"/>
      <c r="AC164" s="134"/>
    </row>
    <row r="165" spans="1:29" ht="15.75">
      <c r="A165" s="29"/>
      <c r="B165" s="55"/>
      <c r="C165" s="55"/>
      <c r="D165" s="55"/>
      <c r="E165" s="55"/>
      <c r="F165" s="55"/>
      <c r="G165" s="55"/>
      <c r="H165" s="56"/>
      <c r="I165" s="82"/>
      <c r="J165" s="116"/>
      <c r="K165" s="125"/>
      <c r="L165" s="58"/>
      <c r="M165" s="58"/>
      <c r="N165" s="58"/>
      <c r="O165" s="58"/>
      <c r="P165" s="59"/>
      <c r="Q165" s="59"/>
      <c r="R165" s="59"/>
      <c r="S165" s="59"/>
      <c r="T165" s="59"/>
      <c r="U165" s="104"/>
      <c r="V165" s="130"/>
      <c r="X165" s="54"/>
      <c r="Y165" s="56"/>
      <c r="AA165" s="105"/>
      <c r="AB165" s="105"/>
      <c r="AC165" s="134"/>
    </row>
    <row r="166" spans="1:29" ht="15.75">
      <c r="A166" s="29"/>
      <c r="B166" s="55"/>
      <c r="C166" s="55"/>
      <c r="D166" s="55"/>
      <c r="E166" s="55"/>
      <c r="F166" s="55"/>
      <c r="G166" s="55"/>
      <c r="H166" s="56"/>
      <c r="I166" s="82"/>
      <c r="J166" s="116"/>
      <c r="K166" s="125"/>
      <c r="L166" s="58"/>
      <c r="M166" s="58"/>
      <c r="N166" s="58"/>
      <c r="O166" s="58"/>
      <c r="P166" s="59"/>
      <c r="Q166" s="59"/>
      <c r="R166" s="59"/>
      <c r="S166" s="59"/>
      <c r="T166" s="59"/>
      <c r="U166" s="104"/>
      <c r="V166" s="130"/>
      <c r="X166" s="54"/>
      <c r="Y166" s="56"/>
      <c r="AA166" s="105"/>
      <c r="AB166" s="105"/>
      <c r="AC166" s="134"/>
    </row>
    <row r="167" spans="1:29" ht="15.75">
      <c r="A167" s="29"/>
      <c r="B167" s="55"/>
      <c r="C167" s="55"/>
      <c r="D167" s="55"/>
      <c r="E167" s="55"/>
      <c r="F167" s="55"/>
      <c r="G167" s="55"/>
      <c r="H167" s="56"/>
      <c r="I167" s="82"/>
      <c r="J167" s="116"/>
      <c r="K167" s="125"/>
      <c r="L167" s="58"/>
      <c r="M167" s="58"/>
      <c r="N167" s="58"/>
      <c r="O167" s="58"/>
      <c r="P167" s="59"/>
      <c r="Q167" s="59"/>
      <c r="R167" s="59"/>
      <c r="S167" s="59"/>
      <c r="T167" s="59"/>
      <c r="U167" s="104"/>
      <c r="V167" s="130"/>
      <c r="X167" s="54"/>
      <c r="Y167" s="56"/>
      <c r="AA167" s="105"/>
      <c r="AB167" s="105"/>
      <c r="AC167" s="134"/>
    </row>
    <row r="168" spans="1:29" ht="15.75">
      <c r="A168" s="29"/>
      <c r="B168" s="55"/>
      <c r="C168" s="55"/>
      <c r="D168" s="55"/>
      <c r="E168" s="55"/>
      <c r="F168" s="55"/>
      <c r="G168" s="55"/>
      <c r="H168" s="56"/>
      <c r="I168" s="82"/>
      <c r="J168" s="116"/>
      <c r="K168" s="125"/>
      <c r="L168" s="58"/>
      <c r="M168" s="58"/>
      <c r="N168" s="58"/>
      <c r="O168" s="58"/>
      <c r="P168" s="59"/>
      <c r="Q168" s="59"/>
      <c r="R168" s="59"/>
      <c r="S168" s="59"/>
      <c r="T168" s="59"/>
      <c r="U168" s="104"/>
      <c r="V168" s="130"/>
      <c r="X168" s="54"/>
      <c r="Y168" s="56"/>
      <c r="AA168" s="105"/>
      <c r="AB168" s="105"/>
      <c r="AC168" s="134"/>
    </row>
    <row r="169" spans="1:29" ht="15.75">
      <c r="A169" s="29"/>
      <c r="B169" s="55"/>
      <c r="C169" s="55"/>
      <c r="D169" s="55"/>
      <c r="E169" s="55"/>
      <c r="F169" s="55"/>
      <c r="G169" s="55"/>
      <c r="H169" s="56"/>
      <c r="I169" s="82"/>
      <c r="J169" s="116"/>
      <c r="K169" s="125"/>
      <c r="L169" s="58"/>
      <c r="M169" s="58"/>
      <c r="N169" s="58"/>
      <c r="O169" s="58"/>
      <c r="P169" s="59"/>
      <c r="Q169" s="59"/>
      <c r="R169" s="59"/>
      <c r="S169" s="59"/>
      <c r="T169" s="59"/>
      <c r="U169" s="104"/>
      <c r="V169" s="130"/>
      <c r="X169" s="54"/>
      <c r="Y169" s="56"/>
      <c r="AA169" s="105"/>
      <c r="AB169" s="105"/>
      <c r="AC169" s="134"/>
    </row>
    <row r="170" spans="1:29" ht="15.75">
      <c r="A170" s="29"/>
      <c r="B170" s="55"/>
      <c r="C170" s="55"/>
      <c r="D170" s="55"/>
      <c r="E170" s="55"/>
      <c r="F170" s="55"/>
      <c r="G170" s="55"/>
      <c r="H170" s="56"/>
      <c r="I170" s="82"/>
      <c r="J170" s="116"/>
      <c r="K170" s="125"/>
      <c r="L170" s="58"/>
      <c r="M170" s="58"/>
      <c r="N170" s="58"/>
      <c r="O170" s="58"/>
      <c r="P170" s="59"/>
      <c r="Q170" s="59"/>
      <c r="R170" s="59"/>
      <c r="S170" s="59"/>
      <c r="T170" s="59"/>
      <c r="U170" s="104"/>
      <c r="V170" s="130"/>
      <c r="X170" s="54"/>
      <c r="Y170" s="56"/>
      <c r="AA170" s="105"/>
      <c r="AB170" s="105"/>
      <c r="AC170" s="134"/>
    </row>
    <row r="171" spans="1:29" ht="15.75">
      <c r="A171" s="29"/>
      <c r="B171" s="55"/>
      <c r="C171" s="55"/>
      <c r="D171" s="55"/>
      <c r="E171" s="55"/>
      <c r="F171" s="55"/>
      <c r="G171" s="55"/>
      <c r="H171" s="56"/>
      <c r="I171" s="82"/>
      <c r="J171" s="116"/>
      <c r="K171" s="125"/>
      <c r="L171" s="58"/>
      <c r="M171" s="58"/>
      <c r="N171" s="58"/>
      <c r="O171" s="58"/>
      <c r="P171" s="59"/>
      <c r="Q171" s="59"/>
      <c r="R171" s="59"/>
      <c r="S171" s="59"/>
      <c r="T171" s="59"/>
      <c r="U171" s="104"/>
      <c r="V171" s="130"/>
      <c r="X171" s="54"/>
      <c r="Y171" s="56"/>
      <c r="AA171" s="105"/>
      <c r="AB171" s="105"/>
      <c r="AC171" s="134"/>
    </row>
    <row r="172" spans="1:29" ht="15.75">
      <c r="A172" s="29"/>
      <c r="B172" s="55"/>
      <c r="C172" s="55"/>
      <c r="D172" s="55"/>
      <c r="E172" s="55"/>
      <c r="F172" s="55"/>
      <c r="G172" s="55"/>
      <c r="H172" s="56"/>
      <c r="I172" s="82"/>
      <c r="J172" s="116"/>
      <c r="K172" s="125"/>
      <c r="L172" s="58"/>
      <c r="M172" s="58"/>
      <c r="N172" s="58"/>
      <c r="O172" s="58"/>
      <c r="P172" s="59"/>
      <c r="Q172" s="59"/>
      <c r="R172" s="59"/>
      <c r="S172" s="59"/>
      <c r="T172" s="59"/>
      <c r="U172" s="104"/>
      <c r="V172" s="130"/>
      <c r="X172" s="54"/>
      <c r="Y172" s="56"/>
      <c r="AA172" s="105"/>
      <c r="AB172" s="105"/>
      <c r="AC172" s="134"/>
    </row>
    <row r="173" spans="1:29" ht="15.75">
      <c r="A173" s="29"/>
      <c r="B173" s="55"/>
      <c r="C173" s="55"/>
      <c r="D173" s="55"/>
      <c r="E173" s="55"/>
      <c r="F173" s="55"/>
      <c r="G173" s="55"/>
      <c r="H173" s="56"/>
      <c r="I173" s="82"/>
      <c r="J173" s="116"/>
      <c r="K173" s="125"/>
      <c r="L173" s="58"/>
      <c r="M173" s="58"/>
      <c r="N173" s="58"/>
      <c r="O173" s="58"/>
      <c r="P173" s="59"/>
      <c r="Q173" s="59"/>
      <c r="R173" s="59"/>
      <c r="S173" s="59"/>
      <c r="T173" s="59"/>
      <c r="U173" s="104"/>
      <c r="V173" s="130"/>
      <c r="X173" s="54"/>
      <c r="Y173" s="56"/>
      <c r="AA173" s="105"/>
      <c r="AB173" s="105"/>
      <c r="AC173" s="134"/>
    </row>
    <row r="174" spans="1:29" ht="15.75">
      <c r="A174" s="29"/>
      <c r="B174" s="55"/>
      <c r="C174" s="55"/>
      <c r="D174" s="55"/>
      <c r="E174" s="55"/>
      <c r="F174" s="55"/>
      <c r="G174" s="55"/>
      <c r="H174" s="56"/>
      <c r="I174" s="82"/>
      <c r="J174" s="116"/>
      <c r="K174" s="125"/>
      <c r="L174" s="58"/>
      <c r="M174" s="58"/>
      <c r="N174" s="58"/>
      <c r="O174" s="58"/>
      <c r="P174" s="59"/>
      <c r="Q174" s="59"/>
      <c r="R174" s="59"/>
      <c r="S174" s="59"/>
      <c r="T174" s="59"/>
      <c r="U174" s="104"/>
      <c r="V174" s="130"/>
      <c r="X174" s="54"/>
      <c r="Y174" s="56"/>
      <c r="AA174" s="105"/>
      <c r="AB174" s="105"/>
      <c r="AC174" s="134"/>
    </row>
    <row r="175" spans="1:29" ht="15.75">
      <c r="A175" s="29"/>
      <c r="B175" s="55"/>
      <c r="C175" s="55"/>
      <c r="D175" s="55"/>
      <c r="E175" s="55"/>
      <c r="F175" s="55"/>
      <c r="G175" s="55"/>
      <c r="H175" s="56"/>
      <c r="I175" s="82"/>
      <c r="J175" s="116"/>
      <c r="K175" s="125"/>
      <c r="L175" s="58"/>
      <c r="M175" s="58"/>
      <c r="N175" s="58"/>
      <c r="O175" s="58"/>
      <c r="P175" s="59"/>
      <c r="Q175" s="59"/>
      <c r="R175" s="59"/>
      <c r="S175" s="59"/>
      <c r="T175" s="59"/>
      <c r="U175" s="104"/>
      <c r="V175" s="130"/>
      <c r="X175" s="54"/>
      <c r="Y175" s="56"/>
      <c r="AA175" s="105"/>
      <c r="AB175" s="105"/>
      <c r="AC175" s="134"/>
    </row>
    <row r="176" spans="1:29" ht="15.75">
      <c r="A176" s="29"/>
      <c r="B176" s="55"/>
      <c r="C176" s="55"/>
      <c r="D176" s="55"/>
      <c r="E176" s="55"/>
      <c r="F176" s="55"/>
      <c r="G176" s="55"/>
      <c r="H176" s="56"/>
      <c r="I176" s="82"/>
      <c r="J176" s="116"/>
      <c r="K176" s="125"/>
      <c r="L176" s="58"/>
      <c r="M176" s="58"/>
      <c r="N176" s="58"/>
      <c r="O176" s="58"/>
      <c r="P176" s="59"/>
      <c r="Q176" s="59"/>
      <c r="R176" s="59"/>
      <c r="S176" s="59"/>
      <c r="T176" s="59"/>
      <c r="U176" s="104"/>
      <c r="V176" s="130"/>
      <c r="X176" s="54"/>
      <c r="Y176" s="56"/>
      <c r="AA176" s="105"/>
      <c r="AB176" s="105"/>
      <c r="AC176" s="134"/>
    </row>
    <row r="177" spans="1:29" ht="15.75">
      <c r="A177" s="29"/>
      <c r="B177" s="55"/>
      <c r="C177" s="55"/>
      <c r="D177" s="55"/>
      <c r="E177" s="55"/>
      <c r="F177" s="55"/>
      <c r="G177" s="55"/>
      <c r="H177" s="56"/>
      <c r="I177" s="82"/>
      <c r="J177" s="116"/>
      <c r="K177" s="125"/>
      <c r="L177" s="58"/>
      <c r="M177" s="58"/>
      <c r="N177" s="58"/>
      <c r="O177" s="58"/>
      <c r="P177" s="59"/>
      <c r="Q177" s="59"/>
      <c r="R177" s="59"/>
      <c r="S177" s="59"/>
      <c r="T177" s="59"/>
      <c r="U177" s="104"/>
      <c r="V177" s="130"/>
      <c r="X177" s="54"/>
      <c r="Y177" s="56"/>
      <c r="AA177" s="105"/>
      <c r="AB177" s="105"/>
      <c r="AC177" s="134"/>
    </row>
    <row r="178" spans="1:29" ht="15.75">
      <c r="A178" s="29"/>
      <c r="B178" s="55"/>
      <c r="C178" s="55"/>
      <c r="D178" s="55"/>
      <c r="E178" s="55"/>
      <c r="F178" s="55"/>
      <c r="G178" s="55"/>
      <c r="H178" s="56"/>
      <c r="I178" s="82"/>
      <c r="J178" s="116"/>
      <c r="K178" s="125"/>
      <c r="L178" s="58"/>
      <c r="M178" s="58"/>
      <c r="N178" s="58"/>
      <c r="O178" s="58"/>
      <c r="P178" s="59"/>
      <c r="Q178" s="59"/>
      <c r="R178" s="59"/>
      <c r="S178" s="59"/>
      <c r="T178" s="59"/>
      <c r="U178" s="104"/>
      <c r="V178" s="130"/>
      <c r="X178" s="54"/>
      <c r="Y178" s="56"/>
      <c r="AA178" s="105"/>
      <c r="AB178" s="105"/>
      <c r="AC178" s="134"/>
    </row>
    <row r="179" spans="1:29" ht="15.75">
      <c r="A179" s="29"/>
      <c r="B179" s="55"/>
      <c r="C179" s="55"/>
      <c r="D179" s="55"/>
      <c r="E179" s="55"/>
      <c r="F179" s="55"/>
      <c r="G179" s="55"/>
      <c r="H179" s="56"/>
      <c r="I179" s="82"/>
      <c r="J179" s="116"/>
      <c r="K179" s="125"/>
      <c r="L179" s="58"/>
      <c r="M179" s="58"/>
      <c r="N179" s="58"/>
      <c r="O179" s="58"/>
      <c r="P179" s="59"/>
      <c r="Q179" s="59"/>
      <c r="R179" s="59"/>
      <c r="S179" s="59"/>
      <c r="T179" s="59"/>
      <c r="U179" s="104"/>
      <c r="V179" s="130"/>
      <c r="X179" s="54"/>
      <c r="Y179" s="56"/>
      <c r="AA179" s="105"/>
      <c r="AB179" s="105"/>
      <c r="AC179" s="134"/>
    </row>
    <row r="180" spans="1:29" ht="15.75">
      <c r="A180" s="29"/>
      <c r="B180" s="55"/>
      <c r="C180" s="55"/>
      <c r="D180" s="55"/>
      <c r="E180" s="55"/>
      <c r="F180" s="55"/>
      <c r="G180" s="55"/>
      <c r="H180" s="56"/>
      <c r="I180" s="82"/>
      <c r="J180" s="116"/>
      <c r="K180" s="125"/>
      <c r="L180" s="58"/>
      <c r="M180" s="58"/>
      <c r="N180" s="58"/>
      <c r="O180" s="58"/>
      <c r="P180" s="59"/>
      <c r="Q180" s="59"/>
      <c r="R180" s="59"/>
      <c r="S180" s="59"/>
      <c r="T180" s="59"/>
      <c r="U180" s="104"/>
      <c r="V180" s="130"/>
      <c r="X180" s="54"/>
      <c r="Y180" s="56"/>
      <c r="AA180" s="105"/>
      <c r="AB180" s="105"/>
      <c r="AC180" s="134"/>
    </row>
    <row r="181" spans="1:29" ht="15.75">
      <c r="A181" s="29"/>
      <c r="B181" s="55"/>
      <c r="C181" s="55"/>
      <c r="D181" s="55"/>
      <c r="E181" s="55"/>
      <c r="F181" s="55"/>
      <c r="G181" s="55"/>
      <c r="H181" s="56"/>
      <c r="I181" s="82"/>
      <c r="J181" s="116"/>
      <c r="K181" s="125"/>
      <c r="L181" s="58"/>
      <c r="M181" s="58"/>
      <c r="N181" s="58"/>
      <c r="O181" s="58"/>
      <c r="P181" s="59"/>
      <c r="Q181" s="59"/>
      <c r="R181" s="59"/>
      <c r="S181" s="59"/>
      <c r="T181" s="59"/>
      <c r="U181" s="104"/>
      <c r="V181" s="130"/>
      <c r="X181" s="54"/>
      <c r="Y181" s="56"/>
      <c r="AA181" s="105"/>
      <c r="AB181" s="105"/>
      <c r="AC181" s="134"/>
    </row>
    <row r="182" spans="1:29" ht="15.75">
      <c r="A182" s="29"/>
      <c r="B182" s="55"/>
      <c r="C182" s="55"/>
      <c r="D182" s="55"/>
      <c r="E182" s="55"/>
      <c r="F182" s="55"/>
      <c r="G182" s="55"/>
      <c r="H182" s="56"/>
      <c r="I182" s="82"/>
      <c r="J182" s="116"/>
      <c r="K182" s="125"/>
      <c r="L182" s="58"/>
      <c r="M182" s="58"/>
      <c r="N182" s="58"/>
      <c r="O182" s="58"/>
      <c r="P182" s="59"/>
      <c r="Q182" s="59"/>
      <c r="R182" s="59"/>
      <c r="S182" s="59"/>
      <c r="T182" s="59"/>
      <c r="U182" s="104"/>
      <c r="V182" s="130"/>
      <c r="X182" s="54"/>
      <c r="Y182" s="56"/>
      <c r="AA182" s="105"/>
      <c r="AB182" s="105"/>
      <c r="AC182" s="134"/>
    </row>
    <row r="183" spans="1:29" ht="15.75">
      <c r="A183" s="29"/>
      <c r="B183" s="55"/>
      <c r="C183" s="55"/>
      <c r="D183" s="55"/>
      <c r="E183" s="55"/>
      <c r="F183" s="55"/>
      <c r="G183" s="55"/>
      <c r="H183" s="56"/>
      <c r="I183" s="82"/>
      <c r="J183" s="116"/>
      <c r="K183" s="125"/>
      <c r="L183" s="58"/>
      <c r="M183" s="58"/>
      <c r="N183" s="58"/>
      <c r="O183" s="58"/>
      <c r="P183" s="59"/>
      <c r="Q183" s="59"/>
      <c r="R183" s="59"/>
      <c r="S183" s="59"/>
      <c r="T183" s="59"/>
      <c r="U183" s="104"/>
      <c r="V183" s="130"/>
      <c r="X183" s="54"/>
      <c r="Y183" s="56"/>
      <c r="AA183" s="105"/>
      <c r="AB183" s="105"/>
      <c r="AC183" s="134"/>
    </row>
    <row r="184" spans="1:29" ht="15.75">
      <c r="A184" s="29"/>
      <c r="B184" s="55"/>
      <c r="C184" s="55"/>
      <c r="D184" s="55"/>
      <c r="E184" s="55"/>
      <c r="F184" s="55"/>
      <c r="G184" s="55"/>
      <c r="H184" s="56"/>
      <c r="I184" s="82"/>
      <c r="J184" s="116"/>
      <c r="K184" s="125"/>
      <c r="L184" s="58"/>
      <c r="M184" s="58"/>
      <c r="N184" s="58"/>
      <c r="O184" s="58"/>
      <c r="P184" s="59"/>
      <c r="Q184" s="59"/>
      <c r="R184" s="59"/>
      <c r="S184" s="59"/>
      <c r="T184" s="59"/>
      <c r="U184" s="104"/>
      <c r="V184" s="130"/>
      <c r="X184" s="54"/>
      <c r="Y184" s="56"/>
      <c r="AA184" s="105"/>
      <c r="AB184" s="105"/>
      <c r="AC184" s="134"/>
    </row>
    <row r="185" spans="1:29" ht="15.75">
      <c r="A185" s="29"/>
      <c r="B185" s="55"/>
      <c r="C185" s="55"/>
      <c r="D185" s="55"/>
      <c r="E185" s="55"/>
      <c r="F185" s="55"/>
      <c r="G185" s="55"/>
      <c r="H185" s="56"/>
      <c r="I185" s="82"/>
      <c r="J185" s="116"/>
      <c r="K185" s="125"/>
      <c r="L185" s="58"/>
      <c r="M185" s="58"/>
      <c r="N185" s="58"/>
      <c r="O185" s="58"/>
      <c r="P185" s="59"/>
      <c r="Q185" s="59"/>
      <c r="R185" s="59"/>
      <c r="S185" s="59"/>
      <c r="T185" s="59"/>
      <c r="U185" s="104"/>
      <c r="V185" s="130"/>
      <c r="X185" s="54"/>
      <c r="Y185" s="56"/>
      <c r="AA185" s="105"/>
      <c r="AB185" s="105"/>
      <c r="AC185" s="134"/>
    </row>
    <row r="186" spans="1:29" ht="15.75">
      <c r="A186" s="29"/>
      <c r="B186" s="55"/>
      <c r="C186" s="55"/>
      <c r="D186" s="55"/>
      <c r="E186" s="55"/>
      <c r="F186" s="55"/>
      <c r="G186" s="55"/>
      <c r="H186" s="56"/>
      <c r="I186" s="82"/>
      <c r="J186" s="116"/>
      <c r="K186" s="125"/>
      <c r="L186" s="58"/>
      <c r="M186" s="58"/>
      <c r="N186" s="58"/>
      <c r="O186" s="58"/>
      <c r="P186" s="59"/>
      <c r="Q186" s="59"/>
      <c r="R186" s="59"/>
      <c r="S186" s="59"/>
      <c r="T186" s="59"/>
      <c r="U186" s="104"/>
      <c r="V186" s="130"/>
      <c r="X186" s="54"/>
      <c r="Y186" s="56"/>
      <c r="AA186" s="105"/>
      <c r="AB186" s="105"/>
      <c r="AC186" s="134"/>
    </row>
    <row r="187" spans="1:29" ht="15.75">
      <c r="A187" s="29"/>
      <c r="B187" s="55"/>
      <c r="C187" s="55"/>
      <c r="D187" s="55"/>
      <c r="E187" s="55"/>
      <c r="F187" s="55"/>
      <c r="G187" s="55"/>
      <c r="H187" s="56"/>
      <c r="I187" s="82"/>
      <c r="J187" s="116"/>
      <c r="K187" s="125"/>
      <c r="L187" s="58"/>
      <c r="M187" s="58"/>
      <c r="N187" s="58"/>
      <c r="O187" s="58"/>
      <c r="P187" s="59"/>
      <c r="Q187" s="59"/>
      <c r="R187" s="59"/>
      <c r="S187" s="59"/>
      <c r="T187" s="59"/>
      <c r="U187" s="104"/>
      <c r="V187" s="130"/>
      <c r="X187" s="54"/>
      <c r="Y187" s="56"/>
      <c r="AA187" s="105"/>
      <c r="AB187" s="105"/>
      <c r="AC187" s="134"/>
    </row>
    <row r="188" spans="1:29" ht="15.75">
      <c r="A188" s="29"/>
      <c r="B188" s="55"/>
      <c r="C188" s="55"/>
      <c r="D188" s="55"/>
      <c r="E188" s="55"/>
      <c r="F188" s="55"/>
      <c r="G188" s="55"/>
      <c r="H188" s="56"/>
      <c r="I188" s="82"/>
      <c r="J188" s="116"/>
      <c r="K188" s="125"/>
      <c r="L188" s="58"/>
      <c r="M188" s="58"/>
      <c r="N188" s="58"/>
      <c r="O188" s="58"/>
      <c r="P188" s="59"/>
      <c r="Q188" s="59"/>
      <c r="R188" s="59"/>
      <c r="S188" s="59"/>
      <c r="T188" s="59"/>
      <c r="U188" s="104"/>
      <c r="V188" s="130"/>
      <c r="X188" s="54"/>
      <c r="Y188" s="56"/>
      <c r="AA188" s="105"/>
      <c r="AB188" s="105"/>
      <c r="AC188" s="134"/>
    </row>
    <row r="189" spans="1:29" ht="15.75">
      <c r="A189" s="29"/>
      <c r="B189" s="55"/>
      <c r="C189" s="55"/>
      <c r="D189" s="55"/>
      <c r="E189" s="55"/>
      <c r="F189" s="55"/>
      <c r="G189" s="55"/>
      <c r="H189" s="56"/>
      <c r="I189" s="82"/>
      <c r="J189" s="116"/>
      <c r="K189" s="125"/>
      <c r="L189" s="58"/>
      <c r="M189" s="58"/>
      <c r="N189" s="58"/>
      <c r="O189" s="58"/>
      <c r="P189" s="59"/>
      <c r="Q189" s="59"/>
      <c r="R189" s="59"/>
      <c r="S189" s="59"/>
      <c r="T189" s="59"/>
      <c r="U189" s="104"/>
      <c r="V189" s="130"/>
      <c r="X189" s="54"/>
      <c r="Y189" s="56"/>
      <c r="AA189" s="105"/>
      <c r="AB189" s="105"/>
      <c r="AC189" s="134"/>
    </row>
    <row r="190" spans="1:29" ht="15.75">
      <c r="A190" s="29"/>
      <c r="B190" s="55"/>
      <c r="C190" s="55"/>
      <c r="D190" s="55"/>
      <c r="E190" s="55"/>
      <c r="F190" s="55"/>
      <c r="G190" s="55"/>
      <c r="H190" s="56"/>
      <c r="I190" s="82"/>
      <c r="J190" s="116"/>
      <c r="K190" s="125"/>
      <c r="L190" s="58"/>
      <c r="M190" s="58"/>
      <c r="N190" s="58"/>
      <c r="O190" s="58"/>
      <c r="P190" s="59"/>
      <c r="Q190" s="59"/>
      <c r="R190" s="59"/>
      <c r="S190" s="59"/>
      <c r="T190" s="59"/>
      <c r="U190" s="104"/>
      <c r="V190" s="130"/>
      <c r="X190" s="54"/>
      <c r="Y190" s="56"/>
      <c r="AA190" s="105"/>
      <c r="AB190" s="105"/>
      <c r="AC190" s="134"/>
    </row>
    <row r="191" spans="1:29" ht="15.75">
      <c r="A191" s="29"/>
      <c r="B191" s="55"/>
      <c r="C191" s="55"/>
      <c r="D191" s="55"/>
      <c r="E191" s="55"/>
      <c r="F191" s="55"/>
      <c r="G191" s="55"/>
      <c r="H191" s="56"/>
      <c r="I191" s="82"/>
      <c r="J191" s="116"/>
      <c r="K191" s="125"/>
      <c r="L191" s="58"/>
      <c r="M191" s="58"/>
      <c r="N191" s="58"/>
      <c r="O191" s="58"/>
      <c r="P191" s="59"/>
      <c r="Q191" s="59"/>
      <c r="R191" s="59"/>
      <c r="S191" s="59"/>
      <c r="T191" s="59"/>
      <c r="U191" s="104"/>
      <c r="V191" s="130"/>
      <c r="X191" s="54"/>
      <c r="Y191" s="56"/>
      <c r="AA191" s="105"/>
      <c r="AB191" s="105"/>
      <c r="AC191" s="134"/>
    </row>
    <row r="192" spans="1:29" ht="15.75">
      <c r="A192" s="29"/>
      <c r="B192" s="55"/>
      <c r="C192" s="55"/>
      <c r="D192" s="55"/>
      <c r="E192" s="55"/>
      <c r="F192" s="55"/>
      <c r="G192" s="55"/>
      <c r="H192" s="56"/>
      <c r="I192" s="82"/>
      <c r="J192" s="116"/>
      <c r="K192" s="125"/>
      <c r="L192" s="58"/>
      <c r="M192" s="58"/>
      <c r="N192" s="58"/>
      <c r="O192" s="58"/>
      <c r="P192" s="59"/>
      <c r="Q192" s="59"/>
      <c r="R192" s="59"/>
      <c r="S192" s="59"/>
      <c r="T192" s="59"/>
      <c r="U192" s="104"/>
      <c r="V192" s="130"/>
      <c r="X192" s="54"/>
      <c r="Y192" s="56"/>
      <c r="AA192" s="105"/>
      <c r="AB192" s="105"/>
      <c r="AC192" s="134"/>
    </row>
    <row r="193" spans="1:29" ht="15.75">
      <c r="A193" s="29"/>
      <c r="B193" s="55"/>
      <c r="C193" s="55"/>
      <c r="D193" s="55"/>
      <c r="E193" s="55"/>
      <c r="F193" s="55"/>
      <c r="G193" s="55"/>
      <c r="H193" s="56"/>
      <c r="I193" s="82"/>
      <c r="J193" s="116"/>
      <c r="K193" s="125"/>
      <c r="L193" s="58"/>
      <c r="M193" s="58"/>
      <c r="N193" s="58"/>
      <c r="O193" s="58"/>
      <c r="P193" s="59"/>
      <c r="Q193" s="59"/>
      <c r="R193" s="59"/>
      <c r="S193" s="59"/>
      <c r="T193" s="59"/>
      <c r="U193" s="104"/>
      <c r="V193" s="130"/>
      <c r="X193" s="54"/>
      <c r="Y193" s="56"/>
      <c r="AA193" s="105"/>
      <c r="AB193" s="105"/>
      <c r="AC193" s="134"/>
    </row>
    <row r="194" spans="1:29" ht="15.75">
      <c r="A194" s="29"/>
      <c r="B194" s="55"/>
      <c r="C194" s="55"/>
      <c r="D194" s="55"/>
      <c r="E194" s="55"/>
      <c r="F194" s="55"/>
      <c r="G194" s="55"/>
      <c r="H194" s="56"/>
      <c r="I194" s="82"/>
      <c r="J194" s="116"/>
      <c r="K194" s="125"/>
      <c r="L194" s="58"/>
      <c r="M194" s="58"/>
      <c r="N194" s="58"/>
      <c r="O194" s="58"/>
      <c r="P194" s="59"/>
      <c r="Q194" s="59"/>
      <c r="R194" s="59"/>
      <c r="S194" s="59"/>
      <c r="T194" s="59"/>
      <c r="U194" s="104"/>
      <c r="V194" s="130"/>
      <c r="X194" s="54"/>
      <c r="Y194" s="56"/>
      <c r="AA194" s="105"/>
      <c r="AB194" s="105"/>
      <c r="AC194" s="134"/>
    </row>
    <row r="195" spans="1:29" ht="15.75">
      <c r="A195" s="29"/>
      <c r="B195" s="55"/>
      <c r="C195" s="55"/>
      <c r="D195" s="55"/>
      <c r="E195" s="55"/>
      <c r="F195" s="55"/>
      <c r="G195" s="55"/>
      <c r="H195" s="56"/>
      <c r="I195" s="82"/>
      <c r="J195" s="116"/>
      <c r="K195" s="125"/>
      <c r="L195" s="58"/>
      <c r="M195" s="58"/>
      <c r="N195" s="58"/>
      <c r="O195" s="58"/>
      <c r="P195" s="59"/>
      <c r="Q195" s="59"/>
      <c r="R195" s="59"/>
      <c r="S195" s="59"/>
      <c r="T195" s="59"/>
      <c r="U195" s="104"/>
      <c r="V195" s="130"/>
      <c r="X195" s="54"/>
      <c r="Y195" s="56"/>
      <c r="AA195" s="105"/>
      <c r="AB195" s="105"/>
      <c r="AC195" s="134"/>
    </row>
    <row r="196" spans="1:29" ht="15.75">
      <c r="A196" s="29"/>
      <c r="B196" s="55"/>
      <c r="C196" s="55"/>
      <c r="D196" s="55"/>
      <c r="E196" s="55"/>
      <c r="F196" s="55"/>
      <c r="G196" s="55"/>
      <c r="H196" s="56"/>
      <c r="I196" s="82"/>
      <c r="J196" s="116"/>
      <c r="K196" s="125"/>
      <c r="L196" s="58"/>
      <c r="M196" s="58"/>
      <c r="N196" s="58"/>
      <c r="O196" s="58"/>
      <c r="P196" s="59"/>
      <c r="Q196" s="59"/>
      <c r="R196" s="59"/>
      <c r="S196" s="59"/>
      <c r="T196" s="59"/>
      <c r="U196" s="104"/>
      <c r="V196" s="130"/>
      <c r="X196" s="54"/>
      <c r="Y196" s="56"/>
      <c r="AA196" s="105"/>
      <c r="AB196" s="105"/>
      <c r="AC196" s="134"/>
    </row>
    <row r="197" spans="1:29" ht="15.75">
      <c r="A197" s="29"/>
      <c r="B197" s="55"/>
      <c r="C197" s="55"/>
      <c r="D197" s="55"/>
      <c r="E197" s="55"/>
      <c r="F197" s="55"/>
      <c r="G197" s="55"/>
      <c r="H197" s="56"/>
      <c r="I197" s="82"/>
      <c r="J197" s="116"/>
      <c r="K197" s="125"/>
      <c r="L197" s="58"/>
      <c r="M197" s="58"/>
      <c r="N197" s="58"/>
      <c r="O197" s="58"/>
      <c r="P197" s="59"/>
      <c r="Q197" s="59"/>
      <c r="R197" s="59"/>
      <c r="S197" s="59"/>
      <c r="T197" s="59"/>
      <c r="U197" s="104"/>
      <c r="V197" s="130"/>
      <c r="X197" s="54"/>
      <c r="Y197" s="56"/>
      <c r="AA197" s="105"/>
      <c r="AB197" s="105"/>
      <c r="AC197" s="134"/>
    </row>
    <row r="198" spans="1:29" ht="15.75">
      <c r="A198" s="29"/>
      <c r="B198" s="55"/>
      <c r="C198" s="55"/>
      <c r="D198" s="55"/>
      <c r="E198" s="55"/>
      <c r="F198" s="55"/>
      <c r="G198" s="55"/>
      <c r="H198" s="56"/>
      <c r="I198" s="82"/>
      <c r="J198" s="116"/>
      <c r="K198" s="125"/>
      <c r="L198" s="58"/>
      <c r="M198" s="58"/>
      <c r="N198" s="58"/>
      <c r="O198" s="58"/>
      <c r="P198" s="59"/>
      <c r="Q198" s="59"/>
      <c r="R198" s="59"/>
      <c r="S198" s="59"/>
      <c r="T198" s="59"/>
      <c r="U198" s="104"/>
      <c r="V198" s="130"/>
      <c r="X198" s="54"/>
      <c r="Y198" s="56"/>
      <c r="AA198" s="105"/>
      <c r="AB198" s="105"/>
      <c r="AC198" s="134"/>
    </row>
    <row r="199" spans="1:29" ht="15.75">
      <c r="A199" s="29"/>
      <c r="B199" s="55"/>
      <c r="C199" s="55"/>
      <c r="D199" s="55"/>
      <c r="E199" s="55"/>
      <c r="F199" s="55"/>
      <c r="G199" s="55"/>
      <c r="H199" s="56"/>
      <c r="I199" s="82"/>
      <c r="J199" s="116"/>
      <c r="K199" s="125"/>
      <c r="L199" s="58"/>
      <c r="M199" s="58"/>
      <c r="N199" s="58"/>
      <c r="O199" s="58"/>
      <c r="P199" s="59"/>
      <c r="Q199" s="59"/>
      <c r="R199" s="59"/>
      <c r="S199" s="59"/>
      <c r="T199" s="59"/>
      <c r="U199" s="104"/>
      <c r="V199" s="130"/>
      <c r="X199" s="54"/>
      <c r="Y199" s="56"/>
      <c r="AA199" s="105"/>
      <c r="AB199" s="105"/>
      <c r="AC199" s="134"/>
    </row>
    <row r="200" spans="1:29" ht="15.75">
      <c r="A200" s="29"/>
      <c r="B200" s="55"/>
      <c r="C200" s="55"/>
      <c r="D200" s="55"/>
      <c r="E200" s="55"/>
      <c r="F200" s="55"/>
      <c r="G200" s="55"/>
      <c r="H200" s="56"/>
      <c r="I200" s="82"/>
      <c r="J200" s="116"/>
      <c r="K200" s="125"/>
      <c r="L200" s="58"/>
      <c r="M200" s="58"/>
      <c r="N200" s="58"/>
      <c r="O200" s="58"/>
      <c r="P200" s="59"/>
      <c r="Q200" s="59"/>
      <c r="R200" s="59"/>
      <c r="S200" s="59"/>
      <c r="T200" s="59"/>
      <c r="U200" s="104"/>
      <c r="V200" s="130"/>
      <c r="X200" s="54"/>
      <c r="Y200" s="56"/>
      <c r="AA200" s="105"/>
      <c r="AB200" s="105"/>
      <c r="AC200" s="134"/>
    </row>
    <row r="201" spans="1:29" ht="15.75">
      <c r="A201" s="29"/>
      <c r="B201" s="55"/>
      <c r="C201" s="55"/>
      <c r="D201" s="55"/>
      <c r="E201" s="55"/>
      <c r="F201" s="55"/>
      <c r="G201" s="55"/>
      <c r="H201" s="56"/>
      <c r="I201" s="82"/>
      <c r="J201" s="116"/>
      <c r="K201" s="125"/>
      <c r="L201" s="58"/>
      <c r="M201" s="58"/>
      <c r="N201" s="58"/>
      <c r="O201" s="58"/>
      <c r="P201" s="59"/>
      <c r="Q201" s="59"/>
      <c r="R201" s="59"/>
      <c r="S201" s="59"/>
      <c r="T201" s="59"/>
      <c r="U201" s="104"/>
      <c r="V201" s="130"/>
      <c r="X201" s="54"/>
      <c r="Y201" s="56"/>
      <c r="AA201" s="105"/>
      <c r="AB201" s="105"/>
      <c r="AC201" s="134"/>
    </row>
    <row r="202" spans="1:29" ht="16.5" thickBot="1">
      <c r="A202" s="30"/>
      <c r="B202" s="31"/>
      <c r="C202" s="31"/>
      <c r="D202" s="31"/>
      <c r="E202" s="31"/>
      <c r="F202" s="31"/>
      <c r="G202" s="31"/>
      <c r="H202" s="32"/>
      <c r="I202" s="82"/>
      <c r="J202" s="126"/>
      <c r="K202" s="127"/>
      <c r="L202" s="50"/>
      <c r="M202" s="50"/>
      <c r="N202" s="50"/>
      <c r="O202" s="50"/>
      <c r="P202" s="51"/>
      <c r="Q202" s="51"/>
      <c r="R202" s="51"/>
      <c r="S202" s="51"/>
      <c r="T202" s="51"/>
      <c r="U202" s="52"/>
      <c r="V202" s="131"/>
      <c r="X202" s="30"/>
      <c r="Y202" s="32"/>
      <c r="AA202" s="62"/>
      <c r="AB202" s="62"/>
      <c r="AC202" s="135"/>
    </row>
  </sheetData>
  <autoFilter ref="A2:AC146" xr:uid="{969E45CB-FC1E-4835-BA2F-DA99948549B1}"/>
  <mergeCells count="1">
    <mergeCell ref="AA1:AB1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A0C3-659A-40BD-A5DA-9D16F95DFC2C}">
  <dimension ref="A1:AD202"/>
  <sheetViews>
    <sheetView showGridLines="0" zoomScale="95" zoomScaleNormal="95" workbookViewId="0">
      <pane xSplit="4" ySplit="2" topLeftCell="E4" activePane="bottomRight" state="frozen"/>
      <selection pane="bottomRight" activeCell="A2" sqref="A2"/>
      <selection pane="bottomLeft" activeCell="A3" sqref="A3"/>
      <selection pane="topRight" activeCell="E1" sqref="E1"/>
    </sheetView>
  </sheetViews>
  <sheetFormatPr defaultColWidth="8.7109375" defaultRowHeight="15"/>
  <cols>
    <col min="1" max="1" width="8.7109375" style="5" customWidth="1"/>
    <col min="2" max="2" width="20.7109375" style="5" customWidth="1"/>
    <col min="3" max="3" width="15.7109375" style="5" customWidth="1"/>
    <col min="4" max="4" width="23.7109375" style="5" customWidth="1"/>
    <col min="5" max="8" width="10.7109375" style="5" customWidth="1"/>
    <col min="9" max="9" width="3.7109375" style="8" customWidth="1"/>
    <col min="10" max="10" width="10.7109375" style="5" customWidth="1"/>
    <col min="11" max="11" width="12.42578125" style="12" customWidth="1"/>
    <col min="12" max="12" width="10.7109375" style="8" customWidth="1"/>
    <col min="13" max="13" width="10" style="8" customWidth="1"/>
    <col min="14" max="14" width="10.7109375" style="8" customWidth="1"/>
    <col min="15" max="15" width="9.7109375" style="8" customWidth="1"/>
    <col min="16" max="21" width="10.7109375" style="5" customWidth="1"/>
    <col min="22" max="22" width="10.7109375" style="15" customWidth="1"/>
    <col min="23" max="23" width="1.7109375" style="8" customWidth="1"/>
    <col min="24" max="24" width="12.7109375" style="5" customWidth="1"/>
    <col min="25" max="25" width="12.140625" style="5" customWidth="1"/>
    <col min="26" max="26" width="1.7109375" style="8" customWidth="1"/>
    <col min="27" max="28" width="10.7109375" style="8" customWidth="1"/>
    <col min="29" max="29" width="20.7109375" style="8" customWidth="1"/>
    <col min="30" max="984" width="10.7109375" style="8" customWidth="1"/>
    <col min="985" max="16384" width="8.7109375" style="8"/>
  </cols>
  <sheetData>
    <row r="1" spans="1:30" ht="28.5" customHeight="1" thickBot="1">
      <c r="A1" s="4"/>
      <c r="B1" s="4"/>
      <c r="C1" s="4"/>
      <c r="D1" s="24"/>
      <c r="E1" s="25"/>
      <c r="F1" s="4"/>
      <c r="I1" s="6"/>
      <c r="K1" s="7"/>
      <c r="L1" s="6"/>
      <c r="M1" s="6"/>
      <c r="N1" s="6"/>
      <c r="O1" s="6"/>
      <c r="W1" s="6"/>
      <c r="AA1" s="145">
        <v>45688</v>
      </c>
      <c r="AB1" s="146" t="s">
        <v>380</v>
      </c>
      <c r="AC1" s="75">
        <v>45716</v>
      </c>
      <c r="AD1" s="8">
        <f>SUM(AD3:AD46)</f>
        <v>257865.18253530574</v>
      </c>
    </row>
    <row r="2" spans="1:30" s="45" customFormat="1" ht="50.25" customHeight="1" thickBot="1">
      <c r="A2" s="107" t="s">
        <v>0</v>
      </c>
      <c r="B2" s="108" t="s">
        <v>1</v>
      </c>
      <c r="C2" s="108" t="s">
        <v>2</v>
      </c>
      <c r="D2" s="108" t="s">
        <v>3</v>
      </c>
      <c r="E2" s="108" t="s">
        <v>4</v>
      </c>
      <c r="F2" s="108" t="s">
        <v>5</v>
      </c>
      <c r="G2" s="108" t="s">
        <v>6</v>
      </c>
      <c r="H2" s="109" t="s">
        <v>7</v>
      </c>
      <c r="J2" s="107" t="s">
        <v>8</v>
      </c>
      <c r="K2" s="110" t="s">
        <v>372</v>
      </c>
      <c r="L2" s="110" t="s">
        <v>373</v>
      </c>
      <c r="M2" s="111" t="s">
        <v>12</v>
      </c>
      <c r="N2" s="111" t="s">
        <v>381</v>
      </c>
      <c r="O2" s="111" t="s">
        <v>14</v>
      </c>
      <c r="P2" s="112" t="s">
        <v>15</v>
      </c>
      <c r="Q2" s="112" t="s">
        <v>16</v>
      </c>
      <c r="R2" s="112" t="s">
        <v>17</v>
      </c>
      <c r="S2" s="112" t="s">
        <v>18</v>
      </c>
      <c r="T2" s="112" t="s">
        <v>19</v>
      </c>
      <c r="U2" s="112" t="s">
        <v>20</v>
      </c>
      <c r="V2" s="113" t="s">
        <v>21</v>
      </c>
      <c r="X2" s="107" t="s">
        <v>22</v>
      </c>
      <c r="Y2" s="109" t="s">
        <v>23</v>
      </c>
      <c r="AA2" s="114" t="s">
        <v>382</v>
      </c>
      <c r="AB2" s="114" t="s">
        <v>383</v>
      </c>
      <c r="AC2" s="115" t="s">
        <v>384</v>
      </c>
      <c r="AD2" s="45" t="s">
        <v>26</v>
      </c>
    </row>
    <row r="3" spans="1:30" ht="15.75">
      <c r="A3" s="67" t="s">
        <v>27</v>
      </c>
      <c r="B3" s="68" t="s">
        <v>28</v>
      </c>
      <c r="C3" s="69" t="s">
        <v>29</v>
      </c>
      <c r="D3" s="68" t="s">
        <v>30</v>
      </c>
      <c r="E3" s="68" t="str">
        <f t="shared" ref="E3:E51" si="0">IF(B3="","",IF(D3="Godfroy","Godfroy",(IF(LEFT(B3,1)="1","Hiwa","Direct"))))</f>
        <v>Hiwa</v>
      </c>
      <c r="F3" s="68" t="s">
        <v>31</v>
      </c>
      <c r="G3" s="68">
        <v>80</v>
      </c>
      <c r="H3" s="70">
        <f>G3*215</f>
        <v>17200</v>
      </c>
      <c r="I3" s="82"/>
      <c r="J3" s="116">
        <f t="shared" ref="J3:J10" si="1">+K3/H3</f>
        <v>1.0022066936373668</v>
      </c>
      <c r="K3" s="117">
        <f>18748/1.0876</f>
        <v>17237.95513056271</v>
      </c>
      <c r="L3" s="17"/>
      <c r="M3" s="17">
        <v>57.56</v>
      </c>
      <c r="N3" s="17"/>
      <c r="O3" s="16">
        <v>1113.75</v>
      </c>
      <c r="P3" s="16">
        <f>(27*42.45)+42.45+42.45+42.45+42.45+42.45+2.93+2.93+2.93+2.93+2.93+2.93+3.06+3.06+1.53+1.53</f>
        <v>1385.1600000000005</v>
      </c>
      <c r="Q3" s="16">
        <f>1.78+1.79+1.84+1.87+1.84+1.82+1.81+1.72+1.64+1.67+1.66+1.66+1.66+1.63+1.61+0.11+0.12+0.12+0.12+0.06</f>
        <v>26.53</v>
      </c>
      <c r="R3" s="16">
        <f>51.74+54.64+54.64+54.64+54.64</f>
        <v>270.29999999999995</v>
      </c>
      <c r="S3" s="16">
        <f>14.75+18.66+14.75+15.4</f>
        <v>63.559999999999995</v>
      </c>
      <c r="T3" s="16">
        <f>395+180+280+1055+172</f>
        <v>2082</v>
      </c>
      <c r="U3" s="19">
        <f>IF(B3="","",K3+SUM(L3:Q3))</f>
        <v>19820.95513056271</v>
      </c>
      <c r="V3" s="128">
        <f t="shared" ref="V3:V39" si="2">IF(J3="","",+U3/H3)</f>
        <v>1.152381112242018</v>
      </c>
      <c r="X3" s="40">
        <v>335274</v>
      </c>
      <c r="Y3" s="41">
        <v>45086</v>
      </c>
      <c r="AA3" s="60">
        <v>1</v>
      </c>
      <c r="AB3" s="60">
        <v>1</v>
      </c>
      <c r="AC3" s="132">
        <v>0</v>
      </c>
      <c r="AD3" s="8" t="str">
        <f>IF(AC3&gt;0,(((H3/G3)*AC3)*V3),"")</f>
        <v/>
      </c>
    </row>
    <row r="4" spans="1:30" ht="15.75">
      <c r="A4" s="26" t="s">
        <v>32</v>
      </c>
      <c r="B4" s="11" t="s">
        <v>33</v>
      </c>
      <c r="C4" s="3" t="s">
        <v>34</v>
      </c>
      <c r="D4" s="3" t="s">
        <v>35</v>
      </c>
      <c r="E4" s="3" t="str">
        <f t="shared" si="0"/>
        <v>Godfroy</v>
      </c>
      <c r="F4" s="3" t="s">
        <v>36</v>
      </c>
      <c r="G4" s="3">
        <v>256</v>
      </c>
      <c r="H4" s="28">
        <v>2560</v>
      </c>
      <c r="I4" s="82"/>
      <c r="J4" s="116">
        <f t="shared" si="1"/>
        <v>1.78</v>
      </c>
      <c r="K4" s="117">
        <v>4556.8</v>
      </c>
      <c r="L4" s="17"/>
      <c r="M4" s="17"/>
      <c r="N4" s="17"/>
      <c r="O4" s="17">
        <v>49.65</v>
      </c>
      <c r="P4" s="16">
        <f>82.87+82.87+80.2+82.87+80.2+82.87+62.15+56.14+62.15+60.15+62.15+60.15+62.15+62.15+60.15+62.15+60.15+62.15+62.15</f>
        <v>1285.8200000000002</v>
      </c>
      <c r="Q4" s="16">
        <f>8.54+8.54+8.54+8.54+8.54+8.54+6.4+6.4+6.4+6.4+6.4+6.4+6.4+6.4+6.4+6.4+6.4+6.4+6.4</f>
        <v>134.44000000000005</v>
      </c>
      <c r="R4" s="16" t="s">
        <v>37</v>
      </c>
      <c r="S4" s="16">
        <f>4.3+4.3+1.61</f>
        <v>10.209999999999999</v>
      </c>
      <c r="T4" s="16">
        <v>148</v>
      </c>
      <c r="U4" s="19">
        <f t="shared" ref="U4:U6" si="3">IF(B4="","",K4+SUM(L4:Q4))</f>
        <v>6026.7100000000009</v>
      </c>
      <c r="V4" s="128">
        <f t="shared" si="2"/>
        <v>2.3541835937500002</v>
      </c>
      <c r="X4" s="77">
        <v>93104899</v>
      </c>
      <c r="Y4" s="76">
        <v>45131</v>
      </c>
      <c r="AA4" s="78">
        <v>1920</v>
      </c>
      <c r="AB4" s="78"/>
      <c r="AC4" s="132">
        <v>96</v>
      </c>
      <c r="AD4" s="8">
        <f t="shared" ref="AD4:AD6" si="4">IF(AC4&gt;0,(((H4/G4)*AC4)*V4),"")</f>
        <v>2260.0162500000001</v>
      </c>
    </row>
    <row r="5" spans="1:30" ht="15.75">
      <c r="A5" s="26" t="s">
        <v>38</v>
      </c>
      <c r="B5" s="3" t="s">
        <v>39</v>
      </c>
      <c r="C5" s="3" t="s">
        <v>34</v>
      </c>
      <c r="D5" s="3" t="s">
        <v>35</v>
      </c>
      <c r="E5" s="3" t="str">
        <f t="shared" si="0"/>
        <v>Godfroy</v>
      </c>
      <c r="F5" s="3" t="s">
        <v>36</v>
      </c>
      <c r="G5" s="3">
        <v>128</v>
      </c>
      <c r="H5" s="28">
        <v>1280</v>
      </c>
      <c r="I5" s="82"/>
      <c r="J5" s="116">
        <f t="shared" si="1"/>
        <v>2.88</v>
      </c>
      <c r="K5" s="117">
        <v>3686.4</v>
      </c>
      <c r="L5" s="17"/>
      <c r="M5" s="17"/>
      <c r="N5" s="17"/>
      <c r="O5" s="17">
        <v>27</v>
      </c>
      <c r="P5" s="16">
        <f>41.44+20.72+20.04+20.72+20.05+20.72+20.72+18.71+20.72+20.05+20.72+20.05+20.72+20.72+20.05+20.72+20.05+20.72+20.72</f>
        <v>408.36</v>
      </c>
      <c r="Q5" s="16">
        <f>5.74+2.87+2.87+2.87+2.87+2.87+2.87+2.87+2.87+2.87+2.87+2.87+2.87+2.87+2.87+2.87+2.87+2.87+2.87</f>
        <v>57.399999999999984</v>
      </c>
      <c r="R5" s="16" t="s">
        <v>37</v>
      </c>
      <c r="S5" s="16">
        <f>4.3+4.3+1.61</f>
        <v>10.209999999999999</v>
      </c>
      <c r="T5" s="16">
        <f>241+97.72</f>
        <v>338.72</v>
      </c>
      <c r="U5" s="19">
        <f t="shared" si="3"/>
        <v>4179.16</v>
      </c>
      <c r="V5" s="128">
        <f t="shared" si="2"/>
        <v>3.26496875</v>
      </c>
      <c r="X5" s="77">
        <v>93104898</v>
      </c>
      <c r="Y5" s="76">
        <v>45131</v>
      </c>
      <c r="AA5" s="78">
        <v>640</v>
      </c>
      <c r="AB5" s="78"/>
      <c r="AC5" s="132">
        <v>0</v>
      </c>
      <c r="AD5" s="8" t="str">
        <f t="shared" si="4"/>
        <v/>
      </c>
    </row>
    <row r="6" spans="1:30" ht="15" customHeight="1">
      <c r="A6" s="26" t="s">
        <v>40</v>
      </c>
      <c r="B6" s="11" t="s">
        <v>41</v>
      </c>
      <c r="C6" s="3" t="s">
        <v>34</v>
      </c>
      <c r="D6" s="3" t="s">
        <v>35</v>
      </c>
      <c r="E6" s="3" t="str">
        <f t="shared" si="0"/>
        <v>Godfroy</v>
      </c>
      <c r="F6" s="3" t="s">
        <v>36</v>
      </c>
      <c r="G6" s="3">
        <v>1664</v>
      </c>
      <c r="H6" s="28">
        <v>16640</v>
      </c>
      <c r="I6" s="82"/>
      <c r="J6" s="116">
        <f t="shared" si="1"/>
        <v>2.52</v>
      </c>
      <c r="K6" s="117">
        <v>41932.800000000003</v>
      </c>
      <c r="L6" s="17"/>
      <c r="M6" s="17"/>
      <c r="N6" s="17"/>
      <c r="O6" s="17">
        <v>327</v>
      </c>
      <c r="P6" s="16">
        <f>497.23+414.36+400.99+414.36+400.99+414.36+393.64+355.55+393.64+380.94+352.21+280.7+145.03+145.03+140.35+145.03+140.35+145.03+145.03</f>
        <v>5704.82</v>
      </c>
      <c r="Q6" s="16">
        <f>61.82+49.91+49.91+49.91+49.91+49.91+47.33+47.33+47.33+47.33+42.18+34.45+16.42+16.42+16.42+16.42+16.42+16.42+16.42</f>
        <v>692.25999999999965</v>
      </c>
      <c r="R6" s="16" t="s">
        <v>37</v>
      </c>
      <c r="S6" s="16">
        <f>17*(4.3+1.61)</f>
        <v>100.47</v>
      </c>
      <c r="T6" s="16">
        <f>141.37+42.85+150.47+128.25+121.18+296+210+196+213.4+190</f>
        <v>1689.52</v>
      </c>
      <c r="U6" s="19">
        <f t="shared" si="3"/>
        <v>48656.880000000005</v>
      </c>
      <c r="V6" s="128">
        <f t="shared" si="2"/>
        <v>2.9240913461538462</v>
      </c>
      <c r="X6" s="77">
        <v>93104900</v>
      </c>
      <c r="Y6" s="76">
        <v>45131</v>
      </c>
      <c r="AA6" s="78">
        <v>204</v>
      </c>
      <c r="AB6" s="78"/>
      <c r="AC6" s="132">
        <v>204</v>
      </c>
      <c r="AD6" s="8">
        <f t="shared" si="4"/>
        <v>5965.146346153846</v>
      </c>
    </row>
    <row r="7" spans="1:30" ht="15.75">
      <c r="A7" s="26" t="s">
        <v>42</v>
      </c>
      <c r="B7" s="3" t="s">
        <v>43</v>
      </c>
      <c r="C7" s="3" t="s">
        <v>374</v>
      </c>
      <c r="D7" s="13" t="s">
        <v>45</v>
      </c>
      <c r="E7" s="3" t="str">
        <f t="shared" si="0"/>
        <v>Hiwa</v>
      </c>
      <c r="F7" s="3" t="s">
        <v>46</v>
      </c>
      <c r="G7" s="3">
        <v>72</v>
      </c>
      <c r="H7" s="28">
        <v>1440</v>
      </c>
      <c r="I7" s="82"/>
      <c r="J7" s="116">
        <f t="shared" si="1"/>
        <v>2.2220138888888887</v>
      </c>
      <c r="K7" s="117">
        <v>3199.7</v>
      </c>
      <c r="L7" s="17"/>
      <c r="M7" s="17">
        <v>223.81</v>
      </c>
      <c r="N7" s="17"/>
      <c r="O7" s="18">
        <v>132.0289156626506</v>
      </c>
      <c r="P7" s="16">
        <f>(19*18.03)+18.03+18.03+18.03+18.03+18.03+18.03+18.03+18.03+18.03+18.03+18.03+18.82+18.82+9.41+9.41</f>
        <v>597.35999999999979</v>
      </c>
      <c r="Q7" s="16">
        <f>0.84+0.83+0.82+0.81+0.82+0.81+0.83+0.82+0.83+0.82+0.81+0.8+0.81+0.84+0.84+0.84+0.43</f>
        <v>13.600000000000001</v>
      </c>
      <c r="R7" s="16">
        <v>57.04</v>
      </c>
      <c r="S7" s="16">
        <v>0</v>
      </c>
      <c r="T7" s="16">
        <v>0</v>
      </c>
      <c r="U7" s="19">
        <f t="shared" ref="U7:U48" si="5">IF(B7="","",K7+SUM(L7:Q7))</f>
        <v>4166.4989156626507</v>
      </c>
      <c r="V7" s="128">
        <f t="shared" si="2"/>
        <v>2.8934020247657295</v>
      </c>
      <c r="X7" s="29">
        <v>342136</v>
      </c>
      <c r="Y7" s="42">
        <v>45209</v>
      </c>
      <c r="AA7" s="61">
        <v>36</v>
      </c>
      <c r="AB7" s="61">
        <v>36</v>
      </c>
      <c r="AC7" s="132">
        <v>36</v>
      </c>
      <c r="AD7" s="8">
        <f t="shared" ref="AD7:AD41" si="6">IF(AC7&gt;0,(((H7/G7)*AC7)*V7),"")</f>
        <v>2083.2494578313253</v>
      </c>
    </row>
    <row r="8" spans="1:30" ht="15.75">
      <c r="A8" s="26" t="s">
        <v>47</v>
      </c>
      <c r="B8" s="3" t="s">
        <v>48</v>
      </c>
      <c r="C8" s="3" t="s">
        <v>374</v>
      </c>
      <c r="D8" s="13" t="s">
        <v>45</v>
      </c>
      <c r="E8" s="3" t="str">
        <f t="shared" si="0"/>
        <v>Hiwa</v>
      </c>
      <c r="F8" s="3" t="s">
        <v>46</v>
      </c>
      <c r="G8" s="3">
        <v>714</v>
      </c>
      <c r="H8" s="28">
        <v>14280</v>
      </c>
      <c r="I8" s="82"/>
      <c r="J8" s="116">
        <f t="shared" si="1"/>
        <v>2.0831407563025208</v>
      </c>
      <c r="K8" s="117">
        <v>29747.25</v>
      </c>
      <c r="L8" s="17"/>
      <c r="M8" s="17">
        <v>1181</v>
      </c>
      <c r="N8" s="17"/>
      <c r="O8" s="18">
        <v>1309.2867469879518</v>
      </c>
      <c r="P8" s="16">
        <f>(19*115.67)+39.34+115.67+10.26+115.67+10.26+115.67+10.26+115.67+10.26+115.67+10.26+115.67+10.26+115.67+10.26+115.67+10.26+115.67+10.26+115.67+10.26+115.67+10.26+120.75+10.72+120.75+10.72+87.82+10.72+87.82+10.72</f>
        <v>4082.3200000000029</v>
      </c>
      <c r="Q8" s="16">
        <f>(7.84+7.7+7.63+7.59+6.76+6.68+6.8+5.4+5.42+4.95+4.87+4.82+4.87+5.04+5.06+5.17+3.74)+(0.43+0.43+0.43+0.45+0.45+0.46+0.46)</f>
        <v>103.45000000000002</v>
      </c>
      <c r="R8" s="16">
        <f>54.64+54.64</f>
        <v>109.28</v>
      </c>
      <c r="S8" s="16">
        <v>0</v>
      </c>
      <c r="T8" s="16">
        <f>235+280+(390/2)</f>
        <v>710</v>
      </c>
      <c r="U8" s="19">
        <f t="shared" si="5"/>
        <v>36423.306746987953</v>
      </c>
      <c r="V8" s="128">
        <f t="shared" si="2"/>
        <v>2.5506517329823497</v>
      </c>
      <c r="X8" s="79" t="s">
        <v>379</v>
      </c>
      <c r="Y8" s="43">
        <v>45209</v>
      </c>
      <c r="AA8" s="61">
        <f>336+41</f>
        <v>377</v>
      </c>
      <c r="AB8" s="61">
        <v>377</v>
      </c>
      <c r="AC8" s="132">
        <v>377</v>
      </c>
      <c r="AD8" s="8">
        <f t="shared" si="6"/>
        <v>19231.914066686917</v>
      </c>
    </row>
    <row r="9" spans="1:30" ht="15.75">
      <c r="A9" s="29" t="s">
        <v>50</v>
      </c>
      <c r="B9" s="3" t="s">
        <v>51</v>
      </c>
      <c r="C9" s="9" t="s">
        <v>52</v>
      </c>
      <c r="D9" s="13" t="s">
        <v>30</v>
      </c>
      <c r="E9" s="3" t="str">
        <f t="shared" si="0"/>
        <v>Hiwa</v>
      </c>
      <c r="F9" s="3" t="s">
        <v>46</v>
      </c>
      <c r="G9" s="1">
        <v>80</v>
      </c>
      <c r="H9" s="27">
        <v>16800</v>
      </c>
      <c r="I9" s="82"/>
      <c r="J9" s="116">
        <f t="shared" si="1"/>
        <v>3.6330973830973825</v>
      </c>
      <c r="K9" s="117">
        <f>65040/1.0656</f>
        <v>61036.036036036028</v>
      </c>
      <c r="L9" s="17"/>
      <c r="M9" s="17">
        <v>94.01</v>
      </c>
      <c r="N9" s="17">
        <v>275</v>
      </c>
      <c r="O9" s="17">
        <v>1224</v>
      </c>
      <c r="P9" s="16">
        <f>(4*89.88)+89.88+89.88+67.41+67.41+67.41+67.41+50.56+22.47+22.47+22.47+23.47+23.47</f>
        <v>973.82999999999993</v>
      </c>
      <c r="Q9" s="16">
        <f>16.47+16.47+13.18+13.18+9.88+9.88+3.29+3.29</f>
        <v>85.64</v>
      </c>
      <c r="R9" s="16">
        <f>54.64+54.64+54.64+54.64</f>
        <v>218.56</v>
      </c>
      <c r="S9" s="16">
        <v>0</v>
      </c>
      <c r="T9" s="16">
        <v>0</v>
      </c>
      <c r="U9" s="19">
        <f t="shared" si="5"/>
        <v>63688.516036036031</v>
      </c>
      <c r="V9" s="128">
        <f t="shared" si="2"/>
        <v>3.7909830973830969</v>
      </c>
      <c r="X9" s="29">
        <v>354004</v>
      </c>
      <c r="Y9" s="42">
        <v>45429</v>
      </c>
      <c r="AA9" s="61">
        <v>0</v>
      </c>
      <c r="AB9" s="61"/>
      <c r="AC9" s="132"/>
      <c r="AD9" s="8" t="str">
        <f t="shared" si="6"/>
        <v/>
      </c>
    </row>
    <row r="10" spans="1:30" ht="15.75">
      <c r="A10" s="29" t="s">
        <v>53</v>
      </c>
      <c r="B10" s="3" t="s">
        <v>54</v>
      </c>
      <c r="C10" s="9" t="s">
        <v>385</v>
      </c>
      <c r="D10" s="13" t="s">
        <v>30</v>
      </c>
      <c r="E10" s="3" t="str">
        <f t="shared" si="0"/>
        <v>Hiwa</v>
      </c>
      <c r="F10" s="10" t="s">
        <v>46</v>
      </c>
      <c r="G10" s="1">
        <v>46</v>
      </c>
      <c r="H10" s="27">
        <f>G10*220</f>
        <v>10120</v>
      </c>
      <c r="I10" s="82"/>
      <c r="J10" s="116">
        <f t="shared" si="1"/>
        <v>1.35</v>
      </c>
      <c r="K10" s="117">
        <v>13662</v>
      </c>
      <c r="L10" s="17"/>
      <c r="M10" s="17">
        <v>61</v>
      </c>
      <c r="N10" s="17"/>
      <c r="O10" s="17">
        <f>582+33</f>
        <v>615</v>
      </c>
      <c r="P10" s="16">
        <f>(3*75.7)+75.7+75.7+75.7+75.7+59.76+59.76+59.76+59.76+43.82+43.82+45.75+45.75+45.75+45.75</f>
        <v>1039.58</v>
      </c>
      <c r="Q10" s="16">
        <f>3.54+2.93+2.93+2.93+2.31+2.31+1.69+1.69+1.69</f>
        <v>22.020000000000003</v>
      </c>
      <c r="R10" s="16">
        <f>54.64+54.64+54.64</f>
        <v>163.92000000000002</v>
      </c>
      <c r="S10" s="16">
        <v>0</v>
      </c>
      <c r="T10" s="16">
        <f>230+230+230</f>
        <v>690</v>
      </c>
      <c r="U10" s="19">
        <f t="shared" si="5"/>
        <v>15399.6</v>
      </c>
      <c r="V10" s="128">
        <f t="shared" si="2"/>
        <v>1.5216996047430831</v>
      </c>
      <c r="X10" s="29">
        <v>354761</v>
      </c>
      <c r="Y10" s="42">
        <v>45447</v>
      </c>
      <c r="AA10" s="61">
        <v>22</v>
      </c>
      <c r="AB10" s="61">
        <v>22</v>
      </c>
      <c r="AC10" s="132">
        <v>22</v>
      </c>
      <c r="AD10" s="8">
        <f t="shared" si="6"/>
        <v>7365.0260869565218</v>
      </c>
    </row>
    <row r="11" spans="1:30" ht="16.5" customHeight="1">
      <c r="A11" s="29" t="s">
        <v>56</v>
      </c>
      <c r="B11" s="3" t="s">
        <v>57</v>
      </c>
      <c r="C11" s="9" t="s">
        <v>58</v>
      </c>
      <c r="D11" s="13" t="s">
        <v>30</v>
      </c>
      <c r="E11" s="3" t="str">
        <f t="shared" si="0"/>
        <v>Hiwa</v>
      </c>
      <c r="F11" s="10" t="s">
        <v>59</v>
      </c>
      <c r="G11" s="1">
        <v>124</v>
      </c>
      <c r="H11" s="27">
        <f>G11*190</f>
        <v>23560</v>
      </c>
      <c r="I11" s="82"/>
      <c r="J11" s="116">
        <f t="shared" ref="J11:J39" si="7">IF(H11="","",+K11/H11)</f>
        <v>0.63635525223646594</v>
      </c>
      <c r="K11" s="117">
        <f>16256.4/1.0843</f>
        <v>14992.529742691137</v>
      </c>
      <c r="L11" s="17">
        <f>((2250/1.0749)/140)*124</f>
        <v>1853.9930624775725</v>
      </c>
      <c r="M11" s="17">
        <v>2573.5</v>
      </c>
      <c r="N11" s="17">
        <f>275+165+78</f>
        <v>518</v>
      </c>
      <c r="O11" s="17">
        <f>1505-172</f>
        <v>1333</v>
      </c>
      <c r="P11" s="16">
        <f>108.29+68.99+68.99+68.99+68.99+68.99+68.99+68.99+68.99+68.99+68.99+68.99+72.07+72.07</f>
        <v>1011.3199999999999</v>
      </c>
      <c r="Q11" s="16">
        <f>7.55+4.73+4.68+4.73+4.9+4.92+5.02</f>
        <v>36.53</v>
      </c>
      <c r="R11" s="16">
        <f>2*54.64</f>
        <v>109.28</v>
      </c>
      <c r="S11" s="16">
        <v>1092.7</v>
      </c>
      <c r="T11" s="16">
        <f>((1760/108)*45)+((1600/108)*79)</f>
        <v>1903.7037037037039</v>
      </c>
      <c r="U11" s="19">
        <f t="shared" si="5"/>
        <v>22318.872805168707</v>
      </c>
      <c r="V11" s="128">
        <f t="shared" si="2"/>
        <v>0.94732057746896037</v>
      </c>
      <c r="X11" s="29">
        <v>356799</v>
      </c>
      <c r="Y11" s="42">
        <v>45482</v>
      </c>
      <c r="AA11" s="61">
        <v>0</v>
      </c>
      <c r="AB11" s="61"/>
      <c r="AC11" s="132"/>
      <c r="AD11" s="8" t="str">
        <f t="shared" si="6"/>
        <v/>
      </c>
    </row>
    <row r="12" spans="1:30" ht="15.75">
      <c r="A12" s="29" t="s">
        <v>60</v>
      </c>
      <c r="B12" s="3" t="s">
        <v>61</v>
      </c>
      <c r="C12" s="9" t="s">
        <v>62</v>
      </c>
      <c r="D12" s="13" t="s">
        <v>63</v>
      </c>
      <c r="E12" s="3" t="str">
        <f t="shared" si="0"/>
        <v>Hiwa</v>
      </c>
      <c r="F12" s="10" t="s">
        <v>46</v>
      </c>
      <c r="G12" s="1">
        <v>120</v>
      </c>
      <c r="H12" s="27">
        <v>22800</v>
      </c>
      <c r="I12" s="82"/>
      <c r="J12" s="116">
        <f t="shared" si="7"/>
        <v>1.3771578947368421</v>
      </c>
      <c r="K12" s="118">
        <v>31399.200000000001</v>
      </c>
      <c r="L12" s="17"/>
      <c r="M12" s="17">
        <f>60.78+33.23</f>
        <v>94.009999999999991</v>
      </c>
      <c r="N12" s="17"/>
      <c r="O12" s="17">
        <v>1311.7</v>
      </c>
      <c r="P12" s="16">
        <f>140.08+39.22+39.22+39.22+39.22+39.22+35.11+35.11+35.11</f>
        <v>441.5100000000001</v>
      </c>
      <c r="Q12" s="16">
        <f>8.14+2.04+2.04+1.75</f>
        <v>13.969999999999999</v>
      </c>
      <c r="R12" s="16">
        <f>54.64+54.64+54.64</f>
        <v>163.92000000000002</v>
      </c>
      <c r="S12" s="16">
        <v>0</v>
      </c>
      <c r="T12" s="16">
        <f>460+2350+225</f>
        <v>3035</v>
      </c>
      <c r="U12" s="19">
        <f t="shared" si="5"/>
        <v>33260.39</v>
      </c>
      <c r="V12" s="128">
        <f t="shared" si="2"/>
        <v>1.4587890350877193</v>
      </c>
      <c r="X12" s="29">
        <v>361283</v>
      </c>
      <c r="Y12" s="42">
        <v>45558</v>
      </c>
      <c r="AA12" s="61">
        <v>24</v>
      </c>
      <c r="AB12" s="61">
        <v>24</v>
      </c>
      <c r="AC12" s="132">
        <v>24</v>
      </c>
      <c r="AD12" s="8">
        <f t="shared" si="6"/>
        <v>6652.0779999999995</v>
      </c>
    </row>
    <row r="13" spans="1:30" ht="18" customHeight="1">
      <c r="A13" s="29" t="s">
        <v>64</v>
      </c>
      <c r="B13" s="3" t="s">
        <v>65</v>
      </c>
      <c r="C13" s="3" t="s">
        <v>375</v>
      </c>
      <c r="D13" s="13" t="s">
        <v>30</v>
      </c>
      <c r="E13" s="3" t="str">
        <f t="shared" si="0"/>
        <v>Hiwa</v>
      </c>
      <c r="F13" s="10" t="s">
        <v>46</v>
      </c>
      <c r="G13" s="1">
        <v>96</v>
      </c>
      <c r="H13" s="27">
        <v>19200</v>
      </c>
      <c r="I13" s="82"/>
      <c r="J13" s="116">
        <f t="shared" si="7"/>
        <v>1.8336847895846704</v>
      </c>
      <c r="K13" s="118">
        <f>38400/1.0907</f>
        <v>35206.74796002567</v>
      </c>
      <c r="L13" s="17"/>
      <c r="M13" s="17">
        <v>61</v>
      </c>
      <c r="N13" s="17">
        <v>38</v>
      </c>
      <c r="O13" s="17">
        <v>1008.94</v>
      </c>
      <c r="P13" s="16">
        <f>96.09+96.09+96.09+96.09+96.09+96.09+96.06+96.06+27.88+27.88+27.88+27.88</f>
        <v>880.18000000000006</v>
      </c>
      <c r="Q13" s="16">
        <f>8.88+6.66+6.85+7.09+2</f>
        <v>31.48</v>
      </c>
      <c r="R13" s="16">
        <f>54.64+54.64</f>
        <v>109.28</v>
      </c>
      <c r="S13" s="16">
        <v>0</v>
      </c>
      <c r="T13" s="16">
        <f>715+800</f>
        <v>1515</v>
      </c>
      <c r="U13" s="19">
        <f t="shared" si="5"/>
        <v>37226.347960025669</v>
      </c>
      <c r="V13" s="128">
        <f t="shared" si="2"/>
        <v>1.9388722895846702</v>
      </c>
      <c r="X13" s="29">
        <v>359055</v>
      </c>
      <c r="Y13" s="42">
        <v>45525</v>
      </c>
      <c r="AA13" s="61">
        <v>20</v>
      </c>
      <c r="AB13" s="61">
        <v>20</v>
      </c>
      <c r="AC13" s="132">
        <v>20</v>
      </c>
      <c r="AD13" s="8">
        <f t="shared" si="6"/>
        <v>7755.4891583386807</v>
      </c>
    </row>
    <row r="14" spans="1:30" ht="15.75">
      <c r="A14" s="29" t="s">
        <v>67</v>
      </c>
      <c r="B14" s="3" t="s">
        <v>68</v>
      </c>
      <c r="C14" s="3" t="s">
        <v>375</v>
      </c>
      <c r="D14" s="13" t="s">
        <v>30</v>
      </c>
      <c r="E14" s="3" t="str">
        <f t="shared" si="0"/>
        <v>Hiwa</v>
      </c>
      <c r="F14" s="10" t="s">
        <v>46</v>
      </c>
      <c r="G14" s="1">
        <v>240</v>
      </c>
      <c r="H14" s="27">
        <v>4800</v>
      </c>
      <c r="I14" s="82"/>
      <c r="J14" s="116">
        <f t="shared" si="7"/>
        <v>1.8336847895846704</v>
      </c>
      <c r="K14" s="118">
        <f>9600/1.0907</f>
        <v>8801.6869900064175</v>
      </c>
      <c r="L14" s="20"/>
      <c r="M14" s="17">
        <v>60.78</v>
      </c>
      <c r="N14" s="17"/>
      <c r="O14" s="17">
        <v>351.35</v>
      </c>
      <c r="P14" s="16">
        <f>57.36+57.36+57.36+57.36+57.36+57.36+57.36+47.84+49.9+49.9</f>
        <v>549.16</v>
      </c>
      <c r="Q14" s="16">
        <f>2.22+2.22+2.28+2.36+2</f>
        <v>11.08</v>
      </c>
      <c r="R14" s="16">
        <v>54.64</v>
      </c>
      <c r="S14" s="16">
        <v>0</v>
      </c>
      <c r="T14" s="16">
        <f>350+730</f>
        <v>1080</v>
      </c>
      <c r="U14" s="19">
        <f t="shared" si="5"/>
        <v>9774.0569900064183</v>
      </c>
      <c r="V14" s="128">
        <f t="shared" si="2"/>
        <v>2.0362618729180038</v>
      </c>
      <c r="X14" s="29">
        <v>359056</v>
      </c>
      <c r="Y14" s="42">
        <v>45525</v>
      </c>
      <c r="AA14" s="61">
        <v>0</v>
      </c>
      <c r="AB14" s="61"/>
      <c r="AC14" s="132"/>
      <c r="AD14" s="8" t="str">
        <f t="shared" si="6"/>
        <v/>
      </c>
    </row>
    <row r="15" spans="1:30" ht="15.75">
      <c r="A15" s="29" t="s">
        <v>69</v>
      </c>
      <c r="B15" s="3" t="s">
        <v>28</v>
      </c>
      <c r="C15" s="9" t="s">
        <v>29</v>
      </c>
      <c r="D15" s="9" t="s">
        <v>70</v>
      </c>
      <c r="E15" s="3" t="str">
        <f t="shared" si="0"/>
        <v>Hiwa</v>
      </c>
      <c r="F15" s="10" t="s">
        <v>46</v>
      </c>
      <c r="G15" s="1">
        <v>80</v>
      </c>
      <c r="H15" s="27">
        <f>G15*215</f>
        <v>17200</v>
      </c>
      <c r="I15" s="82"/>
      <c r="J15" s="116">
        <f t="shared" si="7"/>
        <v>0.90497737556561086</v>
      </c>
      <c r="K15" s="118">
        <f>17200/1.105</f>
        <v>15565.610859728507</v>
      </c>
      <c r="L15" s="20"/>
      <c r="M15" s="21">
        <v>60.78</v>
      </c>
      <c r="N15" s="17"/>
      <c r="O15" s="17">
        <v>1077.8</v>
      </c>
      <c r="P15" s="16">
        <f>123.05+123.05+123.05+64.25+64.25+64.25+64.25</f>
        <v>626.15</v>
      </c>
      <c r="Q15" s="16">
        <f>4.29+4.3+2.2+2.19</f>
        <v>12.979999999999999</v>
      </c>
      <c r="R15" s="16">
        <v>54.64</v>
      </c>
      <c r="S15" s="16">
        <v>0</v>
      </c>
      <c r="T15" s="16">
        <v>1580</v>
      </c>
      <c r="U15" s="19">
        <f t="shared" si="5"/>
        <v>17343.320859728508</v>
      </c>
      <c r="V15" s="128">
        <f t="shared" si="2"/>
        <v>1.0083326081237505</v>
      </c>
      <c r="X15" s="29">
        <v>362336</v>
      </c>
      <c r="Y15" s="42">
        <v>45610</v>
      </c>
      <c r="AA15" s="61">
        <v>40</v>
      </c>
      <c r="AB15" s="61">
        <v>40</v>
      </c>
      <c r="AC15" s="132">
        <v>35</v>
      </c>
      <c r="AD15" s="8">
        <f t="shared" si="6"/>
        <v>7587.7028761312222</v>
      </c>
    </row>
    <row r="16" spans="1:30" ht="15.75">
      <c r="A16" s="29" t="s">
        <v>71</v>
      </c>
      <c r="B16" s="3" t="s">
        <v>72</v>
      </c>
      <c r="C16" s="9" t="s">
        <v>385</v>
      </c>
      <c r="D16" s="3" t="s">
        <v>73</v>
      </c>
      <c r="E16" s="3" t="str">
        <f t="shared" si="0"/>
        <v>Hiwa</v>
      </c>
      <c r="F16" s="10" t="s">
        <v>46</v>
      </c>
      <c r="G16" s="1">
        <v>136</v>
      </c>
      <c r="H16" s="27">
        <f>G16*190</f>
        <v>25840</v>
      </c>
      <c r="I16" s="82"/>
      <c r="J16" s="116">
        <f t="shared" si="7"/>
        <v>1.5</v>
      </c>
      <c r="K16" s="118">
        <v>38760</v>
      </c>
      <c r="L16" s="17"/>
      <c r="M16" s="17">
        <v>61</v>
      </c>
      <c r="N16" s="17"/>
      <c r="O16" s="17">
        <v>1396.79</v>
      </c>
      <c r="P16" s="16">
        <f>176.68+72.75+72.75+72.75+72.75+72.75+75.98+75.98</f>
        <v>692.3900000000001</v>
      </c>
      <c r="Q16" s="16">
        <f>11.18+4.6+4.6</f>
        <v>20.38</v>
      </c>
      <c r="R16" s="16">
        <f>54.64</f>
        <v>54.64</v>
      </c>
      <c r="S16" s="16">
        <v>1068.53</v>
      </c>
      <c r="T16" s="16">
        <f>((1950/108)*80)+((1600/108)*56)</f>
        <v>2274.0740740740744</v>
      </c>
      <c r="U16" s="19">
        <f t="shared" si="5"/>
        <v>40930.559999999998</v>
      </c>
      <c r="V16" s="128">
        <f t="shared" si="2"/>
        <v>1.5839999999999999</v>
      </c>
      <c r="X16" s="29">
        <v>361363</v>
      </c>
      <c r="Y16" s="42">
        <v>45560</v>
      </c>
      <c r="AA16" s="61">
        <v>0</v>
      </c>
      <c r="AB16" s="61"/>
      <c r="AC16" s="132"/>
      <c r="AD16" s="8" t="str">
        <f t="shared" si="6"/>
        <v/>
      </c>
    </row>
    <row r="17" spans="1:30" ht="15.75">
      <c r="A17" s="29" t="s">
        <v>74</v>
      </c>
      <c r="B17" s="3" t="s">
        <v>72</v>
      </c>
      <c r="C17" s="9" t="s">
        <v>385</v>
      </c>
      <c r="D17" s="3" t="s">
        <v>73</v>
      </c>
      <c r="E17" s="3" t="str">
        <f t="shared" si="0"/>
        <v>Hiwa</v>
      </c>
      <c r="F17" s="10" t="s">
        <v>46</v>
      </c>
      <c r="G17" s="1">
        <v>136</v>
      </c>
      <c r="H17" s="27">
        <f>G17*190</f>
        <v>25840</v>
      </c>
      <c r="I17" s="82"/>
      <c r="J17" s="116">
        <f t="shared" si="7"/>
        <v>1.5</v>
      </c>
      <c r="K17" s="118">
        <v>38760</v>
      </c>
      <c r="L17" s="17"/>
      <c r="M17" s="17">
        <v>63.45</v>
      </c>
      <c r="N17" s="17">
        <v>115</v>
      </c>
      <c r="O17" s="17">
        <v>1465.13</v>
      </c>
      <c r="P17" s="16">
        <f>184.52+113.97+113.97</f>
        <v>412.46000000000004</v>
      </c>
      <c r="Q17" s="16">
        <f>11.18+6.9</f>
        <v>18.079999999999998</v>
      </c>
      <c r="R17" s="16"/>
      <c r="S17" s="16">
        <v>1023.16</v>
      </c>
      <c r="T17" s="16">
        <f>((1600/108)*52)</f>
        <v>770.37037037037032</v>
      </c>
      <c r="U17" s="19">
        <f t="shared" si="5"/>
        <v>40834.120000000003</v>
      </c>
      <c r="V17" s="128">
        <f t="shared" si="2"/>
        <v>1.5802678018575853</v>
      </c>
      <c r="X17" s="29">
        <v>366387</v>
      </c>
      <c r="Y17" s="42">
        <v>45672</v>
      </c>
      <c r="AA17" s="61">
        <v>84</v>
      </c>
      <c r="AB17" s="61">
        <v>84</v>
      </c>
      <c r="AC17" s="132">
        <v>84</v>
      </c>
      <c r="AD17" s="8">
        <f t="shared" si="6"/>
        <v>25221.074117647062</v>
      </c>
    </row>
    <row r="18" spans="1:30" ht="15.75">
      <c r="A18" s="29" t="s">
        <v>75</v>
      </c>
      <c r="B18" s="3" t="s">
        <v>68</v>
      </c>
      <c r="C18" s="9" t="s">
        <v>375</v>
      </c>
      <c r="D18" s="3" t="s">
        <v>30</v>
      </c>
      <c r="E18" s="3" t="str">
        <f t="shared" si="0"/>
        <v>Hiwa</v>
      </c>
      <c r="F18" s="10" t="s">
        <v>46</v>
      </c>
      <c r="G18" s="1">
        <v>972</v>
      </c>
      <c r="H18" s="27">
        <v>19440</v>
      </c>
      <c r="I18" s="82"/>
      <c r="J18" s="116">
        <f t="shared" si="7"/>
        <v>1.9102673553501577</v>
      </c>
      <c r="K18" s="118">
        <f>(42184.8/1.1041)-(1200/1.1196)</f>
        <v>37135.597388007067</v>
      </c>
      <c r="L18" s="22"/>
      <c r="M18" s="22">
        <v>63.45</v>
      </c>
      <c r="N18" s="22"/>
      <c r="O18" s="22">
        <v>1636.58</v>
      </c>
      <c r="P18" s="23">
        <f>232.29+232.29+232.29+232.29+242.49+242.49+242.29+161.66</f>
        <v>1818.0900000000001</v>
      </c>
      <c r="Q18" s="23">
        <f>10.01+10.36+10.5</f>
        <v>30.869999999999997</v>
      </c>
      <c r="R18" s="16">
        <v>57.04</v>
      </c>
      <c r="S18" s="16"/>
      <c r="T18" s="16"/>
      <c r="U18" s="19">
        <f t="shared" si="5"/>
        <v>40684.587388007065</v>
      </c>
      <c r="V18" s="128">
        <f t="shared" si="2"/>
        <v>2.0928285693419273</v>
      </c>
      <c r="X18" s="29">
        <v>362550</v>
      </c>
      <c r="Y18" s="42">
        <v>45587</v>
      </c>
      <c r="AA18" s="61">
        <v>972</v>
      </c>
      <c r="AB18" s="61">
        <v>648</v>
      </c>
      <c r="AC18" s="132">
        <v>648</v>
      </c>
      <c r="AD18" s="8">
        <f t="shared" si="6"/>
        <v>27123.058258671379</v>
      </c>
    </row>
    <row r="19" spans="1:30" ht="15.75">
      <c r="A19" s="29" t="s">
        <v>76</v>
      </c>
      <c r="B19" s="3" t="s">
        <v>77</v>
      </c>
      <c r="C19" s="9" t="s">
        <v>375</v>
      </c>
      <c r="D19" s="3" t="s">
        <v>30</v>
      </c>
      <c r="E19" s="3" t="str">
        <f t="shared" si="0"/>
        <v>Hiwa</v>
      </c>
      <c r="F19" s="10" t="s">
        <v>46</v>
      </c>
      <c r="G19" s="1">
        <v>108</v>
      </c>
      <c r="H19" s="27">
        <v>2160</v>
      </c>
      <c r="I19" s="82"/>
      <c r="J19" s="116">
        <f t="shared" si="7"/>
        <v>1.7842586722217189</v>
      </c>
      <c r="K19" s="118">
        <f>4255.2/1.1041</f>
        <v>3853.9987319989127</v>
      </c>
      <c r="L19" s="22"/>
      <c r="M19" s="22">
        <v>63.45</v>
      </c>
      <c r="N19" s="22"/>
      <c r="O19" s="22">
        <v>198.27</v>
      </c>
      <c r="P19" s="23">
        <f>25.81+25.81+25.81+25.81+26.94+26.94+13.47+13.47</f>
        <v>184.06</v>
      </c>
      <c r="Q19" s="23">
        <f>1.01+1.05+1.06</f>
        <v>3.12</v>
      </c>
      <c r="R19" s="16"/>
      <c r="S19" s="16"/>
      <c r="T19" s="16">
        <f>(390/2)</f>
        <v>195</v>
      </c>
      <c r="U19" s="19">
        <f t="shared" si="5"/>
        <v>4302.8987319989128</v>
      </c>
      <c r="V19" s="128">
        <f t="shared" si="2"/>
        <v>1.9920827462957931</v>
      </c>
      <c r="X19" s="29">
        <v>362551</v>
      </c>
      <c r="Y19" s="42">
        <v>45587</v>
      </c>
      <c r="AA19" s="61">
        <v>54</v>
      </c>
      <c r="AB19" s="61">
        <v>54</v>
      </c>
      <c r="AC19" s="132">
        <v>54</v>
      </c>
      <c r="AD19" s="8">
        <f t="shared" si="6"/>
        <v>2151.4493659994564</v>
      </c>
    </row>
    <row r="20" spans="1:30" ht="15.75">
      <c r="A20" s="29" t="s">
        <v>78</v>
      </c>
      <c r="B20" s="3" t="s">
        <v>79</v>
      </c>
      <c r="C20" s="3" t="s">
        <v>80</v>
      </c>
      <c r="D20" s="3" t="s">
        <v>73</v>
      </c>
      <c r="E20" s="3" t="str">
        <f t="shared" si="0"/>
        <v>Hiwa</v>
      </c>
      <c r="F20" s="3" t="s">
        <v>31</v>
      </c>
      <c r="G20" s="3">
        <v>112</v>
      </c>
      <c r="H20" s="28">
        <v>24080</v>
      </c>
      <c r="I20" s="82"/>
      <c r="J20" s="116">
        <f t="shared" si="7"/>
        <v>1.9651047756093174</v>
      </c>
      <c r="K20" s="117">
        <f>52614.8/1.1119</f>
        <v>47319.722996672361</v>
      </c>
      <c r="L20" s="22"/>
      <c r="M20" s="22">
        <v>1917.72</v>
      </c>
      <c r="N20" s="22"/>
      <c r="O20" s="22">
        <v>1309.5999999999999</v>
      </c>
      <c r="P20" s="23">
        <f>15.81+15.81+15.81+16.52+16.52+16.52+16.52</f>
        <v>113.50999999999999</v>
      </c>
      <c r="Q20" s="23">
        <f>14.26+2.05+2.09+2.08</f>
        <v>20.479999999999997</v>
      </c>
      <c r="R20" s="23">
        <v>54.64</v>
      </c>
      <c r="S20" s="23">
        <v>559.77</v>
      </c>
      <c r="T20" s="23">
        <v>1725</v>
      </c>
      <c r="U20" s="19">
        <f t="shared" si="5"/>
        <v>50681.032996672358</v>
      </c>
      <c r="V20" s="128">
        <f t="shared" si="2"/>
        <v>2.1046940613236029</v>
      </c>
      <c r="X20" s="29">
        <v>362958</v>
      </c>
      <c r="Y20" s="42">
        <v>45601</v>
      </c>
      <c r="AA20" s="61">
        <v>16</v>
      </c>
      <c r="AB20" s="61">
        <v>16</v>
      </c>
      <c r="AC20" s="132">
        <v>16</v>
      </c>
      <c r="AD20" s="8">
        <f t="shared" si="6"/>
        <v>7240.1475709531942</v>
      </c>
    </row>
    <row r="21" spans="1:30" ht="15.75">
      <c r="A21" s="29" t="s">
        <v>81</v>
      </c>
      <c r="B21" s="3" t="s">
        <v>82</v>
      </c>
      <c r="C21" s="3" t="s">
        <v>376</v>
      </c>
      <c r="D21" s="3" t="s">
        <v>73</v>
      </c>
      <c r="E21" s="3" t="str">
        <f t="shared" si="0"/>
        <v>Hiwa</v>
      </c>
      <c r="F21" s="3" t="s">
        <v>59</v>
      </c>
      <c r="G21" s="3">
        <v>128</v>
      </c>
      <c r="H21" s="28">
        <f>G21*204</f>
        <v>26112</v>
      </c>
      <c r="I21" s="82"/>
      <c r="J21" s="116">
        <f t="shared" si="7"/>
        <v>0.61734082742098972</v>
      </c>
      <c r="K21" s="117">
        <f>17495.04/1.0853</f>
        <v>16120.003685616883</v>
      </c>
      <c r="L21" s="22">
        <f>1546/1.0853</f>
        <v>1424.4909241684327</v>
      </c>
      <c r="M21" s="22">
        <v>3329.07</v>
      </c>
      <c r="N21" s="22"/>
      <c r="O21" s="22">
        <v>1264.83</v>
      </c>
      <c r="P21" s="23">
        <f>119.96+52.48+52.48+54.82+54.82+54.82+54.82</f>
        <v>444.2</v>
      </c>
      <c r="Q21" s="23">
        <f>4.83+2.12+2.17+2.16</f>
        <v>11.280000000000001</v>
      </c>
      <c r="R21" s="23">
        <v>54.64</v>
      </c>
      <c r="S21" s="23">
        <v>557.99</v>
      </c>
      <c r="T21" s="23">
        <f>1745+(1600*(56/(56+44)))</f>
        <v>2641</v>
      </c>
      <c r="U21" s="19">
        <f t="shared" si="5"/>
        <v>22593.874609785315</v>
      </c>
      <c r="V21" s="128">
        <f t="shared" si="2"/>
        <v>0.86526786955366553</v>
      </c>
      <c r="X21" s="29">
        <v>363493</v>
      </c>
      <c r="Y21" s="42">
        <v>45608</v>
      </c>
      <c r="AA21" s="61">
        <v>56</v>
      </c>
      <c r="AB21" s="61">
        <v>56</v>
      </c>
      <c r="AC21" s="132">
        <v>56</v>
      </c>
      <c r="AD21" s="8">
        <f t="shared" si="6"/>
        <v>9884.8201417810742</v>
      </c>
    </row>
    <row r="22" spans="1:30" ht="15.75">
      <c r="A22" s="29" t="s">
        <v>84</v>
      </c>
      <c r="B22" s="3" t="s">
        <v>57</v>
      </c>
      <c r="C22" s="3" t="s">
        <v>58</v>
      </c>
      <c r="D22" s="3" t="s">
        <v>73</v>
      </c>
      <c r="E22" s="3" t="str">
        <f t="shared" si="0"/>
        <v>Hiwa</v>
      </c>
      <c r="F22" s="3" t="s">
        <v>59</v>
      </c>
      <c r="G22" s="3">
        <v>140</v>
      </c>
      <c r="H22" s="28">
        <f>G22*190</f>
        <v>26600</v>
      </c>
      <c r="I22" s="82"/>
      <c r="J22" s="116">
        <f t="shared" si="7"/>
        <v>0.76094276094276092</v>
      </c>
      <c r="K22" s="117">
        <f>21040.6/1.0395</f>
        <v>20241.077441077439</v>
      </c>
      <c r="L22" s="22">
        <f>2350/1.0395</f>
        <v>2260.7022607022604</v>
      </c>
      <c r="M22" s="22">
        <v>3471.76</v>
      </c>
      <c r="N22" s="22">
        <f>104+275+55</f>
        <v>434</v>
      </c>
      <c r="O22" s="22">
        <v>1383.05</v>
      </c>
      <c r="P22" s="23">
        <f>101.26+101.26</f>
        <v>202.52</v>
      </c>
      <c r="Q22" s="23">
        <f>8.9</f>
        <v>8.9</v>
      </c>
      <c r="R22" s="23">
        <f>2*57.04</f>
        <v>114.08</v>
      </c>
      <c r="S22" s="23">
        <f>1019.93+73.92</f>
        <v>1093.8499999999999</v>
      </c>
      <c r="T22" s="23">
        <f>(1600/108)*29</f>
        <v>429.62962962962962</v>
      </c>
      <c r="U22" s="19">
        <f t="shared" si="5"/>
        <v>28002.009701779702</v>
      </c>
      <c r="V22" s="128">
        <f t="shared" si="2"/>
        <v>1.0527071316458534</v>
      </c>
      <c r="X22" s="29">
        <v>366474</v>
      </c>
      <c r="Y22" s="42">
        <v>45981</v>
      </c>
      <c r="AA22" s="61">
        <v>111</v>
      </c>
      <c r="AB22" s="61">
        <v>111</v>
      </c>
      <c r="AC22" s="132">
        <v>111</v>
      </c>
      <c r="AD22" s="8">
        <f t="shared" si="6"/>
        <v>22201.593406411048</v>
      </c>
    </row>
    <row r="23" spans="1:30" ht="15.75">
      <c r="A23" s="29" t="s">
        <v>85</v>
      </c>
      <c r="B23" s="3" t="s">
        <v>86</v>
      </c>
      <c r="C23" s="3" t="s">
        <v>80</v>
      </c>
      <c r="D23" s="13" t="s">
        <v>87</v>
      </c>
      <c r="E23" s="3" t="str">
        <f t="shared" si="0"/>
        <v>Direct</v>
      </c>
      <c r="F23" s="3" t="s">
        <v>46</v>
      </c>
      <c r="G23" s="3">
        <v>112</v>
      </c>
      <c r="H23" s="28">
        <v>24080</v>
      </c>
      <c r="I23" s="82"/>
      <c r="J23" s="116">
        <f t="shared" si="7"/>
        <v>1.6750737603502428</v>
      </c>
      <c r="K23" s="117">
        <f>42380.8/1.0507</f>
        <v>40335.776149233847</v>
      </c>
      <c r="L23" s="22"/>
      <c r="M23" s="22"/>
      <c r="N23" s="22"/>
      <c r="O23" s="22"/>
      <c r="P23" s="23"/>
      <c r="Q23" s="23"/>
      <c r="R23" s="23"/>
      <c r="S23" s="23"/>
      <c r="T23" s="23"/>
      <c r="U23" s="19">
        <f t="shared" si="5"/>
        <v>40335.776149233847</v>
      </c>
      <c r="V23" s="128">
        <f t="shared" si="2"/>
        <v>1.6750737603502428</v>
      </c>
      <c r="X23" s="29"/>
      <c r="Y23" s="28"/>
      <c r="AA23" s="61"/>
      <c r="AB23" s="61"/>
      <c r="AC23" s="132"/>
      <c r="AD23" s="8" t="str">
        <f t="shared" si="6"/>
        <v/>
      </c>
    </row>
    <row r="24" spans="1:30" ht="15.75">
      <c r="A24" s="73" t="s">
        <v>88</v>
      </c>
      <c r="B24" s="55" t="s">
        <v>89</v>
      </c>
      <c r="C24" s="55" t="s">
        <v>90</v>
      </c>
      <c r="D24" s="55" t="s">
        <v>30</v>
      </c>
      <c r="E24" s="55" t="str">
        <f t="shared" si="0"/>
        <v>Hiwa</v>
      </c>
      <c r="F24" s="55" t="s">
        <v>59</v>
      </c>
      <c r="G24" s="1">
        <v>256</v>
      </c>
      <c r="H24" s="27">
        <f>G24*205</f>
        <v>52480</v>
      </c>
      <c r="I24" s="82"/>
      <c r="J24" s="116">
        <f t="shared" si="7"/>
        <v>0.61004670670098182</v>
      </c>
      <c r="K24" s="117">
        <f>33587.2/1.0491</f>
        <v>32015.251167667524</v>
      </c>
      <c r="L24" s="22">
        <f>3092/1.0491</f>
        <v>2947.2881517491187</v>
      </c>
      <c r="M24" s="22">
        <f>1991.26+1991.26</f>
        <v>3982.52</v>
      </c>
      <c r="N24" s="22"/>
      <c r="O24" s="22">
        <v>2480.44</v>
      </c>
      <c r="P24" s="23">
        <f>125.31+125.31+24.48+17.62+24.48+17.62+24.48+17.62</f>
        <v>376.92000000000007</v>
      </c>
      <c r="Q24" s="23">
        <f>0.93+0.67</f>
        <v>1.6</v>
      </c>
      <c r="R24" s="23">
        <f>57.04+57.04</f>
        <v>114.08</v>
      </c>
      <c r="S24" s="23"/>
      <c r="T24" s="23"/>
      <c r="U24" s="19">
        <f t="shared" si="5"/>
        <v>41804.019319416642</v>
      </c>
      <c r="V24" s="128">
        <f t="shared" si="2"/>
        <v>0.79657049008034764</v>
      </c>
      <c r="X24" s="80" t="s">
        <v>91</v>
      </c>
      <c r="Y24" s="72">
        <v>45657</v>
      </c>
      <c r="AA24" s="61">
        <v>25</v>
      </c>
      <c r="AB24" s="61">
        <f>25+18</f>
        <v>43</v>
      </c>
      <c r="AC24" s="132">
        <v>6</v>
      </c>
      <c r="AD24" s="8">
        <f t="shared" si="6"/>
        <v>979.78170279882761</v>
      </c>
    </row>
    <row r="25" spans="1:30" ht="15.75">
      <c r="A25" s="29" t="s">
        <v>92</v>
      </c>
      <c r="B25" s="3" t="s">
        <v>93</v>
      </c>
      <c r="C25" s="9" t="s">
        <v>90</v>
      </c>
      <c r="D25" s="3" t="s">
        <v>94</v>
      </c>
      <c r="E25" s="3" t="str">
        <f t="shared" si="0"/>
        <v>Direct</v>
      </c>
      <c r="F25" s="10" t="s">
        <v>59</v>
      </c>
      <c r="G25" s="1">
        <v>128</v>
      </c>
      <c r="H25" s="27">
        <v>26240</v>
      </c>
      <c r="I25" s="82"/>
      <c r="J25" s="116">
        <f t="shared" si="7"/>
        <v>0.61579909554507839</v>
      </c>
      <c r="K25" s="117">
        <f>16793.6/1.0393</f>
        <v>16158.568267102857</v>
      </c>
      <c r="L25" s="22">
        <f>1841/1.0393</f>
        <v>1771.3845857788899</v>
      </c>
      <c r="M25" s="22"/>
      <c r="N25" s="22"/>
      <c r="O25" s="22"/>
      <c r="P25" s="23"/>
      <c r="Q25" s="23"/>
      <c r="R25" s="23"/>
      <c r="S25" s="23"/>
      <c r="T25" s="23"/>
      <c r="U25" s="19">
        <f t="shared" si="5"/>
        <v>17929.952852881746</v>
      </c>
      <c r="V25" s="128">
        <f t="shared" si="2"/>
        <v>0.68330613006409091</v>
      </c>
      <c r="X25" s="29"/>
      <c r="Y25" s="28"/>
      <c r="AA25" s="2"/>
      <c r="AB25" s="2"/>
      <c r="AC25" s="132"/>
      <c r="AD25" s="8" t="str">
        <f t="shared" si="6"/>
        <v/>
      </c>
    </row>
    <row r="26" spans="1:30" ht="15.75">
      <c r="A26" s="29" t="s">
        <v>95</v>
      </c>
      <c r="B26" s="3" t="s">
        <v>82</v>
      </c>
      <c r="C26" s="3" t="s">
        <v>376</v>
      </c>
      <c r="D26" s="3" t="s">
        <v>73</v>
      </c>
      <c r="E26" s="3" t="str">
        <f t="shared" si="0"/>
        <v>Hiwa</v>
      </c>
      <c r="F26" s="3" t="s">
        <v>59</v>
      </c>
      <c r="G26" s="3">
        <v>128</v>
      </c>
      <c r="H26" s="28">
        <f>G26*204</f>
        <v>26112</v>
      </c>
      <c r="I26" s="82"/>
      <c r="J26" s="116">
        <f t="shared" si="7"/>
        <v>0.65397755002440217</v>
      </c>
      <c r="K26" s="117">
        <f>17495.04/1.0245</f>
        <v>17076.66178623719</v>
      </c>
      <c r="L26" s="22">
        <f>1546/1.0396</f>
        <v>1487.1104270873411</v>
      </c>
      <c r="M26" s="22">
        <v>2077.94</v>
      </c>
      <c r="N26" s="22">
        <v>170</v>
      </c>
      <c r="O26" s="22">
        <v>1298.76</v>
      </c>
      <c r="P26" s="23"/>
      <c r="Q26" s="23"/>
      <c r="R26" s="23"/>
      <c r="S26" s="23"/>
      <c r="T26" s="23">
        <f>(1600*(44/(44+56)))</f>
        <v>704</v>
      </c>
      <c r="U26" s="19">
        <f t="shared" si="5"/>
        <v>22110.47221332453</v>
      </c>
      <c r="V26" s="128">
        <f t="shared" si="2"/>
        <v>0.84675521650293084</v>
      </c>
      <c r="X26" s="29">
        <v>368131</v>
      </c>
      <c r="Y26" s="42">
        <v>45706</v>
      </c>
      <c r="AA26" s="2"/>
      <c r="AB26" s="2"/>
      <c r="AC26" s="132">
        <v>84</v>
      </c>
      <c r="AD26" s="8">
        <f t="shared" si="6"/>
        <v>14509.997389994223</v>
      </c>
    </row>
    <row r="27" spans="1:30" ht="15.75">
      <c r="A27" s="29" t="s">
        <v>96</v>
      </c>
      <c r="B27" s="3" t="s">
        <v>93</v>
      </c>
      <c r="C27" s="3" t="s">
        <v>90</v>
      </c>
      <c r="D27" s="3" t="s">
        <v>97</v>
      </c>
      <c r="E27" s="3" t="str">
        <f t="shared" si="0"/>
        <v>Direct</v>
      </c>
      <c r="F27" s="10" t="s">
        <v>59</v>
      </c>
      <c r="G27" s="3">
        <v>256</v>
      </c>
      <c r="H27" s="28">
        <f>G27*205</f>
        <v>52480</v>
      </c>
      <c r="I27" s="82"/>
      <c r="J27" s="116">
        <f t="shared" si="7"/>
        <v>0.59369912860289187</v>
      </c>
      <c r="K27" s="117">
        <f>32537.6/1.0443</f>
        <v>31157.330269079765</v>
      </c>
      <c r="L27" s="22">
        <f>(6653*2)/1.0465</f>
        <v>12714.763497372192</v>
      </c>
      <c r="M27" s="22"/>
      <c r="N27" s="22"/>
      <c r="O27" s="22"/>
      <c r="P27" s="23"/>
      <c r="Q27" s="23"/>
      <c r="R27" s="23"/>
      <c r="S27" s="23"/>
      <c r="T27" s="23"/>
      <c r="U27" s="19">
        <f t="shared" si="5"/>
        <v>43872.093766451959</v>
      </c>
      <c r="V27" s="128">
        <f t="shared" si="2"/>
        <v>0.83597739646440472</v>
      </c>
      <c r="X27" s="29"/>
      <c r="Y27" s="28"/>
      <c r="AA27" s="2"/>
      <c r="AB27" s="2"/>
      <c r="AC27" s="132"/>
      <c r="AD27" s="8" t="str">
        <f t="shared" si="6"/>
        <v/>
      </c>
    </row>
    <row r="28" spans="1:30" ht="15.75">
      <c r="A28" s="29" t="s">
        <v>98</v>
      </c>
      <c r="B28" s="3" t="s">
        <v>93</v>
      </c>
      <c r="C28" s="9" t="s">
        <v>90</v>
      </c>
      <c r="D28" s="3" t="s">
        <v>94</v>
      </c>
      <c r="E28" s="3" t="str">
        <f t="shared" si="0"/>
        <v>Direct</v>
      </c>
      <c r="F28" s="10" t="s">
        <v>59</v>
      </c>
      <c r="G28" s="1">
        <v>128</v>
      </c>
      <c r="H28" s="27">
        <v>26240</v>
      </c>
      <c r="I28" s="82"/>
      <c r="J28" s="116">
        <f t="shared" si="7"/>
        <v>0</v>
      </c>
      <c r="K28" s="117"/>
      <c r="L28" s="22"/>
      <c r="M28" s="22"/>
      <c r="N28" s="22"/>
      <c r="O28" s="22"/>
      <c r="P28" s="23"/>
      <c r="Q28" s="23"/>
      <c r="R28" s="23"/>
      <c r="S28" s="23"/>
      <c r="T28" s="23"/>
      <c r="U28" s="19">
        <f t="shared" si="5"/>
        <v>0</v>
      </c>
      <c r="V28" s="128">
        <f t="shared" si="2"/>
        <v>0</v>
      </c>
      <c r="X28" s="29"/>
      <c r="Y28" s="28"/>
      <c r="AA28" s="2"/>
      <c r="AB28" s="2"/>
      <c r="AC28" s="132"/>
      <c r="AD28" s="8" t="str">
        <f t="shared" si="6"/>
        <v/>
      </c>
    </row>
    <row r="29" spans="1:30" ht="15.75">
      <c r="A29" s="29" t="s">
        <v>99</v>
      </c>
      <c r="B29" s="3" t="s">
        <v>93</v>
      </c>
      <c r="C29" s="3" t="s">
        <v>90</v>
      </c>
      <c r="D29" s="3" t="s">
        <v>97</v>
      </c>
      <c r="E29" s="3" t="str">
        <f t="shared" si="0"/>
        <v>Direct</v>
      </c>
      <c r="F29" s="10" t="s">
        <v>59</v>
      </c>
      <c r="G29" s="3">
        <v>128</v>
      </c>
      <c r="H29" s="28">
        <f>G29*205</f>
        <v>26240</v>
      </c>
      <c r="I29" s="82"/>
      <c r="J29" s="116">
        <f t="shared" si="7"/>
        <v>0</v>
      </c>
      <c r="K29" s="117"/>
      <c r="L29" s="22"/>
      <c r="M29" s="22"/>
      <c r="N29" s="22"/>
      <c r="O29" s="22"/>
      <c r="P29" s="23"/>
      <c r="Q29" s="23"/>
      <c r="R29" s="23"/>
      <c r="S29" s="23"/>
      <c r="T29" s="23"/>
      <c r="U29" s="19">
        <f t="shared" si="5"/>
        <v>0</v>
      </c>
      <c r="V29" s="128">
        <f t="shared" si="2"/>
        <v>0</v>
      </c>
      <c r="X29" s="29"/>
      <c r="Y29" s="28"/>
      <c r="AA29" s="2"/>
      <c r="AB29" s="2"/>
      <c r="AC29" s="132"/>
      <c r="AD29" s="8" t="str">
        <f t="shared" si="6"/>
        <v/>
      </c>
    </row>
    <row r="30" spans="1:30" ht="15.75">
      <c r="A30" s="29" t="s">
        <v>100</v>
      </c>
      <c r="B30" s="3" t="s">
        <v>93</v>
      </c>
      <c r="C30" s="3" t="s">
        <v>90</v>
      </c>
      <c r="D30" s="3" t="s">
        <v>101</v>
      </c>
      <c r="E30" s="3" t="str">
        <f t="shared" si="0"/>
        <v>Direct</v>
      </c>
      <c r="F30" s="10" t="s">
        <v>59</v>
      </c>
      <c r="G30" s="3">
        <v>256</v>
      </c>
      <c r="H30" s="28">
        <f>G30*205</f>
        <v>52480</v>
      </c>
      <c r="I30" s="82"/>
      <c r="J30" s="116">
        <f t="shared" si="7"/>
        <v>0</v>
      </c>
      <c r="K30" s="117"/>
      <c r="L30" s="22"/>
      <c r="M30" s="22"/>
      <c r="N30" s="22"/>
      <c r="O30" s="22"/>
      <c r="P30" s="23"/>
      <c r="Q30" s="23"/>
      <c r="R30" s="23"/>
      <c r="S30" s="23"/>
      <c r="T30" s="23"/>
      <c r="U30" s="19">
        <f t="shared" si="5"/>
        <v>0</v>
      </c>
      <c r="V30" s="128">
        <f t="shared" si="2"/>
        <v>0</v>
      </c>
      <c r="X30" s="79"/>
      <c r="Y30" s="42"/>
      <c r="AA30" s="2"/>
      <c r="AB30" s="2"/>
      <c r="AC30" s="132"/>
      <c r="AD30" s="8" t="str">
        <f t="shared" si="6"/>
        <v/>
      </c>
    </row>
    <row r="31" spans="1:30" ht="15.75">
      <c r="A31" s="29" t="s">
        <v>102</v>
      </c>
      <c r="B31" s="3" t="s">
        <v>103</v>
      </c>
      <c r="C31" s="9" t="s">
        <v>62</v>
      </c>
      <c r="D31" s="3" t="s">
        <v>104</v>
      </c>
      <c r="E31" s="3" t="str">
        <f t="shared" si="0"/>
        <v>Direct</v>
      </c>
      <c r="F31" s="10" t="s">
        <v>31</v>
      </c>
      <c r="G31" s="1">
        <v>112</v>
      </c>
      <c r="H31" s="27">
        <f>G31*210</f>
        <v>23520</v>
      </c>
      <c r="I31" s="82"/>
      <c r="J31" s="116">
        <f t="shared" si="7"/>
        <v>1.2156788487028971</v>
      </c>
      <c r="K31" s="117">
        <f>30199.68/1.0562</f>
        <v>28592.76652149214</v>
      </c>
      <c r="L31" s="22"/>
      <c r="M31" s="22">
        <v>98.14</v>
      </c>
      <c r="N31" s="22"/>
      <c r="O31" s="22"/>
      <c r="P31" s="23"/>
      <c r="Q31" s="23"/>
      <c r="R31" s="23"/>
      <c r="S31" s="23"/>
      <c r="T31" s="23"/>
      <c r="U31" s="19">
        <f t="shared" si="5"/>
        <v>28690.906521492139</v>
      </c>
      <c r="V31" s="128">
        <f t="shared" si="2"/>
        <v>1.2198514677505161</v>
      </c>
      <c r="X31" s="29">
        <v>366458</v>
      </c>
      <c r="Y31" s="42">
        <v>45671</v>
      </c>
      <c r="AA31" s="2"/>
      <c r="AB31" s="2"/>
      <c r="AC31" s="132"/>
      <c r="AD31" s="8" t="str">
        <f t="shared" si="6"/>
        <v/>
      </c>
    </row>
    <row r="32" spans="1:30" ht="15.75">
      <c r="A32" s="29" t="s">
        <v>105</v>
      </c>
      <c r="B32" s="3" t="s">
        <v>106</v>
      </c>
      <c r="C32" s="3" t="s">
        <v>62</v>
      </c>
      <c r="D32" s="3" t="s">
        <v>104</v>
      </c>
      <c r="E32" s="3" t="str">
        <f t="shared" si="0"/>
        <v>Direct</v>
      </c>
      <c r="F32" s="3" t="s">
        <v>31</v>
      </c>
      <c r="G32" s="3">
        <f>9*112</f>
        <v>1008</v>
      </c>
      <c r="H32" s="28">
        <f>G32*210</f>
        <v>211680</v>
      </c>
      <c r="I32" s="82"/>
      <c r="J32" s="116">
        <f t="shared" si="7"/>
        <v>1.2497650915023166</v>
      </c>
      <c r="K32" s="117">
        <f>279418/1.0562</f>
        <v>264550.27456921036</v>
      </c>
      <c r="L32" s="22"/>
      <c r="M32" s="22">
        <v>392.56</v>
      </c>
      <c r="N32" s="22"/>
      <c r="O32" s="22"/>
      <c r="P32" s="23"/>
      <c r="Q32" s="23"/>
      <c r="R32" s="23"/>
      <c r="S32" s="23"/>
      <c r="T32" s="23"/>
      <c r="U32" s="19">
        <f t="shared" si="5"/>
        <v>264942.83456921036</v>
      </c>
      <c r="V32" s="128">
        <f t="shared" si="2"/>
        <v>1.2516195888568138</v>
      </c>
      <c r="X32" s="79" t="s">
        <v>107</v>
      </c>
      <c r="Y32" s="42">
        <v>45671</v>
      </c>
      <c r="AA32" s="2"/>
      <c r="AB32" s="2"/>
      <c r="AC32" s="132"/>
      <c r="AD32" s="8" t="str">
        <f t="shared" si="6"/>
        <v/>
      </c>
    </row>
    <row r="33" spans="1:30" ht="15.75">
      <c r="A33" s="29" t="s">
        <v>108</v>
      </c>
      <c r="B33" s="3" t="s">
        <v>61</v>
      </c>
      <c r="C33" s="3" t="s">
        <v>62</v>
      </c>
      <c r="D33" s="3" t="s">
        <v>386</v>
      </c>
      <c r="E33" s="3" t="str">
        <f t="shared" si="0"/>
        <v>Hiwa</v>
      </c>
      <c r="F33" s="3" t="s">
        <v>31</v>
      </c>
      <c r="G33" s="3">
        <v>112</v>
      </c>
      <c r="H33" s="28">
        <v>23520</v>
      </c>
      <c r="I33" s="82"/>
      <c r="J33" s="116">
        <f>IF(H33="","",+K33/H33)</f>
        <v>1.395</v>
      </c>
      <c r="K33" s="117">
        <v>32810.400000000001</v>
      </c>
      <c r="L33" s="22"/>
      <c r="M33" s="22">
        <v>98.14</v>
      </c>
      <c r="N33" s="22">
        <v>170</v>
      </c>
      <c r="O33" s="22">
        <v>1431.4</v>
      </c>
      <c r="P33" s="23">
        <f>163.85+128.74+128.74</f>
        <v>421.33000000000004</v>
      </c>
      <c r="Q33" s="23">
        <f>85+6.68</f>
        <v>91.68</v>
      </c>
      <c r="R33" s="23"/>
      <c r="S33" s="23"/>
      <c r="T33" s="23">
        <v>689</v>
      </c>
      <c r="U33" s="19">
        <f t="shared" si="5"/>
        <v>35022.950000000004</v>
      </c>
      <c r="V33" s="128">
        <f t="shared" si="2"/>
        <v>1.4890710034013608</v>
      </c>
      <c r="X33" s="29">
        <v>366388</v>
      </c>
      <c r="Y33" s="42">
        <v>45671</v>
      </c>
      <c r="AA33" s="2">
        <v>88</v>
      </c>
      <c r="AB33" s="2">
        <v>88</v>
      </c>
      <c r="AC33" s="132">
        <v>36</v>
      </c>
      <c r="AD33" s="8">
        <f t="shared" si="6"/>
        <v>11257.376785714288</v>
      </c>
    </row>
    <row r="34" spans="1:30" ht="15.75">
      <c r="A34" s="29" t="s">
        <v>109</v>
      </c>
      <c r="B34" s="3" t="s">
        <v>103</v>
      </c>
      <c r="C34" s="3" t="s">
        <v>62</v>
      </c>
      <c r="D34" s="3" t="s">
        <v>104</v>
      </c>
      <c r="E34" s="3" t="str">
        <f t="shared" si="0"/>
        <v>Direct</v>
      </c>
      <c r="F34" s="3" t="s">
        <v>31</v>
      </c>
      <c r="G34" s="3">
        <v>336</v>
      </c>
      <c r="H34" s="28">
        <f>G34*210</f>
        <v>70560</v>
      </c>
      <c r="I34" s="82"/>
      <c r="J34" s="116">
        <f t="shared" si="7"/>
        <v>1.2839999999999998</v>
      </c>
      <c r="K34" s="117">
        <v>90599.039999999994</v>
      </c>
      <c r="L34" s="22"/>
      <c r="M34" s="22">
        <f>(34.69+63.45)*2</f>
        <v>196.28</v>
      </c>
      <c r="N34" s="22"/>
      <c r="O34" s="22"/>
      <c r="P34" s="23"/>
      <c r="Q34" s="23"/>
      <c r="R34" s="23">
        <f>2*57.04</f>
        <v>114.08</v>
      </c>
      <c r="S34" s="23"/>
      <c r="T34" s="23"/>
      <c r="U34" s="19">
        <f t="shared" si="5"/>
        <v>90795.319999999992</v>
      </c>
      <c r="V34" s="128">
        <f t="shared" si="2"/>
        <v>1.2867817460317459</v>
      </c>
      <c r="X34" s="79" t="s">
        <v>110</v>
      </c>
      <c r="Y34" s="42">
        <v>45672</v>
      </c>
      <c r="AA34" s="2"/>
      <c r="AB34" s="2"/>
      <c r="AC34" s="132"/>
      <c r="AD34" s="8" t="str">
        <f t="shared" si="6"/>
        <v/>
      </c>
    </row>
    <row r="35" spans="1:30" ht="15.75">
      <c r="A35" s="29" t="s">
        <v>111</v>
      </c>
      <c r="B35" s="3" t="s">
        <v>93</v>
      </c>
      <c r="C35" s="3" t="s">
        <v>90</v>
      </c>
      <c r="D35" s="3" t="s">
        <v>112</v>
      </c>
      <c r="E35" s="3" t="str">
        <f t="shared" si="0"/>
        <v>Direct</v>
      </c>
      <c r="F35" s="3" t="s">
        <v>59</v>
      </c>
      <c r="G35" s="3">
        <v>112</v>
      </c>
      <c r="H35" s="28">
        <f>G35*205</f>
        <v>22960</v>
      </c>
      <c r="I35" s="82"/>
      <c r="J35" s="116">
        <f t="shared" si="7"/>
        <v>0.69424215943295464</v>
      </c>
      <c r="K35" s="117">
        <f>16416.4/1.0299</f>
        <v>15939.799980580639</v>
      </c>
      <c r="L35" s="22">
        <f>(1656/1.0198)+328+69.25+834+80+35+55</f>
        <v>3025.0978132967248</v>
      </c>
      <c r="M35" s="22">
        <f>1903.63+38.07+96</f>
        <v>2037.7</v>
      </c>
      <c r="N35" s="22">
        <f>300+227.5</f>
        <v>527.5</v>
      </c>
      <c r="O35" s="22"/>
      <c r="P35" s="23"/>
      <c r="Q35" s="23"/>
      <c r="R35" s="23"/>
      <c r="S35" s="23"/>
      <c r="T35" s="23"/>
      <c r="U35" s="19">
        <f t="shared" si="5"/>
        <v>21530.097793877365</v>
      </c>
      <c r="V35" s="128">
        <f t="shared" si="2"/>
        <v>0.93772202935005944</v>
      </c>
      <c r="X35" s="79"/>
      <c r="Y35" s="42"/>
      <c r="AA35" s="2"/>
      <c r="AB35" s="2"/>
      <c r="AC35" s="132"/>
      <c r="AD35" s="8" t="str">
        <f t="shared" si="6"/>
        <v/>
      </c>
    </row>
    <row r="36" spans="1:30" ht="15.75">
      <c r="A36" s="54" t="s">
        <v>113</v>
      </c>
      <c r="B36" s="3" t="s">
        <v>89</v>
      </c>
      <c r="C36" s="9" t="s">
        <v>90</v>
      </c>
      <c r="D36" s="3" t="s">
        <v>30</v>
      </c>
      <c r="E36" s="3" t="str">
        <f t="shared" si="0"/>
        <v>Hiwa</v>
      </c>
      <c r="F36" s="10" t="s">
        <v>59</v>
      </c>
      <c r="G36" s="1">
        <v>256</v>
      </c>
      <c r="H36" s="27">
        <f>G36*205</f>
        <v>52480</v>
      </c>
      <c r="I36" s="82"/>
      <c r="J36" s="116">
        <f t="shared" si="7"/>
        <v>0.62141955529663062</v>
      </c>
      <c r="K36" s="117">
        <f>33587.2/1.0299</f>
        <v>32612.098261967178</v>
      </c>
      <c r="L36" s="58">
        <f>3092/1.0198</f>
        <v>3031.9670523632085</v>
      </c>
      <c r="M36" s="58">
        <f>2003.73+1988.57</f>
        <v>3992.3</v>
      </c>
      <c r="N36" s="58">
        <v>120</v>
      </c>
      <c r="O36" s="58">
        <f>61.61+2584.52+712.22</f>
        <v>3358.3500000000004</v>
      </c>
      <c r="P36" s="59"/>
      <c r="Q36" s="59"/>
      <c r="R36" s="59"/>
      <c r="S36" s="59"/>
      <c r="T36" s="59"/>
      <c r="U36" s="19">
        <f t="shared" si="5"/>
        <v>43114.715314330388</v>
      </c>
      <c r="V36" s="128">
        <f t="shared" si="2"/>
        <v>0.82154564242245398</v>
      </c>
      <c r="X36" s="80" t="s">
        <v>114</v>
      </c>
      <c r="Y36" s="72">
        <v>45705</v>
      </c>
      <c r="AA36" s="2"/>
      <c r="AB36" s="2"/>
      <c r="AC36" s="132">
        <v>75</v>
      </c>
      <c r="AD36" s="8">
        <f t="shared" si="6"/>
        <v>12631.26425224523</v>
      </c>
    </row>
    <row r="37" spans="1:30" ht="15.75">
      <c r="A37" s="29" t="s">
        <v>115</v>
      </c>
      <c r="B37" s="3" t="s">
        <v>106</v>
      </c>
      <c r="C37" s="55" t="s">
        <v>62</v>
      </c>
      <c r="D37" s="55" t="s">
        <v>116</v>
      </c>
      <c r="E37" s="55" t="str">
        <f t="shared" si="0"/>
        <v>Direct</v>
      </c>
      <c r="F37" s="55" t="s">
        <v>31</v>
      </c>
      <c r="G37" s="55">
        <f>9*112</f>
        <v>1008</v>
      </c>
      <c r="H37" s="56">
        <f>G37*210</f>
        <v>211680</v>
      </c>
      <c r="I37" s="82"/>
      <c r="J37" s="116">
        <f t="shared" si="7"/>
        <v>1.41</v>
      </c>
      <c r="K37" s="119">
        <v>298468.8</v>
      </c>
      <c r="L37" s="58">
        <v>19739</v>
      </c>
      <c r="M37" s="58"/>
      <c r="N37" s="58"/>
      <c r="O37" s="58"/>
      <c r="P37" s="59"/>
      <c r="Q37" s="59"/>
      <c r="R37" s="59"/>
      <c r="S37" s="59"/>
      <c r="T37" s="59"/>
      <c r="U37" s="19">
        <f t="shared" si="5"/>
        <v>318207.8</v>
      </c>
      <c r="V37" s="128">
        <f t="shared" si="2"/>
        <v>1.5032492441421013</v>
      </c>
      <c r="X37" s="54"/>
      <c r="Y37" s="56"/>
      <c r="AA37" s="2"/>
      <c r="AB37" s="2"/>
      <c r="AC37" s="132"/>
      <c r="AD37" s="8" t="str">
        <f t="shared" si="6"/>
        <v/>
      </c>
    </row>
    <row r="38" spans="1:30" ht="15.75">
      <c r="A38" s="54" t="s">
        <v>117</v>
      </c>
      <c r="B38" s="3" t="s">
        <v>118</v>
      </c>
      <c r="C38" s="9" t="s">
        <v>119</v>
      </c>
      <c r="D38" s="13" t="s">
        <v>120</v>
      </c>
      <c r="E38" s="3" t="str">
        <f>IF(B38="","",IF(D38="Godfroy","Godfroy",(IF(LEFT(B38,1)="1","Hiwa","Direct"))))</f>
        <v>Direct</v>
      </c>
      <c r="F38" s="10" t="s">
        <v>121</v>
      </c>
      <c r="G38" s="1">
        <v>52</v>
      </c>
      <c r="H38" s="27">
        <v>10400</v>
      </c>
      <c r="I38" s="82"/>
      <c r="J38" s="116">
        <f t="shared" si="7"/>
        <v>1.54</v>
      </c>
      <c r="K38" s="119">
        <v>16016</v>
      </c>
      <c r="L38" s="58">
        <v>1750</v>
      </c>
      <c r="M38" s="58"/>
      <c r="N38" s="58"/>
      <c r="O38" s="58"/>
      <c r="P38" s="59"/>
      <c r="Q38" s="59"/>
      <c r="R38" s="59"/>
      <c r="S38" s="59"/>
      <c r="T38" s="59"/>
      <c r="U38" s="19">
        <f t="shared" si="5"/>
        <v>17766</v>
      </c>
      <c r="V38" s="128">
        <f t="shared" si="2"/>
        <v>1.7082692307692309</v>
      </c>
      <c r="X38" s="54"/>
      <c r="Y38" s="56"/>
      <c r="AA38" s="2"/>
      <c r="AB38" s="2"/>
      <c r="AC38" s="132"/>
      <c r="AD38" s="8" t="str">
        <f t="shared" si="6"/>
        <v/>
      </c>
    </row>
    <row r="39" spans="1:30" ht="15.75">
      <c r="A39" s="29" t="s">
        <v>122</v>
      </c>
      <c r="B39" s="3" t="s">
        <v>51</v>
      </c>
      <c r="C39" s="9" t="s">
        <v>52</v>
      </c>
      <c r="D39" s="13" t="s">
        <v>30</v>
      </c>
      <c r="E39" s="3" t="str">
        <f t="shared" ref="E39" si="8">IF(B39="","",IF(D39="Godfroy","Godfroy",(IF(LEFT(B39,1)="1","Hiwa","Direct"))))</f>
        <v>Hiwa</v>
      </c>
      <c r="F39" s="3" t="s">
        <v>46</v>
      </c>
      <c r="G39" s="1">
        <v>80</v>
      </c>
      <c r="H39" s="27">
        <v>16800</v>
      </c>
      <c r="I39" s="82"/>
      <c r="J39" s="116">
        <f t="shared" si="7"/>
        <v>3.705842718259698</v>
      </c>
      <c r="K39" s="119">
        <f>64680/1.0389</f>
        <v>62258.157666762927</v>
      </c>
      <c r="L39" s="58">
        <f>2425/1.0389</f>
        <v>2334.1996342285111</v>
      </c>
      <c r="M39" s="58"/>
      <c r="N39" s="58"/>
      <c r="O39" s="58">
        <v>1155.18</v>
      </c>
      <c r="P39" s="59"/>
      <c r="Q39" s="59">
        <f>16.46</f>
        <v>16.46</v>
      </c>
      <c r="R39" s="59"/>
      <c r="S39" s="59"/>
      <c r="T39" s="59"/>
      <c r="U39" s="19">
        <f t="shared" si="5"/>
        <v>65763.997300991439</v>
      </c>
      <c r="V39" s="128">
        <f t="shared" si="2"/>
        <v>3.914523648868538</v>
      </c>
      <c r="X39" s="54">
        <v>367271</v>
      </c>
      <c r="Y39" s="72">
        <v>45691</v>
      </c>
      <c r="AA39" s="2"/>
      <c r="AB39" s="2">
        <v>80</v>
      </c>
      <c r="AC39" s="132">
        <v>80</v>
      </c>
      <c r="AD39" s="8">
        <f t="shared" si="6"/>
        <v>65763.997300991439</v>
      </c>
    </row>
    <row r="40" spans="1:30" ht="15.75">
      <c r="A40" s="54" t="s">
        <v>124</v>
      </c>
      <c r="B40" s="3" t="s">
        <v>125</v>
      </c>
      <c r="C40" s="3" t="s">
        <v>126</v>
      </c>
      <c r="D40" s="3" t="s">
        <v>127</v>
      </c>
      <c r="E40" s="3" t="str">
        <f>IF(B40="","",IF(D40="Godfroy","Godfroy",(IF(LEFT(B40,1)="1","Hiwa","Direct"))))</f>
        <v>Direct</v>
      </c>
      <c r="F40" s="3" t="s">
        <v>128</v>
      </c>
      <c r="G40" s="3">
        <v>4</v>
      </c>
      <c r="H40" s="28">
        <v>880</v>
      </c>
      <c r="I40" s="82"/>
      <c r="J40" s="116">
        <f>IF(H40="","",+K40/H40)</f>
        <v>0.92045454545454541</v>
      </c>
      <c r="K40" s="119">
        <v>810</v>
      </c>
      <c r="L40" s="58">
        <v>294</v>
      </c>
      <c r="M40" s="58"/>
      <c r="N40" s="58"/>
      <c r="O40" s="58"/>
      <c r="P40" s="59"/>
      <c r="Q40" s="59"/>
      <c r="R40" s="59"/>
      <c r="S40" s="59"/>
      <c r="T40" s="59"/>
      <c r="U40" s="19">
        <f t="shared" si="5"/>
        <v>1104</v>
      </c>
      <c r="V40" s="128">
        <f>IF(J40="","",+U40/H40)</f>
        <v>1.2545454545454546</v>
      </c>
      <c r="X40" s="54"/>
      <c r="Y40" s="56"/>
      <c r="AA40" s="2"/>
      <c r="AB40" s="2"/>
      <c r="AC40" s="132"/>
      <c r="AD40" s="8" t="str">
        <f t="shared" si="6"/>
        <v/>
      </c>
    </row>
    <row r="41" spans="1:30" ht="15.75">
      <c r="A41" s="29" t="s">
        <v>129</v>
      </c>
      <c r="B41" s="3" t="s">
        <v>106</v>
      </c>
      <c r="C41" s="9" t="s">
        <v>62</v>
      </c>
      <c r="D41" s="3" t="s">
        <v>104</v>
      </c>
      <c r="E41" s="3" t="str">
        <f t="shared" ref="E41:E45" si="9">IF(B41="","",IF(D41="Godfroy","Godfroy",(IF(LEFT(B41,1)="1","Hiwa","Direct"))))</f>
        <v>Direct</v>
      </c>
      <c r="F41" s="10" t="s">
        <v>31</v>
      </c>
      <c r="G41" s="1">
        <f>6*112</f>
        <v>672</v>
      </c>
      <c r="H41" s="27">
        <f>G41*210</f>
        <v>141120</v>
      </c>
      <c r="I41" s="82"/>
      <c r="J41" s="116">
        <f>IF(H41="","",+K41/H41)</f>
        <v>1.32</v>
      </c>
      <c r="K41" s="119">
        <v>186278.39999999999</v>
      </c>
      <c r="L41" s="58"/>
      <c r="M41" s="22">
        <f>(34.69+63.45)*4</f>
        <v>392.56</v>
      </c>
      <c r="N41" s="58"/>
      <c r="O41" s="58"/>
      <c r="P41" s="59"/>
      <c r="Q41" s="59"/>
      <c r="R41" s="59">
        <f>3*57.04</f>
        <v>171.12</v>
      </c>
      <c r="S41" s="59"/>
      <c r="T41" s="59"/>
      <c r="U41" s="19">
        <f t="shared" si="5"/>
        <v>186670.96</v>
      </c>
      <c r="V41" s="128">
        <f>IF(J41="","",+U41/H41)</f>
        <v>1.3227817460317459</v>
      </c>
      <c r="X41" s="79" t="s">
        <v>130</v>
      </c>
      <c r="Y41" s="42">
        <v>45672</v>
      </c>
      <c r="AA41" s="2"/>
      <c r="AB41" s="2"/>
      <c r="AC41" s="132"/>
      <c r="AD41" s="8" t="str">
        <f t="shared" si="6"/>
        <v/>
      </c>
    </row>
    <row r="42" spans="1:30" ht="15.75">
      <c r="A42" s="54" t="s">
        <v>131</v>
      </c>
      <c r="B42" s="3" t="s">
        <v>132</v>
      </c>
      <c r="C42" s="3" t="s">
        <v>133</v>
      </c>
      <c r="D42" s="13" t="s">
        <v>134</v>
      </c>
      <c r="E42" s="3" t="str">
        <f t="shared" si="9"/>
        <v>Direct</v>
      </c>
      <c r="F42" s="3" t="s">
        <v>121</v>
      </c>
      <c r="G42" s="65">
        <v>32</v>
      </c>
      <c r="H42" s="53">
        <f>G42*220</f>
        <v>7040</v>
      </c>
      <c r="I42" s="82"/>
      <c r="J42" s="116">
        <f t="shared" ref="J42:J105" si="10">IF(H42="","",+K42/H42)</f>
        <v>1.45</v>
      </c>
      <c r="K42" s="119">
        <v>10208</v>
      </c>
      <c r="L42" s="58">
        <v>704</v>
      </c>
      <c r="M42" s="58"/>
      <c r="N42" s="58"/>
      <c r="O42" s="58"/>
      <c r="P42" s="59"/>
      <c r="Q42" s="59"/>
      <c r="R42" s="59"/>
      <c r="S42" s="59"/>
      <c r="T42" s="59"/>
      <c r="U42" s="19">
        <f t="shared" si="5"/>
        <v>10912</v>
      </c>
      <c r="V42" s="128">
        <f t="shared" ref="V42:V105" si="11">IF(J42="","",+U42/H42)</f>
        <v>1.55</v>
      </c>
      <c r="X42" s="54"/>
      <c r="Y42" s="56"/>
      <c r="AA42" s="2"/>
      <c r="AB42" s="2"/>
      <c r="AC42" s="132"/>
    </row>
    <row r="43" spans="1:30" ht="15.75">
      <c r="A43" s="29" t="s">
        <v>135</v>
      </c>
      <c r="B43" s="3" t="s">
        <v>136</v>
      </c>
      <c r="C43" s="3" t="s">
        <v>133</v>
      </c>
      <c r="D43" s="13" t="s">
        <v>134</v>
      </c>
      <c r="E43" s="3" t="str">
        <f t="shared" si="9"/>
        <v>Direct</v>
      </c>
      <c r="F43" s="3" t="s">
        <v>121</v>
      </c>
      <c r="G43" s="65">
        <v>8</v>
      </c>
      <c r="H43" s="53">
        <f>G43*220</f>
        <v>1760</v>
      </c>
      <c r="I43" s="82"/>
      <c r="J43" s="116">
        <f t="shared" si="10"/>
        <v>1.24</v>
      </c>
      <c r="K43" s="119">
        <v>2182.4</v>
      </c>
      <c r="L43" s="58">
        <v>176</v>
      </c>
      <c r="M43" s="58"/>
      <c r="N43" s="58"/>
      <c r="O43" s="58"/>
      <c r="P43" s="59"/>
      <c r="Q43" s="59"/>
      <c r="R43" s="59"/>
      <c r="S43" s="59"/>
      <c r="T43" s="59"/>
      <c r="U43" s="19">
        <f t="shared" si="5"/>
        <v>2358.4</v>
      </c>
      <c r="V43" s="128">
        <f t="shared" si="11"/>
        <v>1.34</v>
      </c>
      <c r="X43" s="54"/>
      <c r="Y43" s="56"/>
      <c r="AA43" s="2"/>
      <c r="AB43" s="2"/>
      <c r="AC43" s="132"/>
    </row>
    <row r="44" spans="1:30" ht="15.75">
      <c r="A44" s="54" t="s">
        <v>137</v>
      </c>
      <c r="B44" s="3" t="s">
        <v>103</v>
      </c>
      <c r="C44" s="9" t="s">
        <v>62</v>
      </c>
      <c r="D44" s="3" t="s">
        <v>104</v>
      </c>
      <c r="E44" s="3" t="str">
        <f t="shared" si="9"/>
        <v>Direct</v>
      </c>
      <c r="F44" s="10" t="s">
        <v>31</v>
      </c>
      <c r="G44" s="1">
        <f>6*112</f>
        <v>672</v>
      </c>
      <c r="H44" s="27">
        <f>G44*210</f>
        <v>141120</v>
      </c>
      <c r="I44" s="82"/>
      <c r="J44" s="116">
        <f t="shared" si="10"/>
        <v>1.2899999999999998</v>
      </c>
      <c r="K44" s="117">
        <v>182044.79999999999</v>
      </c>
      <c r="L44" s="22"/>
      <c r="M44" s="22"/>
      <c r="N44" s="22"/>
      <c r="O44" s="22"/>
      <c r="P44" s="23"/>
      <c r="Q44" s="23"/>
      <c r="R44" s="23"/>
      <c r="S44" s="23"/>
      <c r="T44" s="23"/>
      <c r="U44" s="19">
        <f t="shared" si="5"/>
        <v>182044.79999999999</v>
      </c>
      <c r="V44" s="128">
        <f t="shared" si="11"/>
        <v>1.2899999999999998</v>
      </c>
      <c r="X44" s="54"/>
      <c r="Y44" s="56"/>
      <c r="AA44" s="2"/>
      <c r="AB44" s="2"/>
      <c r="AC44" s="132"/>
    </row>
    <row r="45" spans="1:30" ht="15.75">
      <c r="A45" s="29" t="s">
        <v>138</v>
      </c>
      <c r="B45" s="3" t="s">
        <v>106</v>
      </c>
      <c r="C45" s="3" t="s">
        <v>62</v>
      </c>
      <c r="D45" s="3" t="s">
        <v>104</v>
      </c>
      <c r="E45" s="3" t="str">
        <f t="shared" si="9"/>
        <v>Direct</v>
      </c>
      <c r="F45" s="3" t="s">
        <v>31</v>
      </c>
      <c r="G45" s="3">
        <f>12*112</f>
        <v>1344</v>
      </c>
      <c r="H45" s="28">
        <f>G45*210</f>
        <v>282240</v>
      </c>
      <c r="I45" s="82"/>
      <c r="J45" s="116">
        <f t="shared" si="10"/>
        <v>1.33</v>
      </c>
      <c r="K45" s="117">
        <v>375379.20000000001</v>
      </c>
      <c r="L45" s="22"/>
      <c r="M45" s="22"/>
      <c r="N45" s="22"/>
      <c r="O45" s="22"/>
      <c r="P45" s="23"/>
      <c r="Q45" s="23"/>
      <c r="R45" s="23"/>
      <c r="S45" s="23"/>
      <c r="T45" s="23"/>
      <c r="U45" s="19">
        <f t="shared" si="5"/>
        <v>375379.20000000001</v>
      </c>
      <c r="V45" s="128">
        <f t="shared" si="11"/>
        <v>1.33</v>
      </c>
      <c r="X45" s="54"/>
      <c r="Y45" s="56"/>
      <c r="AA45" s="2"/>
      <c r="AB45" s="2"/>
      <c r="AC45" s="132"/>
    </row>
    <row r="46" spans="1:30" ht="15.75">
      <c r="A46" s="29" t="s">
        <v>139</v>
      </c>
      <c r="B46" s="3" t="s">
        <v>140</v>
      </c>
      <c r="C46" s="3" t="s">
        <v>62</v>
      </c>
      <c r="D46" s="3" t="s">
        <v>104</v>
      </c>
      <c r="E46" s="3" t="str">
        <f t="shared" si="0"/>
        <v>Direct</v>
      </c>
      <c r="F46" s="3" t="s">
        <v>31</v>
      </c>
      <c r="G46" s="3">
        <v>896</v>
      </c>
      <c r="H46" s="28">
        <f>+G46*210</f>
        <v>188160</v>
      </c>
      <c r="I46" s="82"/>
      <c r="J46" s="116">
        <f t="shared" si="10"/>
        <v>1.07</v>
      </c>
      <c r="K46" s="117">
        <v>201331.20000000001</v>
      </c>
      <c r="L46" s="22"/>
      <c r="M46" s="22"/>
      <c r="N46" s="22"/>
      <c r="O46" s="22"/>
      <c r="P46" s="23"/>
      <c r="Q46" s="23"/>
      <c r="R46" s="23"/>
      <c r="S46" s="23"/>
      <c r="T46" s="23"/>
      <c r="U46" s="19">
        <f t="shared" si="5"/>
        <v>201331.20000000001</v>
      </c>
      <c r="V46" s="128">
        <f t="shared" si="11"/>
        <v>1.07</v>
      </c>
      <c r="X46" s="80"/>
      <c r="Y46" s="72"/>
      <c r="AA46" s="2"/>
      <c r="AB46" s="2"/>
      <c r="AC46" s="132"/>
      <c r="AD46" s="8" t="str">
        <f>IF(AC46&gt;0,(((H46/G46)*AC46)*V46),"")</f>
        <v/>
      </c>
    </row>
    <row r="47" spans="1:30" ht="15.75">
      <c r="A47" s="29" t="s">
        <v>142</v>
      </c>
      <c r="B47" s="3" t="s">
        <v>143</v>
      </c>
      <c r="C47" s="9" t="s">
        <v>119</v>
      </c>
      <c r="D47" s="3" t="s">
        <v>144</v>
      </c>
      <c r="E47" s="3" t="str">
        <f t="shared" si="0"/>
        <v>Direct</v>
      </c>
      <c r="F47" s="10" t="s">
        <v>121</v>
      </c>
      <c r="G47" s="1">
        <v>110</v>
      </c>
      <c r="H47" s="27">
        <v>1100</v>
      </c>
      <c r="I47" s="82"/>
      <c r="J47" s="116">
        <f t="shared" si="10"/>
        <v>1.085</v>
      </c>
      <c r="K47" s="117">
        <v>1193.5</v>
      </c>
      <c r="L47" s="22">
        <v>485</v>
      </c>
      <c r="M47" s="22"/>
      <c r="N47" s="22"/>
      <c r="O47" s="22"/>
      <c r="P47" s="23"/>
      <c r="Q47" s="23"/>
      <c r="R47" s="23"/>
      <c r="S47" s="23"/>
      <c r="T47" s="23"/>
      <c r="U47" s="19">
        <f t="shared" si="5"/>
        <v>1678.5</v>
      </c>
      <c r="V47" s="128">
        <f t="shared" si="11"/>
        <v>1.5259090909090909</v>
      </c>
      <c r="X47" s="54"/>
      <c r="Y47" s="56"/>
      <c r="AA47" s="2"/>
      <c r="AB47" s="2"/>
      <c r="AC47" s="132"/>
    </row>
    <row r="48" spans="1:30" ht="15.75">
      <c r="A48" s="29" t="s">
        <v>145</v>
      </c>
      <c r="B48" s="3" t="s">
        <v>93</v>
      </c>
      <c r="C48" s="3" t="s">
        <v>90</v>
      </c>
      <c r="D48" s="3" t="s">
        <v>112</v>
      </c>
      <c r="E48" s="3" t="str">
        <f t="shared" si="0"/>
        <v>Direct</v>
      </c>
      <c r="F48" s="3" t="s">
        <v>59</v>
      </c>
      <c r="G48" s="3">
        <v>112</v>
      </c>
      <c r="H48" s="28">
        <f>G48*205</f>
        <v>22960</v>
      </c>
      <c r="I48" s="82"/>
      <c r="J48" s="116">
        <f t="shared" si="10"/>
        <v>0.62488129154795824</v>
      </c>
      <c r="K48" s="117">
        <f>15107.68/1.053</f>
        <v>14347.274453941121</v>
      </c>
      <c r="L48" s="22">
        <f>1798/1.037</f>
        <v>1733.8476374156221</v>
      </c>
      <c r="M48" s="22"/>
      <c r="N48" s="22"/>
      <c r="O48" s="22"/>
      <c r="P48" s="23"/>
      <c r="Q48" s="23"/>
      <c r="R48" s="23"/>
      <c r="S48" s="23"/>
      <c r="T48" s="23"/>
      <c r="U48" s="19">
        <f t="shared" si="5"/>
        <v>16081.122091356743</v>
      </c>
      <c r="V48" s="128">
        <f t="shared" si="11"/>
        <v>0.70039730363052022</v>
      </c>
      <c r="X48" s="54"/>
      <c r="Y48" s="56"/>
      <c r="AA48" s="2"/>
      <c r="AB48" s="2"/>
      <c r="AC48" s="132"/>
    </row>
    <row r="49" spans="1:29" ht="15.75">
      <c r="A49" s="29" t="s">
        <v>146</v>
      </c>
      <c r="B49" s="3" t="s">
        <v>147</v>
      </c>
      <c r="C49" s="3" t="s">
        <v>133</v>
      </c>
      <c r="D49" s="3" t="s">
        <v>148</v>
      </c>
      <c r="E49" s="3" t="str">
        <f t="shared" si="0"/>
        <v>Direct</v>
      </c>
      <c r="F49" s="3" t="s">
        <v>121</v>
      </c>
      <c r="G49" s="3">
        <v>12</v>
      </c>
      <c r="H49" s="28">
        <f>G49*220</f>
        <v>2640</v>
      </c>
      <c r="I49" s="82"/>
      <c r="J49" s="116">
        <f t="shared" si="10"/>
        <v>1.8099999999999998</v>
      </c>
      <c r="K49" s="117">
        <v>4778.3999999999996</v>
      </c>
      <c r="L49" s="22">
        <v>380</v>
      </c>
      <c r="M49" s="22"/>
      <c r="N49" s="22"/>
      <c r="O49" s="22"/>
      <c r="P49" s="23"/>
      <c r="Q49" s="23"/>
      <c r="R49" s="23"/>
      <c r="S49" s="23"/>
      <c r="T49" s="23"/>
      <c r="U49" s="19">
        <f t="shared" ref="U49:U112" si="12">IF(B49="","",K49+SUM(L49:Q49))</f>
        <v>5158.3999999999996</v>
      </c>
      <c r="V49" s="128">
        <f t="shared" si="11"/>
        <v>1.9539393939393939</v>
      </c>
      <c r="X49" s="54"/>
      <c r="Y49" s="56"/>
      <c r="AA49" s="2"/>
      <c r="AB49" s="2"/>
      <c r="AC49" s="132"/>
    </row>
    <row r="50" spans="1:29" ht="15.75">
      <c r="A50" s="29" t="s">
        <v>149</v>
      </c>
      <c r="B50" s="3" t="s">
        <v>143</v>
      </c>
      <c r="C50" s="9" t="s">
        <v>119</v>
      </c>
      <c r="D50" s="3" t="s">
        <v>150</v>
      </c>
      <c r="E50" s="3" t="str">
        <f t="shared" si="0"/>
        <v>Direct</v>
      </c>
      <c r="F50" s="10" t="s">
        <v>121</v>
      </c>
      <c r="G50" s="1">
        <v>110</v>
      </c>
      <c r="H50" s="27">
        <v>1100</v>
      </c>
      <c r="I50" s="82"/>
      <c r="J50" s="116">
        <f t="shared" si="10"/>
        <v>1.085</v>
      </c>
      <c r="K50" s="117">
        <v>1193.5</v>
      </c>
      <c r="L50" s="22">
        <v>480</v>
      </c>
      <c r="M50" s="22"/>
      <c r="N50" s="22"/>
      <c r="O50" s="22"/>
      <c r="P50" s="23"/>
      <c r="Q50" s="23"/>
      <c r="R50" s="23"/>
      <c r="S50" s="23"/>
      <c r="T50" s="23"/>
      <c r="U50" s="19">
        <f t="shared" si="12"/>
        <v>1673.5</v>
      </c>
      <c r="V50" s="128">
        <f t="shared" si="11"/>
        <v>1.5213636363636365</v>
      </c>
      <c r="X50" s="54"/>
      <c r="Y50" s="56"/>
      <c r="AA50" s="2"/>
      <c r="AB50" s="2"/>
      <c r="AC50" s="132"/>
    </row>
    <row r="51" spans="1:29" ht="15.75">
      <c r="A51" s="29" t="s">
        <v>151</v>
      </c>
      <c r="B51" s="3" t="s">
        <v>143</v>
      </c>
      <c r="C51" s="9" t="s">
        <v>119</v>
      </c>
      <c r="D51" s="3" t="s">
        <v>144</v>
      </c>
      <c r="E51" s="3" t="str">
        <f t="shared" si="0"/>
        <v>Direct</v>
      </c>
      <c r="F51" s="10" t="s">
        <v>121</v>
      </c>
      <c r="G51" s="1">
        <v>110</v>
      </c>
      <c r="H51" s="27">
        <v>1100</v>
      </c>
      <c r="I51" s="82"/>
      <c r="J51" s="116">
        <f t="shared" si="10"/>
        <v>1.085</v>
      </c>
      <c r="K51" s="117">
        <v>1193.5</v>
      </c>
      <c r="L51" s="22"/>
      <c r="M51" s="22"/>
      <c r="N51" s="22"/>
      <c r="O51" s="22"/>
      <c r="P51" s="23"/>
      <c r="Q51" s="23"/>
      <c r="R51" s="23"/>
      <c r="S51" s="23"/>
      <c r="T51" s="23"/>
      <c r="U51" s="19">
        <f t="shared" si="12"/>
        <v>1193.5</v>
      </c>
      <c r="V51" s="128">
        <f t="shared" si="11"/>
        <v>1.085</v>
      </c>
      <c r="X51" s="54"/>
      <c r="Y51" s="56"/>
      <c r="AA51" s="2"/>
      <c r="AB51" s="2"/>
      <c r="AC51" s="132"/>
    </row>
    <row r="52" spans="1:29" ht="15.75">
      <c r="A52" s="29" t="s">
        <v>152</v>
      </c>
      <c r="B52" s="3" t="s">
        <v>125</v>
      </c>
      <c r="C52" s="3" t="s">
        <v>126</v>
      </c>
      <c r="D52" s="3" t="s">
        <v>127</v>
      </c>
      <c r="E52" s="3" t="str">
        <f>IF(B52="","",IF(D52="Godfroy","Godfroy",(IF(LEFT(B52,1)="1","Hiwa","Direct"))))</f>
        <v>Direct</v>
      </c>
      <c r="F52" s="3" t="s">
        <v>128</v>
      </c>
      <c r="G52" s="3">
        <v>4</v>
      </c>
      <c r="H52" s="28">
        <v>880</v>
      </c>
      <c r="I52" s="82"/>
      <c r="J52" s="116">
        <f t="shared" si="10"/>
        <v>0.92999999999999994</v>
      </c>
      <c r="K52" s="117">
        <v>818.4</v>
      </c>
      <c r="L52" s="22">
        <v>197.29</v>
      </c>
      <c r="M52" s="22"/>
      <c r="N52" s="22"/>
      <c r="O52" s="22"/>
      <c r="P52" s="23"/>
      <c r="Q52" s="23"/>
      <c r="R52" s="23"/>
      <c r="S52" s="23"/>
      <c r="T52" s="23"/>
      <c r="U52" s="19">
        <f t="shared" si="12"/>
        <v>1015.6899999999999</v>
      </c>
      <c r="V52" s="128">
        <f t="shared" si="11"/>
        <v>1.1541931818181816</v>
      </c>
      <c r="X52" s="54"/>
      <c r="Y52" s="56"/>
      <c r="AA52" s="2"/>
      <c r="AB52" s="2"/>
      <c r="AC52" s="132"/>
    </row>
    <row r="53" spans="1:29" ht="15.75">
      <c r="A53" s="29" t="s">
        <v>154</v>
      </c>
      <c r="B53" s="3" t="s">
        <v>89</v>
      </c>
      <c r="C53" s="9" t="s">
        <v>90</v>
      </c>
      <c r="D53" s="3" t="s">
        <v>30</v>
      </c>
      <c r="E53" s="3" t="str">
        <f t="shared" ref="E53" si="13">IF(B53="","",IF(D53="Godfroy","Godfroy",(IF(LEFT(B53,1)="1","Hiwa","Direct"))))</f>
        <v>Hiwa</v>
      </c>
      <c r="F53" s="10" t="s">
        <v>59</v>
      </c>
      <c r="G53" s="1">
        <v>512</v>
      </c>
      <c r="H53" s="27">
        <f>G53*205</f>
        <v>104960</v>
      </c>
      <c r="I53" s="82"/>
      <c r="J53" s="116">
        <f t="shared" si="10"/>
        <v>0.6457739791073126</v>
      </c>
      <c r="K53" s="117">
        <f>71372.8/1.053</f>
        <v>67780.436847103527</v>
      </c>
      <c r="L53" s="22">
        <f>6184/1.037</f>
        <v>5963.3558341369335</v>
      </c>
      <c r="M53" s="22"/>
      <c r="N53" s="22"/>
      <c r="O53" s="22"/>
      <c r="P53" s="23"/>
      <c r="Q53" s="23"/>
      <c r="R53" s="23"/>
      <c r="S53" s="23"/>
      <c r="T53" s="23"/>
      <c r="U53" s="19">
        <f t="shared" si="12"/>
        <v>73743.792681240462</v>
      </c>
      <c r="V53" s="128">
        <f t="shared" si="11"/>
        <v>0.70258948819779399</v>
      </c>
      <c r="X53" s="80"/>
      <c r="Y53" s="72"/>
      <c r="AA53" s="2"/>
      <c r="AB53" s="2"/>
      <c r="AC53" s="132"/>
    </row>
    <row r="54" spans="1:29" ht="15.75">
      <c r="A54" s="29" t="s">
        <v>156</v>
      </c>
      <c r="B54" s="3" t="s">
        <v>157</v>
      </c>
      <c r="C54" s="3" t="s">
        <v>126</v>
      </c>
      <c r="D54" s="3" t="s">
        <v>158</v>
      </c>
      <c r="E54" s="3" t="str">
        <f>IF(B54="","",IF(D54="Godfroy","Godfroy",(IF(LEFT(B54,1)="1","Hiwa","Direct"))))</f>
        <v>Direct</v>
      </c>
      <c r="F54" s="3" t="s">
        <v>128</v>
      </c>
      <c r="G54" s="3">
        <v>24</v>
      </c>
      <c r="H54" s="28">
        <f>G54*21</f>
        <v>504</v>
      </c>
      <c r="I54" s="82"/>
      <c r="J54" s="116">
        <f t="shared" si="10"/>
        <v>1</v>
      </c>
      <c r="K54" s="117">
        <v>504</v>
      </c>
      <c r="L54" s="22">
        <v>270</v>
      </c>
      <c r="M54" s="22"/>
      <c r="N54" s="22"/>
      <c r="O54" s="22"/>
      <c r="P54" s="23"/>
      <c r="Q54" s="23"/>
      <c r="R54" s="23"/>
      <c r="S54" s="23"/>
      <c r="T54" s="23"/>
      <c r="U54" s="19">
        <f t="shared" si="12"/>
        <v>774</v>
      </c>
      <c r="V54" s="128">
        <f t="shared" si="11"/>
        <v>1.5357142857142858</v>
      </c>
      <c r="X54" s="54"/>
      <c r="Y54" s="56"/>
      <c r="AA54" s="2"/>
      <c r="AB54" s="2"/>
      <c r="AC54" s="132"/>
    </row>
    <row r="55" spans="1:29" ht="15.75">
      <c r="A55" s="29" t="s">
        <v>159</v>
      </c>
      <c r="B55" s="3" t="s">
        <v>157</v>
      </c>
      <c r="C55" s="3" t="s">
        <v>126</v>
      </c>
      <c r="D55" s="3" t="s">
        <v>158</v>
      </c>
      <c r="E55" s="3" t="str">
        <f>IF(B55="","",IF(D55="Godfroy","Godfroy",(IF(LEFT(B55,1)="1","Hiwa","Direct"))))</f>
        <v>Direct</v>
      </c>
      <c r="F55" s="3" t="s">
        <v>128</v>
      </c>
      <c r="G55" s="3">
        <v>24</v>
      </c>
      <c r="H55" s="28">
        <f>G55*21</f>
        <v>504</v>
      </c>
      <c r="I55" s="82"/>
      <c r="J55" s="116">
        <f t="shared" si="10"/>
        <v>0</v>
      </c>
      <c r="K55" s="117"/>
      <c r="L55" s="22"/>
      <c r="M55" s="22"/>
      <c r="N55" s="22"/>
      <c r="O55" s="22"/>
      <c r="P55" s="23"/>
      <c r="Q55" s="23"/>
      <c r="R55" s="23"/>
      <c r="S55" s="23"/>
      <c r="T55" s="23"/>
      <c r="U55" s="19">
        <f t="shared" si="12"/>
        <v>0</v>
      </c>
      <c r="V55" s="128">
        <f t="shared" si="11"/>
        <v>0</v>
      </c>
      <c r="X55" s="54"/>
      <c r="Y55" s="56"/>
      <c r="AA55" s="2"/>
      <c r="AB55" s="2"/>
      <c r="AC55" s="132"/>
    </row>
    <row r="56" spans="1:29" ht="15.75">
      <c r="A56" s="29" t="s">
        <v>160</v>
      </c>
      <c r="B56" s="3" t="s">
        <v>103</v>
      </c>
      <c r="C56" s="9" t="s">
        <v>62</v>
      </c>
      <c r="D56" s="3" t="s">
        <v>104</v>
      </c>
      <c r="E56" s="3" t="str">
        <f t="shared" ref="E56:E59" si="14">IF(B56="","",IF(D56="Godfroy","Godfroy",(IF(LEFT(B56,1)="1","Hiwa","Direct"))))</f>
        <v>Direct</v>
      </c>
      <c r="F56" s="10" t="s">
        <v>31</v>
      </c>
      <c r="G56" s="1">
        <f>3*112</f>
        <v>336</v>
      </c>
      <c r="H56" s="27">
        <f>G56*210</f>
        <v>70560</v>
      </c>
      <c r="I56" s="82"/>
      <c r="J56" s="116">
        <f t="shared" si="10"/>
        <v>0</v>
      </c>
      <c r="K56" s="117"/>
      <c r="L56" s="22"/>
      <c r="M56" s="22"/>
      <c r="N56" s="22"/>
      <c r="O56" s="22"/>
      <c r="P56" s="23"/>
      <c r="Q56" s="23"/>
      <c r="R56" s="23"/>
      <c r="S56" s="23"/>
      <c r="T56" s="23"/>
      <c r="U56" s="19">
        <f t="shared" si="12"/>
        <v>0</v>
      </c>
      <c r="V56" s="128">
        <f t="shared" si="11"/>
        <v>0</v>
      </c>
      <c r="X56" s="80"/>
      <c r="Y56" s="72"/>
      <c r="AA56" s="2"/>
      <c r="AB56" s="2"/>
      <c r="AC56" s="132"/>
    </row>
    <row r="57" spans="1:29" ht="15.75">
      <c r="A57" s="29" t="s">
        <v>163</v>
      </c>
      <c r="B57" s="3" t="s">
        <v>106</v>
      </c>
      <c r="C57" s="3" t="s">
        <v>62</v>
      </c>
      <c r="D57" s="3" t="s">
        <v>104</v>
      </c>
      <c r="E57" s="3" t="str">
        <f t="shared" si="14"/>
        <v>Direct</v>
      </c>
      <c r="F57" s="3" t="s">
        <v>31</v>
      </c>
      <c r="G57" s="3">
        <f>5*112</f>
        <v>560</v>
      </c>
      <c r="H57" s="28">
        <f>G57*210</f>
        <v>117600</v>
      </c>
      <c r="I57" s="82"/>
      <c r="J57" s="116">
        <f t="shared" si="10"/>
        <v>0</v>
      </c>
      <c r="K57" s="117"/>
      <c r="L57" s="22"/>
      <c r="M57" s="22"/>
      <c r="N57" s="22"/>
      <c r="O57" s="22"/>
      <c r="P57" s="23"/>
      <c r="Q57" s="23"/>
      <c r="R57" s="23"/>
      <c r="S57" s="23"/>
      <c r="T57" s="23"/>
      <c r="U57" s="19">
        <f t="shared" si="12"/>
        <v>0</v>
      </c>
      <c r="V57" s="128">
        <f t="shared" si="11"/>
        <v>0</v>
      </c>
      <c r="X57" s="80"/>
      <c r="Y57" s="72"/>
      <c r="AA57" s="2"/>
      <c r="AB57" s="2"/>
      <c r="AC57" s="132"/>
    </row>
    <row r="58" spans="1:29" ht="15.75">
      <c r="A58" s="29" t="s">
        <v>165</v>
      </c>
      <c r="B58" s="3" t="s">
        <v>86</v>
      </c>
      <c r="C58" s="3" t="s">
        <v>80</v>
      </c>
      <c r="D58" s="13" t="s">
        <v>87</v>
      </c>
      <c r="E58" s="3" t="str">
        <f t="shared" si="14"/>
        <v>Direct</v>
      </c>
      <c r="F58" s="3" t="s">
        <v>46</v>
      </c>
      <c r="G58" s="3">
        <v>112</v>
      </c>
      <c r="H58" s="28">
        <v>24080</v>
      </c>
      <c r="I58" s="82"/>
      <c r="J58" s="116">
        <f t="shared" si="10"/>
        <v>0</v>
      </c>
      <c r="K58" s="117"/>
      <c r="L58" s="22"/>
      <c r="M58" s="22"/>
      <c r="N58" s="22"/>
      <c r="O58" s="22"/>
      <c r="P58" s="23"/>
      <c r="Q58" s="23"/>
      <c r="R58" s="23"/>
      <c r="S58" s="23"/>
      <c r="T58" s="23"/>
      <c r="U58" s="19">
        <f t="shared" si="12"/>
        <v>0</v>
      </c>
      <c r="V58" s="128">
        <f t="shared" si="11"/>
        <v>0</v>
      </c>
      <c r="X58" s="54"/>
      <c r="Y58" s="56"/>
      <c r="AA58" s="2"/>
      <c r="AB58" s="2"/>
      <c r="AC58" s="132"/>
    </row>
    <row r="59" spans="1:29" ht="15.75">
      <c r="A59" s="29" t="s">
        <v>166</v>
      </c>
      <c r="B59" s="3" t="s">
        <v>89</v>
      </c>
      <c r="C59" s="9" t="s">
        <v>90</v>
      </c>
      <c r="D59" s="3" t="s">
        <v>30</v>
      </c>
      <c r="E59" s="3" t="str">
        <f t="shared" si="14"/>
        <v>Hiwa</v>
      </c>
      <c r="F59" s="10" t="s">
        <v>59</v>
      </c>
      <c r="G59" s="1">
        <v>512</v>
      </c>
      <c r="H59" s="27">
        <f>G59*205</f>
        <v>104960</v>
      </c>
      <c r="I59" s="82"/>
      <c r="J59" s="116">
        <f t="shared" si="10"/>
        <v>0</v>
      </c>
      <c r="K59" s="117"/>
      <c r="L59" s="22"/>
      <c r="M59" s="22"/>
      <c r="N59" s="22"/>
      <c r="O59" s="22"/>
      <c r="P59" s="23"/>
      <c r="Q59" s="23"/>
      <c r="R59" s="23"/>
      <c r="S59" s="23"/>
      <c r="T59" s="23"/>
      <c r="U59" s="19">
        <f t="shared" si="12"/>
        <v>0</v>
      </c>
      <c r="V59" s="128">
        <f t="shared" si="11"/>
        <v>0</v>
      </c>
      <c r="X59" s="80"/>
      <c r="Y59" s="72"/>
      <c r="AA59" s="2"/>
      <c r="AB59" s="2"/>
      <c r="AC59" s="132"/>
    </row>
    <row r="60" spans="1:29" ht="15.75">
      <c r="A60" s="29" t="s">
        <v>168</v>
      </c>
      <c r="B60" s="3" t="s">
        <v>89</v>
      </c>
      <c r="C60" s="9" t="s">
        <v>90</v>
      </c>
      <c r="D60" s="3" t="s">
        <v>30</v>
      </c>
      <c r="E60" s="3" t="str">
        <f t="shared" ref="E60" si="15">IF(B60="","",IF(D60="Godfroy","Godfroy",(IF(LEFT(B60,1)="1","Hiwa","Direct"))))</f>
        <v>Hiwa</v>
      </c>
      <c r="F60" s="10" t="s">
        <v>59</v>
      </c>
      <c r="G60" s="1">
        <v>256</v>
      </c>
      <c r="H60" s="27">
        <f>G60*205</f>
        <v>52480</v>
      </c>
      <c r="I60" s="82"/>
      <c r="J60" s="116">
        <f t="shared" si="10"/>
        <v>0</v>
      </c>
      <c r="K60" s="117"/>
      <c r="L60" s="22"/>
      <c r="M60" s="22"/>
      <c r="N60" s="22"/>
      <c r="O60" s="22"/>
      <c r="P60" s="23"/>
      <c r="Q60" s="23"/>
      <c r="R60" s="23"/>
      <c r="S60" s="23"/>
      <c r="T60" s="23"/>
      <c r="U60" s="19">
        <f t="shared" si="12"/>
        <v>0</v>
      </c>
      <c r="V60" s="128">
        <f t="shared" si="11"/>
        <v>0</v>
      </c>
      <c r="X60" s="80"/>
      <c r="Y60" s="72"/>
      <c r="AA60" s="2"/>
      <c r="AB60" s="2"/>
      <c r="AC60" s="132"/>
    </row>
    <row r="61" spans="1:29" ht="15.75">
      <c r="A61" s="29" t="s">
        <v>170</v>
      </c>
      <c r="B61" s="3" t="s">
        <v>171</v>
      </c>
      <c r="C61" s="3" t="s">
        <v>34</v>
      </c>
      <c r="D61" s="3" t="s">
        <v>172</v>
      </c>
      <c r="E61" s="3" t="s">
        <v>173</v>
      </c>
      <c r="F61" s="3" t="s">
        <v>36</v>
      </c>
      <c r="G61" s="3">
        <v>10</v>
      </c>
      <c r="H61" s="28">
        <v>250</v>
      </c>
      <c r="I61" s="82"/>
      <c r="J61" s="116">
        <f t="shared" si="10"/>
        <v>12.13</v>
      </c>
      <c r="K61" s="117">
        <v>3032.5</v>
      </c>
      <c r="L61" s="22"/>
      <c r="M61" s="22"/>
      <c r="N61" s="22"/>
      <c r="O61" s="22"/>
      <c r="P61" s="23"/>
      <c r="Q61" s="23"/>
      <c r="R61" s="23"/>
      <c r="S61" s="23"/>
      <c r="T61" s="23"/>
      <c r="U61" s="19">
        <f t="shared" si="12"/>
        <v>3032.5</v>
      </c>
      <c r="V61" s="128">
        <f t="shared" si="11"/>
        <v>12.13</v>
      </c>
      <c r="X61" s="54"/>
      <c r="Y61" s="56"/>
      <c r="AA61" s="2"/>
      <c r="AB61" s="2"/>
      <c r="AC61" s="132"/>
    </row>
    <row r="62" spans="1:29" ht="15.75">
      <c r="A62" s="29" t="s">
        <v>174</v>
      </c>
      <c r="B62" s="3" t="s">
        <v>175</v>
      </c>
      <c r="C62" s="9" t="s">
        <v>176</v>
      </c>
      <c r="D62" s="3" t="s">
        <v>177</v>
      </c>
      <c r="E62" s="3" t="str">
        <f t="shared" ref="E62:E68" si="16">IF(B62="","",IF(D62="Godfroy","Godfroy",(IF(LEFT(B62,1)="1","Hiwa","Direct"))))</f>
        <v>Direct</v>
      </c>
      <c r="F62" s="10" t="s">
        <v>128</v>
      </c>
      <c r="G62" s="1">
        <v>14</v>
      </c>
      <c r="H62" s="27">
        <f>G62*24</f>
        <v>336</v>
      </c>
      <c r="I62" s="82"/>
      <c r="J62" s="116">
        <f>IF(H62="","",+K62/H62)</f>
        <v>0</v>
      </c>
      <c r="K62" s="117"/>
      <c r="L62" s="22"/>
      <c r="M62" s="22"/>
      <c r="N62" s="22"/>
      <c r="O62" s="22"/>
      <c r="P62" s="23"/>
      <c r="Q62" s="23"/>
      <c r="R62" s="23"/>
      <c r="S62" s="23"/>
      <c r="T62" s="23"/>
      <c r="U62" s="19">
        <f>IF(B62="","",K62+SUM(L62:Q62))</f>
        <v>0</v>
      </c>
      <c r="V62" s="128">
        <f>IF(J62="","",+U62/H62)</f>
        <v>0</v>
      </c>
      <c r="X62" s="54"/>
      <c r="Y62" s="56"/>
      <c r="AA62" s="2"/>
      <c r="AB62" s="2"/>
      <c r="AC62" s="132"/>
    </row>
    <row r="63" spans="1:29" ht="15.75">
      <c r="A63" s="29" t="s">
        <v>178</v>
      </c>
      <c r="B63" s="3" t="s">
        <v>179</v>
      </c>
      <c r="C63" s="9" t="s">
        <v>176</v>
      </c>
      <c r="D63" s="3" t="s">
        <v>177</v>
      </c>
      <c r="E63" s="3" t="str">
        <f t="shared" si="16"/>
        <v>Direct</v>
      </c>
      <c r="F63" s="10" t="s">
        <v>128</v>
      </c>
      <c r="G63" s="1">
        <v>10</v>
      </c>
      <c r="H63" s="27">
        <f>G63*24</f>
        <v>240</v>
      </c>
      <c r="I63" s="82"/>
      <c r="J63" s="116">
        <f>IF(H63="","",+K63/H63)</f>
        <v>0</v>
      </c>
      <c r="K63" s="117"/>
      <c r="L63" s="22"/>
      <c r="M63" s="22"/>
      <c r="N63" s="22"/>
      <c r="O63" s="22"/>
      <c r="P63" s="23"/>
      <c r="Q63" s="23"/>
      <c r="R63" s="23"/>
      <c r="S63" s="23"/>
      <c r="T63" s="23"/>
      <c r="U63" s="19">
        <f>IF(B63="","",K63+SUM(L63:Q63))</f>
        <v>0</v>
      </c>
      <c r="V63" s="128">
        <f>IF(J63="","",+U63/H63)</f>
        <v>0</v>
      </c>
      <c r="X63" s="54"/>
      <c r="Y63" s="56"/>
      <c r="AA63" s="2"/>
      <c r="AB63" s="2"/>
      <c r="AC63" s="132"/>
    </row>
    <row r="64" spans="1:29" ht="15.75">
      <c r="A64" s="29" t="s">
        <v>180</v>
      </c>
      <c r="B64" s="3" t="s">
        <v>103</v>
      </c>
      <c r="C64" s="9" t="s">
        <v>62</v>
      </c>
      <c r="D64" s="3" t="s">
        <v>177</v>
      </c>
      <c r="E64" s="3" t="str">
        <f t="shared" si="16"/>
        <v>Direct</v>
      </c>
      <c r="F64" s="10" t="s">
        <v>46</v>
      </c>
      <c r="G64" s="1">
        <v>112</v>
      </c>
      <c r="H64" s="27">
        <f>G64*210</f>
        <v>23520</v>
      </c>
      <c r="I64" s="82"/>
      <c r="J64" s="116">
        <f>IF(H64="","",+K64/H64)</f>
        <v>0</v>
      </c>
      <c r="K64" s="117"/>
      <c r="L64" s="22"/>
      <c r="M64" s="22"/>
      <c r="N64" s="22"/>
      <c r="O64" s="22"/>
      <c r="P64" s="23"/>
      <c r="Q64" s="23"/>
      <c r="R64" s="23"/>
      <c r="S64" s="23"/>
      <c r="T64" s="23"/>
      <c r="U64" s="19">
        <f>IF(B64="","",K64+SUM(L64:Q64))</f>
        <v>0</v>
      </c>
      <c r="V64" s="128">
        <f>IF(J64="","",+U64/H64)</f>
        <v>0</v>
      </c>
      <c r="X64" s="54"/>
      <c r="Y64" s="56"/>
      <c r="AA64" s="2"/>
      <c r="AB64" s="2"/>
      <c r="AC64" s="132"/>
    </row>
    <row r="65" spans="1:29" ht="15.75">
      <c r="A65" s="29" t="s">
        <v>181</v>
      </c>
      <c r="B65" s="3" t="s">
        <v>143</v>
      </c>
      <c r="C65" s="9" t="s">
        <v>119</v>
      </c>
      <c r="D65" s="3" t="s">
        <v>144</v>
      </c>
      <c r="E65" s="3" t="str">
        <f t="shared" si="16"/>
        <v>Direct</v>
      </c>
      <c r="F65" s="10" t="s">
        <v>121</v>
      </c>
      <c r="G65" s="1">
        <v>110</v>
      </c>
      <c r="H65" s="27">
        <v>1100</v>
      </c>
      <c r="I65" s="82"/>
      <c r="J65" s="116">
        <f t="shared" si="10"/>
        <v>0</v>
      </c>
      <c r="K65" s="117"/>
      <c r="L65" s="22"/>
      <c r="M65" s="22"/>
      <c r="N65" s="22"/>
      <c r="O65" s="22"/>
      <c r="P65" s="23"/>
      <c r="Q65" s="23"/>
      <c r="R65" s="23"/>
      <c r="S65" s="23"/>
      <c r="T65" s="23"/>
      <c r="U65" s="19">
        <f t="shared" si="12"/>
        <v>0</v>
      </c>
      <c r="V65" s="128">
        <f t="shared" si="11"/>
        <v>0</v>
      </c>
      <c r="X65" s="54"/>
      <c r="Y65" s="56"/>
      <c r="AA65" s="2"/>
      <c r="AB65" s="2"/>
      <c r="AC65" s="132"/>
    </row>
    <row r="66" spans="1:29" ht="15.75">
      <c r="A66" s="29" t="s">
        <v>182</v>
      </c>
      <c r="B66" s="3" t="s">
        <v>183</v>
      </c>
      <c r="C66" s="3" t="s">
        <v>119</v>
      </c>
      <c r="D66" s="13" t="s">
        <v>184</v>
      </c>
      <c r="E66" s="3" t="str">
        <f t="shared" si="16"/>
        <v>Direct</v>
      </c>
      <c r="F66" s="3" t="s">
        <v>121</v>
      </c>
      <c r="G66" s="3">
        <v>4</v>
      </c>
      <c r="H66" s="28">
        <v>840</v>
      </c>
      <c r="I66" s="82"/>
      <c r="J66" s="116">
        <f t="shared" si="10"/>
        <v>2.1</v>
      </c>
      <c r="K66" s="117">
        <v>1764</v>
      </c>
      <c r="L66" s="22"/>
      <c r="M66" s="22"/>
      <c r="N66" s="22"/>
      <c r="O66" s="22"/>
      <c r="P66" s="23"/>
      <c r="Q66" s="23"/>
      <c r="R66" s="23"/>
      <c r="S66" s="23"/>
      <c r="T66" s="23"/>
      <c r="U66" s="19">
        <f t="shared" si="12"/>
        <v>1764</v>
      </c>
      <c r="V66" s="128">
        <f t="shared" si="11"/>
        <v>2.1</v>
      </c>
      <c r="X66" s="54"/>
      <c r="Y66" s="56"/>
      <c r="AA66" s="2"/>
      <c r="AB66" s="2"/>
      <c r="AC66" s="132"/>
    </row>
    <row r="67" spans="1:29" s="98" customFormat="1" ht="15.75">
      <c r="A67" s="84" t="s">
        <v>185</v>
      </c>
      <c r="B67" s="85" t="s">
        <v>186</v>
      </c>
      <c r="C67" s="86" t="s">
        <v>29</v>
      </c>
      <c r="D67" s="87" t="s">
        <v>97</v>
      </c>
      <c r="E67" s="85" t="str">
        <f t="shared" si="16"/>
        <v>Direct</v>
      </c>
      <c r="F67" s="88" t="s">
        <v>46</v>
      </c>
      <c r="G67" s="89">
        <v>80</v>
      </c>
      <c r="H67" s="90">
        <f>G67*215</f>
        <v>17200</v>
      </c>
      <c r="I67" s="91"/>
      <c r="J67" s="120">
        <f t="shared" si="10"/>
        <v>0</v>
      </c>
      <c r="K67" s="121"/>
      <c r="L67" s="94"/>
      <c r="M67" s="94"/>
      <c r="N67" s="94"/>
      <c r="O67" s="94"/>
      <c r="P67" s="95"/>
      <c r="Q67" s="95"/>
      <c r="R67" s="95"/>
      <c r="S67" s="95"/>
      <c r="T67" s="95"/>
      <c r="U67" s="96">
        <f t="shared" si="12"/>
        <v>0</v>
      </c>
      <c r="V67" s="129">
        <f t="shared" si="11"/>
        <v>0</v>
      </c>
      <c r="X67" s="99"/>
      <c r="Y67" s="100"/>
      <c r="AA67" s="101"/>
      <c r="AB67" s="101"/>
      <c r="AC67" s="133"/>
    </row>
    <row r="68" spans="1:29" ht="15.75">
      <c r="A68" s="29" t="s">
        <v>187</v>
      </c>
      <c r="B68" s="3" t="s">
        <v>186</v>
      </c>
      <c r="C68" s="9" t="s">
        <v>29</v>
      </c>
      <c r="D68" s="3" t="s">
        <v>188</v>
      </c>
      <c r="E68" s="3" t="str">
        <f t="shared" si="16"/>
        <v>Direct</v>
      </c>
      <c r="F68" s="3" t="s">
        <v>46</v>
      </c>
      <c r="G68" s="3">
        <v>80</v>
      </c>
      <c r="H68" s="28">
        <v>17200</v>
      </c>
      <c r="I68" s="82"/>
      <c r="J68" s="116">
        <f t="shared" si="10"/>
        <v>0</v>
      </c>
      <c r="K68" s="117"/>
      <c r="L68" s="22"/>
      <c r="M68" s="22"/>
      <c r="N68" s="22"/>
      <c r="O68" s="22"/>
      <c r="P68" s="23"/>
      <c r="Q68" s="23"/>
      <c r="R68" s="23"/>
      <c r="S68" s="23"/>
      <c r="T68" s="23"/>
      <c r="U68" s="19">
        <f t="shared" si="12"/>
        <v>0</v>
      </c>
      <c r="V68" s="128">
        <f t="shared" si="11"/>
        <v>0</v>
      </c>
      <c r="X68" s="54"/>
      <c r="Y68" s="56"/>
      <c r="AA68" s="2"/>
      <c r="AB68" s="2"/>
      <c r="AC68" s="132"/>
    </row>
    <row r="69" spans="1:29" ht="15.75">
      <c r="A69" s="29" t="s">
        <v>189</v>
      </c>
      <c r="B69" s="3" t="s">
        <v>186</v>
      </c>
      <c r="C69" s="9" t="s">
        <v>29</v>
      </c>
      <c r="D69" s="3" t="s">
        <v>188</v>
      </c>
      <c r="E69" s="3" t="str">
        <f t="shared" ref="E69:E70" si="17">IF(B69="","",IF(D69="Godfroy","Godfroy",(IF(LEFT(B69,1)="1","Hiwa","Direct"))))</f>
        <v>Direct</v>
      </c>
      <c r="F69" s="3" t="s">
        <v>46</v>
      </c>
      <c r="G69" s="3">
        <v>80</v>
      </c>
      <c r="H69" s="28">
        <v>17200</v>
      </c>
      <c r="I69" s="82"/>
      <c r="J69" s="116">
        <f t="shared" si="10"/>
        <v>0</v>
      </c>
      <c r="K69" s="117"/>
      <c r="L69" s="106"/>
      <c r="M69" s="22"/>
      <c r="N69" s="22"/>
      <c r="O69" s="22"/>
      <c r="P69" s="23"/>
      <c r="Q69" s="23"/>
      <c r="R69" s="23"/>
      <c r="S69" s="23"/>
      <c r="T69" s="23"/>
      <c r="U69" s="19">
        <f t="shared" si="12"/>
        <v>0</v>
      </c>
      <c r="V69" s="128">
        <f t="shared" si="11"/>
        <v>0</v>
      </c>
      <c r="X69" s="54"/>
      <c r="Y69" s="56"/>
      <c r="AA69" s="2"/>
      <c r="AB69" s="2"/>
      <c r="AC69" s="132"/>
    </row>
    <row r="70" spans="1:29" ht="15.75">
      <c r="A70" s="29" t="s">
        <v>190</v>
      </c>
      <c r="B70" s="3" t="s">
        <v>93</v>
      </c>
      <c r="C70" s="3" t="s">
        <v>90</v>
      </c>
      <c r="D70" s="3" t="s">
        <v>104</v>
      </c>
      <c r="E70" s="3" t="str">
        <f t="shared" si="17"/>
        <v>Direct</v>
      </c>
      <c r="F70" s="3" t="s">
        <v>46</v>
      </c>
      <c r="G70" s="3">
        <f>15*128</f>
        <v>1920</v>
      </c>
      <c r="H70" s="28">
        <f>G70*205</f>
        <v>393600</v>
      </c>
      <c r="I70" s="82"/>
      <c r="J70" s="116">
        <f t="shared" si="10"/>
        <v>0</v>
      </c>
      <c r="K70" s="117"/>
      <c r="L70" s="22"/>
      <c r="M70" s="22"/>
      <c r="N70" s="22"/>
      <c r="O70" s="22"/>
      <c r="P70" s="23"/>
      <c r="Q70" s="23"/>
      <c r="R70" s="23"/>
      <c r="S70" s="23"/>
      <c r="T70" s="23"/>
      <c r="U70" s="19">
        <f t="shared" si="12"/>
        <v>0</v>
      </c>
      <c r="V70" s="128">
        <f t="shared" si="11"/>
        <v>0</v>
      </c>
      <c r="X70" s="54"/>
      <c r="Y70" s="56"/>
      <c r="AA70" s="2"/>
      <c r="AB70" s="2"/>
      <c r="AC70" s="132"/>
    </row>
    <row r="71" spans="1:29" ht="15.75">
      <c r="A71" s="29" t="s">
        <v>191</v>
      </c>
      <c r="B71" s="3" t="s">
        <v>93</v>
      </c>
      <c r="C71" s="3" t="s">
        <v>90</v>
      </c>
      <c r="D71" s="3" t="s">
        <v>104</v>
      </c>
      <c r="E71" s="3" t="str">
        <f t="shared" ref="E71:E73" si="18">IF(B71="","",IF(D71="Godfroy","Godfroy",(IF(LEFT(B71,1)="1","Hiwa","Direct"))))</f>
        <v>Direct</v>
      </c>
      <c r="F71" s="3" t="s">
        <v>46</v>
      </c>
      <c r="G71" s="3">
        <f>14*128</f>
        <v>1792</v>
      </c>
      <c r="H71" s="28">
        <f>G71*205</f>
        <v>367360</v>
      </c>
      <c r="I71" s="82"/>
      <c r="J71" s="116">
        <f t="shared" si="10"/>
        <v>0</v>
      </c>
      <c r="K71" s="117"/>
      <c r="L71" s="22"/>
      <c r="M71" s="22"/>
      <c r="N71" s="22"/>
      <c r="O71" s="22"/>
      <c r="P71" s="23"/>
      <c r="Q71" s="23"/>
      <c r="R71" s="23"/>
      <c r="S71" s="23"/>
      <c r="T71" s="23"/>
      <c r="U71" s="19">
        <f t="shared" si="12"/>
        <v>0</v>
      </c>
      <c r="V71" s="128">
        <f t="shared" si="11"/>
        <v>0</v>
      </c>
      <c r="X71" s="54"/>
      <c r="Y71" s="56"/>
      <c r="AA71" s="2"/>
      <c r="AB71" s="2"/>
      <c r="AC71" s="132"/>
    </row>
    <row r="72" spans="1:29" ht="15.75">
      <c r="A72" s="29" t="s">
        <v>192</v>
      </c>
      <c r="B72" s="3" t="s">
        <v>193</v>
      </c>
      <c r="C72" s="3" t="s">
        <v>34</v>
      </c>
      <c r="D72" s="3" t="s">
        <v>194</v>
      </c>
      <c r="E72" s="3" t="str">
        <f t="shared" si="18"/>
        <v>Direct</v>
      </c>
      <c r="F72" s="3" t="s">
        <v>36</v>
      </c>
      <c r="G72" s="3">
        <v>1</v>
      </c>
      <c r="H72" s="28">
        <v>20</v>
      </c>
      <c r="I72" s="82"/>
      <c r="J72" s="116">
        <f t="shared" si="10"/>
        <v>0</v>
      </c>
      <c r="K72" s="117"/>
      <c r="L72" s="22"/>
      <c r="M72" s="22"/>
      <c r="N72" s="22"/>
      <c r="O72" s="22"/>
      <c r="P72" s="23"/>
      <c r="Q72" s="23"/>
      <c r="R72" s="23"/>
      <c r="S72" s="23"/>
      <c r="T72" s="23"/>
      <c r="U72" s="19">
        <f t="shared" si="12"/>
        <v>0</v>
      </c>
      <c r="V72" s="128">
        <f t="shared" si="11"/>
        <v>0</v>
      </c>
      <c r="X72" s="54"/>
      <c r="Y72" s="56"/>
      <c r="AA72" s="2"/>
      <c r="AB72" s="2"/>
      <c r="AC72" s="132"/>
    </row>
    <row r="73" spans="1:29" ht="15.75">
      <c r="A73" s="29" t="s">
        <v>195</v>
      </c>
      <c r="B73" s="3" t="s">
        <v>196</v>
      </c>
      <c r="C73" s="9" t="s">
        <v>176</v>
      </c>
      <c r="D73" s="3" t="s">
        <v>197</v>
      </c>
      <c r="E73" s="3" t="str">
        <f t="shared" si="18"/>
        <v>Direct</v>
      </c>
      <c r="F73" s="10" t="s">
        <v>128</v>
      </c>
      <c r="G73" s="14">
        <v>96</v>
      </c>
      <c r="H73" s="81">
        <f>G73*24</f>
        <v>2304</v>
      </c>
      <c r="I73" s="82"/>
      <c r="J73" s="116">
        <f t="shared" si="10"/>
        <v>0</v>
      </c>
      <c r="K73" s="117"/>
      <c r="L73" s="22"/>
      <c r="M73" s="22"/>
      <c r="N73" s="22"/>
      <c r="O73" s="22"/>
      <c r="P73" s="23"/>
      <c r="Q73" s="23"/>
      <c r="R73" s="23"/>
      <c r="S73" s="23"/>
      <c r="T73" s="23"/>
      <c r="U73" s="19">
        <f t="shared" si="12"/>
        <v>0</v>
      </c>
      <c r="V73" s="128">
        <f t="shared" si="11"/>
        <v>0</v>
      </c>
      <c r="X73" s="54"/>
      <c r="Y73" s="56"/>
      <c r="AA73" s="2"/>
      <c r="AB73" s="2"/>
      <c r="AC73" s="132"/>
    </row>
    <row r="74" spans="1:29" ht="15.75">
      <c r="A74" s="29" t="s">
        <v>198</v>
      </c>
      <c r="B74" s="3"/>
      <c r="C74" s="3"/>
      <c r="D74" s="13"/>
      <c r="E74" s="3"/>
      <c r="F74" s="3"/>
      <c r="G74" s="65"/>
      <c r="H74" s="53"/>
      <c r="I74" s="82"/>
      <c r="J74" s="116" t="str">
        <f t="shared" si="10"/>
        <v/>
      </c>
      <c r="K74" s="117"/>
      <c r="L74" s="22"/>
      <c r="M74" s="22"/>
      <c r="N74" s="22"/>
      <c r="O74" s="22"/>
      <c r="P74" s="23"/>
      <c r="Q74" s="23"/>
      <c r="R74" s="23"/>
      <c r="S74" s="23"/>
      <c r="T74" s="23"/>
      <c r="U74" s="19" t="str">
        <f t="shared" si="12"/>
        <v/>
      </c>
      <c r="V74" s="128" t="str">
        <f t="shared" si="11"/>
        <v/>
      </c>
      <c r="X74" s="54"/>
      <c r="Y74" s="56"/>
      <c r="AA74" s="2"/>
      <c r="AB74" s="2"/>
      <c r="AC74" s="132"/>
    </row>
    <row r="75" spans="1:29" ht="15.75">
      <c r="A75" s="29" t="s">
        <v>199</v>
      </c>
      <c r="B75" s="3"/>
      <c r="C75" s="3"/>
      <c r="D75" s="13"/>
      <c r="E75" s="3"/>
      <c r="F75" s="3"/>
      <c r="G75" s="65"/>
      <c r="H75" s="53"/>
      <c r="I75" s="82"/>
      <c r="J75" s="116" t="str">
        <f t="shared" si="10"/>
        <v/>
      </c>
      <c r="K75" s="117"/>
      <c r="L75" s="22"/>
      <c r="M75" s="22"/>
      <c r="N75" s="22"/>
      <c r="O75" s="22"/>
      <c r="P75" s="23"/>
      <c r="Q75" s="23"/>
      <c r="R75" s="23"/>
      <c r="S75" s="23"/>
      <c r="T75" s="23"/>
      <c r="U75" s="19" t="str">
        <f t="shared" si="12"/>
        <v/>
      </c>
      <c r="V75" s="128" t="str">
        <f t="shared" si="11"/>
        <v/>
      </c>
      <c r="X75" s="54"/>
      <c r="Y75" s="56"/>
      <c r="AA75" s="2"/>
      <c r="AB75" s="2"/>
      <c r="AC75" s="132"/>
    </row>
    <row r="76" spans="1:29" ht="15.75">
      <c r="A76" s="29" t="s">
        <v>200</v>
      </c>
      <c r="B76" s="3"/>
      <c r="C76" s="9"/>
      <c r="D76" s="3"/>
      <c r="E76" s="3"/>
      <c r="F76" s="10"/>
      <c r="G76" s="1"/>
      <c r="H76" s="27"/>
      <c r="I76" s="82"/>
      <c r="J76" s="116" t="str">
        <f t="shared" si="10"/>
        <v/>
      </c>
      <c r="K76" s="117"/>
      <c r="L76" s="22"/>
      <c r="M76" s="22"/>
      <c r="N76" s="22"/>
      <c r="O76" s="22"/>
      <c r="P76" s="23"/>
      <c r="Q76" s="23"/>
      <c r="R76" s="23"/>
      <c r="S76" s="23"/>
      <c r="T76" s="23"/>
      <c r="U76" s="19" t="str">
        <f t="shared" si="12"/>
        <v/>
      </c>
      <c r="V76" s="128" t="str">
        <f t="shared" si="11"/>
        <v/>
      </c>
      <c r="X76" s="54"/>
      <c r="Y76" s="56"/>
      <c r="AA76" s="2"/>
      <c r="AB76" s="2"/>
      <c r="AC76" s="132"/>
    </row>
    <row r="77" spans="1:29" ht="15.75">
      <c r="A77" s="29" t="s">
        <v>201</v>
      </c>
      <c r="B77" s="3"/>
      <c r="C77" s="3"/>
      <c r="D77" s="3"/>
      <c r="E77" s="3"/>
      <c r="F77" s="3"/>
      <c r="G77" s="3"/>
      <c r="H77" s="28"/>
      <c r="I77" s="82"/>
      <c r="J77" s="116" t="str">
        <f t="shared" si="10"/>
        <v/>
      </c>
      <c r="K77" s="117"/>
      <c r="L77" s="22"/>
      <c r="M77" s="22"/>
      <c r="N77" s="22"/>
      <c r="O77" s="22"/>
      <c r="P77" s="23"/>
      <c r="Q77" s="23"/>
      <c r="R77" s="23"/>
      <c r="S77" s="23"/>
      <c r="T77" s="23"/>
      <c r="U77" s="19" t="str">
        <f t="shared" si="12"/>
        <v/>
      </c>
      <c r="V77" s="128" t="str">
        <f t="shared" si="11"/>
        <v/>
      </c>
      <c r="X77" s="54"/>
      <c r="Y77" s="56"/>
      <c r="AA77" s="2"/>
      <c r="AB77" s="2"/>
      <c r="AC77" s="132"/>
    </row>
    <row r="78" spans="1:29" ht="15.75">
      <c r="A78" s="29" t="s">
        <v>202</v>
      </c>
      <c r="B78" s="3"/>
      <c r="C78" s="3"/>
      <c r="D78" s="3"/>
      <c r="E78" s="3"/>
      <c r="F78" s="3"/>
      <c r="G78" s="3"/>
      <c r="H78" s="28"/>
      <c r="I78" s="82"/>
      <c r="J78" s="116" t="str">
        <f t="shared" si="10"/>
        <v/>
      </c>
      <c r="K78" s="117"/>
      <c r="L78" s="22"/>
      <c r="M78" s="22"/>
      <c r="N78" s="22"/>
      <c r="O78" s="22"/>
      <c r="P78" s="23"/>
      <c r="Q78" s="23"/>
      <c r="R78" s="23"/>
      <c r="S78" s="23"/>
      <c r="T78" s="23"/>
      <c r="U78" s="19" t="str">
        <f t="shared" si="12"/>
        <v/>
      </c>
      <c r="V78" s="128" t="str">
        <f t="shared" si="11"/>
        <v/>
      </c>
      <c r="X78" s="54"/>
      <c r="Y78" s="56"/>
      <c r="AA78" s="2"/>
      <c r="AB78" s="2"/>
      <c r="AC78" s="132"/>
    </row>
    <row r="79" spans="1:29" ht="15.75">
      <c r="A79" s="29" t="s">
        <v>203</v>
      </c>
      <c r="B79" s="3"/>
      <c r="C79" s="9"/>
      <c r="D79" s="13"/>
      <c r="E79" s="3"/>
      <c r="F79" s="3"/>
      <c r="G79" s="1"/>
      <c r="H79" s="27"/>
      <c r="I79" s="82"/>
      <c r="J79" s="116" t="str">
        <f t="shared" si="10"/>
        <v/>
      </c>
      <c r="K79" s="122"/>
      <c r="L79" s="22"/>
      <c r="M79" s="22"/>
      <c r="N79" s="22"/>
      <c r="O79" s="22"/>
      <c r="P79" s="23"/>
      <c r="Q79" s="23"/>
      <c r="R79" s="23"/>
      <c r="S79" s="23"/>
      <c r="T79" s="23"/>
      <c r="U79" s="19" t="str">
        <f t="shared" si="12"/>
        <v/>
      </c>
      <c r="V79" s="128" t="str">
        <f t="shared" si="11"/>
        <v/>
      </c>
      <c r="X79" s="54"/>
      <c r="Y79" s="56"/>
      <c r="AA79" s="2"/>
      <c r="AB79" s="2"/>
      <c r="AC79" s="132"/>
    </row>
    <row r="80" spans="1:29" ht="15.75">
      <c r="A80" s="29" t="s">
        <v>204</v>
      </c>
      <c r="B80" s="3"/>
      <c r="C80" s="9"/>
      <c r="D80" s="3"/>
      <c r="E80" s="3"/>
      <c r="F80" s="10"/>
      <c r="G80" s="1"/>
      <c r="H80" s="27"/>
      <c r="I80" s="82"/>
      <c r="J80" s="116" t="str">
        <f t="shared" si="10"/>
        <v/>
      </c>
      <c r="K80" s="123"/>
      <c r="L80" s="22"/>
      <c r="M80" s="22"/>
      <c r="N80" s="22"/>
      <c r="O80" s="22"/>
      <c r="P80" s="23"/>
      <c r="Q80" s="23"/>
      <c r="R80" s="23"/>
      <c r="S80" s="23"/>
      <c r="T80" s="23"/>
      <c r="U80" s="19" t="str">
        <f t="shared" si="12"/>
        <v/>
      </c>
      <c r="V80" s="128" t="str">
        <f t="shared" si="11"/>
        <v/>
      </c>
      <c r="X80" s="80"/>
      <c r="Y80" s="72"/>
      <c r="AA80" s="2"/>
      <c r="AB80" s="2"/>
      <c r="AC80" s="132"/>
    </row>
    <row r="81" spans="1:29" ht="15.75">
      <c r="A81" s="29" t="s">
        <v>206</v>
      </c>
      <c r="B81" s="3"/>
      <c r="C81" s="9"/>
      <c r="D81" s="3"/>
      <c r="E81" s="3"/>
      <c r="F81" s="10"/>
      <c r="G81" s="1"/>
      <c r="H81" s="27"/>
      <c r="I81" s="82"/>
      <c r="J81" s="116" t="str">
        <f t="shared" si="10"/>
        <v/>
      </c>
      <c r="K81" s="122"/>
      <c r="L81" s="17"/>
      <c r="M81" s="22"/>
      <c r="N81" s="22"/>
      <c r="O81" s="22"/>
      <c r="P81" s="22"/>
      <c r="Q81" s="23"/>
      <c r="R81" s="23"/>
      <c r="S81" s="23"/>
      <c r="T81" s="23"/>
      <c r="U81" s="19" t="str">
        <f t="shared" si="12"/>
        <v/>
      </c>
      <c r="V81" s="128" t="str">
        <f t="shared" si="11"/>
        <v/>
      </c>
      <c r="X81" s="80"/>
      <c r="Y81" s="72"/>
      <c r="AA81" s="2"/>
      <c r="AB81" s="2"/>
      <c r="AC81" s="132"/>
    </row>
    <row r="82" spans="1:29" ht="15.75">
      <c r="A82" s="29" t="s">
        <v>208</v>
      </c>
      <c r="B82" s="3"/>
      <c r="C82" s="3"/>
      <c r="D82" s="3"/>
      <c r="E82" s="3"/>
      <c r="F82" s="3"/>
      <c r="G82" s="3"/>
      <c r="H82" s="28"/>
      <c r="I82" s="82"/>
      <c r="J82" s="116" t="str">
        <f t="shared" si="10"/>
        <v/>
      </c>
      <c r="K82" s="123"/>
      <c r="L82" s="22"/>
      <c r="M82" s="22"/>
      <c r="N82" s="22"/>
      <c r="O82" s="22"/>
      <c r="P82" s="23"/>
      <c r="Q82" s="23"/>
      <c r="R82" s="23"/>
      <c r="S82" s="23"/>
      <c r="T82" s="23"/>
      <c r="U82" s="19" t="str">
        <f t="shared" si="12"/>
        <v/>
      </c>
      <c r="V82" s="128" t="str">
        <f t="shared" si="11"/>
        <v/>
      </c>
      <c r="X82" s="80"/>
      <c r="Y82" s="56"/>
      <c r="AA82" s="2"/>
      <c r="AB82" s="2"/>
      <c r="AC82" s="132"/>
    </row>
    <row r="83" spans="1:29" ht="15.75">
      <c r="A83" s="29" t="s">
        <v>210</v>
      </c>
      <c r="B83" s="3"/>
      <c r="C83" s="3"/>
      <c r="D83" s="3"/>
      <c r="E83" s="3"/>
      <c r="F83" s="3"/>
      <c r="G83" s="3"/>
      <c r="H83" s="28"/>
      <c r="I83" s="82"/>
      <c r="J83" s="116" t="str">
        <f t="shared" si="10"/>
        <v/>
      </c>
      <c r="K83" s="122"/>
      <c r="L83" s="22"/>
      <c r="M83" s="22"/>
      <c r="N83" s="22"/>
      <c r="O83" s="22"/>
      <c r="P83" s="23"/>
      <c r="Q83" s="23"/>
      <c r="R83" s="23"/>
      <c r="S83" s="23"/>
      <c r="T83" s="23"/>
      <c r="U83" s="19" t="str">
        <f t="shared" si="12"/>
        <v/>
      </c>
      <c r="V83" s="128" t="str">
        <f t="shared" si="11"/>
        <v/>
      </c>
      <c r="X83" s="54"/>
      <c r="Y83" s="56"/>
      <c r="AA83" s="2"/>
      <c r="AB83" s="2"/>
      <c r="AC83" s="132"/>
    </row>
    <row r="84" spans="1:29" ht="15.75">
      <c r="A84" s="29" t="s">
        <v>211</v>
      </c>
      <c r="B84" s="3"/>
      <c r="C84" s="3"/>
      <c r="D84" s="3"/>
      <c r="E84" s="3"/>
      <c r="F84" s="3"/>
      <c r="G84" s="3"/>
      <c r="H84" s="28"/>
      <c r="I84" s="82"/>
      <c r="J84" s="116" t="str">
        <f t="shared" si="10"/>
        <v/>
      </c>
      <c r="K84" s="122"/>
      <c r="L84" s="22"/>
      <c r="M84" s="22"/>
      <c r="N84" s="22"/>
      <c r="O84" s="22"/>
      <c r="P84" s="23"/>
      <c r="Q84" s="23"/>
      <c r="R84" s="23"/>
      <c r="S84" s="23"/>
      <c r="T84" s="23"/>
      <c r="U84" s="19" t="str">
        <f t="shared" si="12"/>
        <v/>
      </c>
      <c r="V84" s="128" t="str">
        <f t="shared" si="11"/>
        <v/>
      </c>
      <c r="X84" s="54"/>
      <c r="Y84" s="56"/>
      <c r="AA84" s="2"/>
      <c r="AB84" s="2"/>
      <c r="AC84" s="132"/>
    </row>
    <row r="85" spans="1:29" ht="15.75">
      <c r="A85" s="29" t="s">
        <v>212</v>
      </c>
      <c r="B85" s="3"/>
      <c r="C85" s="9"/>
      <c r="D85" s="3"/>
      <c r="E85" s="3"/>
      <c r="F85" s="10"/>
      <c r="G85" s="1"/>
      <c r="H85" s="27"/>
      <c r="I85" s="82"/>
      <c r="J85" s="116" t="str">
        <f t="shared" si="10"/>
        <v/>
      </c>
      <c r="K85" s="117"/>
      <c r="L85" s="22"/>
      <c r="M85" s="22"/>
      <c r="N85" s="22"/>
      <c r="O85" s="22"/>
      <c r="P85" s="23"/>
      <c r="Q85" s="23"/>
      <c r="R85" s="23"/>
      <c r="S85" s="23"/>
      <c r="T85" s="23"/>
      <c r="U85" s="19" t="str">
        <f t="shared" si="12"/>
        <v/>
      </c>
      <c r="V85" s="128" t="str">
        <f t="shared" si="11"/>
        <v/>
      </c>
      <c r="X85" s="54"/>
      <c r="Y85" s="56"/>
      <c r="AA85" s="2"/>
      <c r="AB85" s="2"/>
      <c r="AC85" s="132"/>
    </row>
    <row r="86" spans="1:29" ht="15.75">
      <c r="A86" s="29" t="s">
        <v>213</v>
      </c>
      <c r="B86" s="3"/>
      <c r="C86" s="9"/>
      <c r="D86" s="3"/>
      <c r="E86" s="3"/>
      <c r="F86" s="10"/>
      <c r="G86" s="1"/>
      <c r="H86" s="27"/>
      <c r="I86" s="82"/>
      <c r="J86" s="116" t="str">
        <f t="shared" si="10"/>
        <v/>
      </c>
      <c r="K86" s="117"/>
      <c r="L86" s="22"/>
      <c r="M86" s="22"/>
      <c r="N86" s="22"/>
      <c r="O86" s="22"/>
      <c r="P86" s="23"/>
      <c r="Q86" s="23"/>
      <c r="R86" s="23"/>
      <c r="S86" s="23"/>
      <c r="T86" s="23"/>
      <c r="U86" s="19" t="str">
        <f t="shared" si="12"/>
        <v/>
      </c>
      <c r="V86" s="128" t="str">
        <f t="shared" si="11"/>
        <v/>
      </c>
      <c r="X86" s="54"/>
      <c r="Y86" s="56"/>
      <c r="AA86" s="2"/>
      <c r="AB86" s="2"/>
      <c r="AC86" s="132"/>
    </row>
    <row r="87" spans="1:29" ht="15.75">
      <c r="A87" s="29" t="s">
        <v>216</v>
      </c>
      <c r="B87" s="3"/>
      <c r="C87" s="9"/>
      <c r="D87" s="3"/>
      <c r="E87" s="3"/>
      <c r="F87" s="10"/>
      <c r="G87" s="1"/>
      <c r="H87" s="27"/>
      <c r="I87" s="82"/>
      <c r="J87" s="116" t="str">
        <f t="shared" si="10"/>
        <v/>
      </c>
      <c r="K87" s="117"/>
      <c r="L87" s="22"/>
      <c r="M87" s="22"/>
      <c r="N87" s="22"/>
      <c r="O87" s="22"/>
      <c r="P87" s="23"/>
      <c r="Q87" s="23"/>
      <c r="R87" s="23"/>
      <c r="S87" s="23"/>
      <c r="T87" s="23"/>
      <c r="U87" s="19" t="str">
        <f t="shared" si="12"/>
        <v/>
      </c>
      <c r="V87" s="128" t="str">
        <f t="shared" si="11"/>
        <v/>
      </c>
      <c r="X87" s="54"/>
      <c r="Y87" s="56"/>
      <c r="AA87" s="2"/>
      <c r="AB87" s="2"/>
      <c r="AC87" s="132"/>
    </row>
    <row r="88" spans="1:29" ht="15.75">
      <c r="A88" s="29" t="s">
        <v>218</v>
      </c>
      <c r="B88" s="3"/>
      <c r="C88" s="3"/>
      <c r="D88" s="3"/>
      <c r="E88" s="3"/>
      <c r="F88" s="3"/>
      <c r="G88" s="3"/>
      <c r="H88" s="28"/>
      <c r="I88" s="82"/>
      <c r="J88" s="116" t="str">
        <f t="shared" si="10"/>
        <v/>
      </c>
      <c r="K88" s="117"/>
      <c r="L88" s="22"/>
      <c r="M88" s="22"/>
      <c r="N88" s="22"/>
      <c r="O88" s="22"/>
      <c r="P88" s="23"/>
      <c r="Q88" s="23"/>
      <c r="R88" s="23"/>
      <c r="S88" s="23"/>
      <c r="T88" s="23"/>
      <c r="U88" s="19" t="str">
        <f t="shared" si="12"/>
        <v/>
      </c>
      <c r="V88" s="128" t="str">
        <f t="shared" si="11"/>
        <v/>
      </c>
      <c r="X88" s="54"/>
      <c r="Y88" s="56"/>
      <c r="AA88" s="2"/>
      <c r="AB88" s="2"/>
      <c r="AC88" s="132"/>
    </row>
    <row r="89" spans="1:29" ht="15.75">
      <c r="A89" s="29" t="s">
        <v>219</v>
      </c>
      <c r="B89" s="3"/>
      <c r="C89" s="3"/>
      <c r="D89" s="3"/>
      <c r="E89" s="3"/>
      <c r="F89" s="3"/>
      <c r="G89" s="3"/>
      <c r="H89" s="28"/>
      <c r="I89" s="82"/>
      <c r="J89" s="116" t="str">
        <f t="shared" si="10"/>
        <v/>
      </c>
      <c r="K89" s="124"/>
      <c r="L89" s="22"/>
      <c r="M89" s="22"/>
      <c r="N89" s="22"/>
      <c r="O89" s="22"/>
      <c r="P89" s="23"/>
      <c r="Q89" s="23"/>
      <c r="R89" s="23"/>
      <c r="S89" s="23"/>
      <c r="T89" s="23"/>
      <c r="U89" s="19" t="str">
        <f t="shared" si="12"/>
        <v/>
      </c>
      <c r="V89" s="128" t="str">
        <f t="shared" si="11"/>
        <v/>
      </c>
      <c r="X89" s="54"/>
      <c r="Y89" s="56"/>
      <c r="AA89" s="2"/>
      <c r="AB89" s="2"/>
      <c r="AC89" s="132"/>
    </row>
    <row r="90" spans="1:29" ht="15.75">
      <c r="A90" s="29" t="s">
        <v>220</v>
      </c>
      <c r="B90" s="3"/>
      <c r="C90" s="9"/>
      <c r="D90" s="3"/>
      <c r="E90" s="3"/>
      <c r="F90" s="3"/>
      <c r="G90" s="3"/>
      <c r="H90" s="28"/>
      <c r="I90" s="82"/>
      <c r="J90" s="116" t="str">
        <f t="shared" si="10"/>
        <v/>
      </c>
      <c r="K90" s="124"/>
      <c r="L90" s="106"/>
      <c r="M90" s="22"/>
      <c r="N90" s="22"/>
      <c r="O90" s="22"/>
      <c r="P90" s="23"/>
      <c r="Q90" s="23"/>
      <c r="R90" s="23"/>
      <c r="S90" s="23"/>
      <c r="T90" s="23"/>
      <c r="U90" s="19" t="str">
        <f t="shared" si="12"/>
        <v/>
      </c>
      <c r="V90" s="128" t="str">
        <f t="shared" si="11"/>
        <v/>
      </c>
      <c r="X90" s="54"/>
      <c r="Y90" s="56"/>
      <c r="AA90" s="2"/>
      <c r="AB90" s="2"/>
      <c r="AC90" s="132"/>
    </row>
    <row r="91" spans="1:29" ht="15.75">
      <c r="A91" s="29" t="s">
        <v>221</v>
      </c>
      <c r="B91" s="3"/>
      <c r="C91" s="3"/>
      <c r="D91" s="3"/>
      <c r="E91" s="3"/>
      <c r="F91" s="3"/>
      <c r="G91" s="3"/>
      <c r="H91" s="28"/>
      <c r="I91" s="82"/>
      <c r="J91" s="116" t="str">
        <f t="shared" si="10"/>
        <v/>
      </c>
      <c r="K91" s="124"/>
      <c r="L91" s="22"/>
      <c r="M91" s="22"/>
      <c r="N91" s="22"/>
      <c r="O91" s="22"/>
      <c r="P91" s="23"/>
      <c r="Q91" s="23"/>
      <c r="R91" s="23"/>
      <c r="S91" s="23"/>
      <c r="T91" s="23"/>
      <c r="U91" s="19" t="str">
        <f t="shared" si="12"/>
        <v/>
      </c>
      <c r="V91" s="128" t="str">
        <f t="shared" si="11"/>
        <v/>
      </c>
      <c r="X91" s="54"/>
      <c r="Y91" s="56"/>
      <c r="AA91" s="2"/>
      <c r="AB91" s="2"/>
      <c r="AC91" s="132"/>
    </row>
    <row r="92" spans="1:29" ht="15.75">
      <c r="A92" s="29" t="s">
        <v>223</v>
      </c>
      <c r="B92" s="3"/>
      <c r="C92" s="3"/>
      <c r="D92" s="3"/>
      <c r="E92" s="3"/>
      <c r="F92" s="3"/>
      <c r="G92" s="3"/>
      <c r="H92" s="28"/>
      <c r="I92" s="82"/>
      <c r="J92" s="116" t="str">
        <f t="shared" si="10"/>
        <v/>
      </c>
      <c r="K92" s="124"/>
      <c r="L92" s="22"/>
      <c r="M92" s="22"/>
      <c r="N92" s="22"/>
      <c r="O92" s="22"/>
      <c r="P92" s="23"/>
      <c r="Q92" s="23"/>
      <c r="R92" s="23"/>
      <c r="S92" s="23"/>
      <c r="T92" s="23"/>
      <c r="U92" s="19" t="str">
        <f t="shared" si="12"/>
        <v/>
      </c>
      <c r="V92" s="128" t="str">
        <f t="shared" si="11"/>
        <v/>
      </c>
      <c r="X92" s="54"/>
      <c r="Y92" s="56"/>
      <c r="AA92" s="2"/>
      <c r="AB92" s="2"/>
      <c r="AC92" s="132"/>
    </row>
    <row r="93" spans="1:29" ht="15.75">
      <c r="A93" s="29" t="s">
        <v>225</v>
      </c>
      <c r="B93" s="3"/>
      <c r="C93" s="3"/>
      <c r="D93" s="3"/>
      <c r="E93" s="3"/>
      <c r="F93" s="3"/>
      <c r="G93" s="3"/>
      <c r="H93" s="28"/>
      <c r="I93" s="82"/>
      <c r="J93" s="116" t="str">
        <f t="shared" si="10"/>
        <v/>
      </c>
      <c r="K93" s="124"/>
      <c r="L93" s="22"/>
      <c r="M93" s="22"/>
      <c r="N93" s="22"/>
      <c r="O93" s="22"/>
      <c r="P93" s="23"/>
      <c r="Q93" s="23"/>
      <c r="R93" s="23"/>
      <c r="S93" s="23"/>
      <c r="T93" s="23"/>
      <c r="U93" s="19" t="str">
        <f t="shared" si="12"/>
        <v/>
      </c>
      <c r="V93" s="128" t="str">
        <f t="shared" si="11"/>
        <v/>
      </c>
      <c r="X93" s="54"/>
      <c r="Y93" s="56"/>
      <c r="AA93" s="2"/>
      <c r="AB93" s="2"/>
      <c r="AC93" s="132"/>
    </row>
    <row r="94" spans="1:29" ht="15.75">
      <c r="A94" s="29" t="s">
        <v>227</v>
      </c>
      <c r="B94" s="3"/>
      <c r="C94" s="3"/>
      <c r="D94" s="3"/>
      <c r="E94" s="3"/>
      <c r="F94" s="3"/>
      <c r="G94" s="3"/>
      <c r="H94" s="28"/>
      <c r="I94" s="82"/>
      <c r="J94" s="116" t="str">
        <f t="shared" si="10"/>
        <v/>
      </c>
      <c r="K94" s="124"/>
      <c r="L94" s="22"/>
      <c r="M94" s="22"/>
      <c r="N94" s="22"/>
      <c r="O94" s="22"/>
      <c r="P94" s="23"/>
      <c r="Q94" s="23"/>
      <c r="R94" s="23"/>
      <c r="S94" s="23"/>
      <c r="T94" s="23"/>
      <c r="U94" s="19" t="str">
        <f t="shared" si="12"/>
        <v/>
      </c>
      <c r="V94" s="128" t="str">
        <f t="shared" si="11"/>
        <v/>
      </c>
      <c r="X94" s="54"/>
      <c r="Y94" s="56"/>
      <c r="AA94" s="2"/>
      <c r="AB94" s="2"/>
      <c r="AC94" s="132"/>
    </row>
    <row r="95" spans="1:29" ht="15.75">
      <c r="A95" s="29" t="s">
        <v>228</v>
      </c>
      <c r="B95" s="3"/>
      <c r="C95" s="3"/>
      <c r="D95" s="3"/>
      <c r="E95" s="3"/>
      <c r="F95" s="3"/>
      <c r="G95" s="3"/>
      <c r="H95" s="28"/>
      <c r="I95" s="82"/>
      <c r="J95" s="116" t="str">
        <f t="shared" si="10"/>
        <v/>
      </c>
      <c r="K95" s="124"/>
      <c r="L95" s="22"/>
      <c r="M95" s="22"/>
      <c r="N95" s="22"/>
      <c r="O95" s="22"/>
      <c r="P95" s="23"/>
      <c r="Q95" s="23"/>
      <c r="R95" s="23"/>
      <c r="S95" s="23"/>
      <c r="T95" s="23"/>
      <c r="U95" s="19" t="str">
        <f t="shared" si="12"/>
        <v/>
      </c>
      <c r="V95" s="128" t="str">
        <f t="shared" si="11"/>
        <v/>
      </c>
      <c r="X95" s="54"/>
      <c r="Y95" s="56"/>
      <c r="AA95" s="2"/>
      <c r="AB95" s="2"/>
      <c r="AC95" s="132"/>
    </row>
    <row r="96" spans="1:29" ht="15.75">
      <c r="A96" s="29" t="s">
        <v>230</v>
      </c>
      <c r="B96" s="3"/>
      <c r="C96" s="3"/>
      <c r="D96" s="3"/>
      <c r="E96" s="3"/>
      <c r="F96" s="3"/>
      <c r="G96" s="3"/>
      <c r="H96" s="28"/>
      <c r="I96" s="82"/>
      <c r="J96" s="116" t="str">
        <f t="shared" si="10"/>
        <v/>
      </c>
      <c r="K96" s="124"/>
      <c r="L96" s="22"/>
      <c r="M96" s="22"/>
      <c r="N96" s="22"/>
      <c r="O96" s="22"/>
      <c r="P96" s="23"/>
      <c r="Q96" s="23"/>
      <c r="R96" s="23"/>
      <c r="S96" s="23"/>
      <c r="T96" s="23"/>
      <c r="U96" s="19" t="str">
        <f t="shared" si="12"/>
        <v/>
      </c>
      <c r="V96" s="128" t="str">
        <f t="shared" si="11"/>
        <v/>
      </c>
      <c r="X96" s="54"/>
      <c r="Y96" s="72"/>
      <c r="AA96" s="2"/>
      <c r="AB96" s="2"/>
      <c r="AC96" s="132"/>
    </row>
    <row r="97" spans="1:29" ht="15.75">
      <c r="A97" s="29" t="s">
        <v>231</v>
      </c>
      <c r="B97" s="3"/>
      <c r="C97" s="3"/>
      <c r="D97" s="3"/>
      <c r="E97" s="3"/>
      <c r="F97" s="3"/>
      <c r="G97" s="3"/>
      <c r="H97" s="28"/>
      <c r="I97" s="82"/>
      <c r="J97" s="116" t="str">
        <f t="shared" si="10"/>
        <v/>
      </c>
      <c r="K97" s="124"/>
      <c r="L97" s="22"/>
      <c r="M97" s="22"/>
      <c r="N97" s="22"/>
      <c r="O97" s="22"/>
      <c r="P97" s="23"/>
      <c r="Q97" s="23"/>
      <c r="R97" s="23"/>
      <c r="S97" s="23"/>
      <c r="T97" s="23"/>
      <c r="U97" s="19" t="str">
        <f t="shared" si="12"/>
        <v/>
      </c>
      <c r="V97" s="128" t="str">
        <f t="shared" si="11"/>
        <v/>
      </c>
      <c r="X97" s="54"/>
      <c r="Y97" s="56"/>
      <c r="AA97" s="2"/>
      <c r="AB97" s="2"/>
      <c r="AC97" s="132"/>
    </row>
    <row r="98" spans="1:29" ht="15.75">
      <c r="A98" s="29" t="s">
        <v>232</v>
      </c>
      <c r="B98" s="3"/>
      <c r="C98" s="9"/>
      <c r="D98" s="3"/>
      <c r="E98" s="3"/>
      <c r="F98" s="10"/>
      <c r="G98" s="1"/>
      <c r="H98" s="27"/>
      <c r="I98" s="82"/>
      <c r="J98" s="116" t="str">
        <f t="shared" si="10"/>
        <v/>
      </c>
      <c r="K98" s="124"/>
      <c r="L98" s="22"/>
      <c r="M98" s="22"/>
      <c r="N98" s="22"/>
      <c r="O98" s="22"/>
      <c r="P98" s="23"/>
      <c r="Q98" s="23"/>
      <c r="R98" s="23"/>
      <c r="S98" s="23"/>
      <c r="T98" s="23"/>
      <c r="U98" s="19" t="str">
        <f t="shared" si="12"/>
        <v/>
      </c>
      <c r="V98" s="128" t="str">
        <f t="shared" si="11"/>
        <v/>
      </c>
      <c r="X98" s="54"/>
      <c r="Y98" s="56"/>
      <c r="AA98" s="2"/>
      <c r="AB98" s="2"/>
      <c r="AC98" s="132"/>
    </row>
    <row r="99" spans="1:29" ht="15.75">
      <c r="A99" s="29" t="s">
        <v>233</v>
      </c>
      <c r="B99" s="3"/>
      <c r="C99" s="3"/>
      <c r="D99" s="3"/>
      <c r="E99" s="3"/>
      <c r="F99" s="3"/>
      <c r="G99" s="3"/>
      <c r="H99" s="28"/>
      <c r="I99" s="82"/>
      <c r="J99" s="116" t="str">
        <f t="shared" si="10"/>
        <v/>
      </c>
      <c r="K99" s="124"/>
      <c r="L99" s="22"/>
      <c r="M99" s="22"/>
      <c r="N99" s="22"/>
      <c r="O99" s="22"/>
      <c r="P99" s="23"/>
      <c r="Q99" s="23"/>
      <c r="R99" s="23"/>
      <c r="S99" s="23"/>
      <c r="T99" s="23"/>
      <c r="U99" s="19" t="str">
        <f t="shared" si="12"/>
        <v/>
      </c>
      <c r="V99" s="128" t="str">
        <f t="shared" si="11"/>
        <v/>
      </c>
      <c r="X99" s="54"/>
      <c r="Y99" s="56"/>
      <c r="AA99" s="2"/>
      <c r="AB99" s="2"/>
      <c r="AC99" s="132"/>
    </row>
    <row r="100" spans="1:29" ht="15.75">
      <c r="A100" s="29" t="s">
        <v>236</v>
      </c>
      <c r="B100" s="3"/>
      <c r="C100" s="3"/>
      <c r="D100" s="3"/>
      <c r="E100" s="3"/>
      <c r="F100" s="3"/>
      <c r="G100" s="3"/>
      <c r="H100" s="28"/>
      <c r="I100" s="82"/>
      <c r="J100" s="116" t="str">
        <f t="shared" si="10"/>
        <v/>
      </c>
      <c r="K100" s="124"/>
      <c r="L100" s="22"/>
      <c r="M100" s="22"/>
      <c r="N100" s="22"/>
      <c r="O100" s="22"/>
      <c r="P100" s="23"/>
      <c r="Q100" s="23"/>
      <c r="R100" s="23"/>
      <c r="S100" s="23"/>
      <c r="T100" s="23"/>
      <c r="U100" s="19" t="str">
        <f t="shared" si="12"/>
        <v/>
      </c>
      <c r="V100" s="128" t="str">
        <f t="shared" si="11"/>
        <v/>
      </c>
      <c r="X100" s="54"/>
      <c r="Y100" s="56"/>
      <c r="AA100" s="2"/>
      <c r="AB100" s="2"/>
      <c r="AC100" s="132"/>
    </row>
    <row r="101" spans="1:29" ht="16.5" customHeight="1">
      <c r="A101" s="29" t="s">
        <v>237</v>
      </c>
      <c r="B101" s="3"/>
      <c r="C101" s="3"/>
      <c r="D101" s="3"/>
      <c r="E101" s="3"/>
      <c r="F101" s="3"/>
      <c r="G101" s="3"/>
      <c r="H101" s="28"/>
      <c r="I101" s="82"/>
      <c r="J101" s="116" t="str">
        <f t="shared" si="10"/>
        <v/>
      </c>
      <c r="K101" s="124"/>
      <c r="L101" s="22"/>
      <c r="M101" s="22"/>
      <c r="N101" s="22"/>
      <c r="O101" s="22"/>
      <c r="P101" s="23"/>
      <c r="Q101" s="23"/>
      <c r="R101" s="23"/>
      <c r="S101" s="23"/>
      <c r="T101" s="23"/>
      <c r="U101" s="19" t="str">
        <f t="shared" si="12"/>
        <v/>
      </c>
      <c r="V101" s="128" t="str">
        <f t="shared" si="11"/>
        <v/>
      </c>
      <c r="X101" s="54"/>
      <c r="Y101" s="56"/>
      <c r="AA101" s="2"/>
      <c r="AB101" s="2"/>
      <c r="AC101" s="132"/>
    </row>
    <row r="102" spans="1:29" ht="15.75">
      <c r="A102" s="29" t="s">
        <v>238</v>
      </c>
      <c r="B102" s="3"/>
      <c r="C102" s="3"/>
      <c r="D102" s="3"/>
      <c r="E102" s="3"/>
      <c r="F102" s="3"/>
      <c r="G102" s="3"/>
      <c r="H102" s="28"/>
      <c r="I102" s="82"/>
      <c r="J102" s="116" t="str">
        <f t="shared" si="10"/>
        <v/>
      </c>
      <c r="K102" s="124"/>
      <c r="L102" s="22"/>
      <c r="M102" s="22"/>
      <c r="N102" s="22"/>
      <c r="O102" s="22"/>
      <c r="P102" s="23"/>
      <c r="Q102" s="23"/>
      <c r="R102" s="23"/>
      <c r="S102" s="23"/>
      <c r="T102" s="23"/>
      <c r="U102" s="19" t="str">
        <f t="shared" si="12"/>
        <v/>
      </c>
      <c r="V102" s="128" t="str">
        <f t="shared" si="11"/>
        <v/>
      </c>
      <c r="X102" s="54"/>
      <c r="Y102" s="56"/>
      <c r="AA102" s="2"/>
      <c r="AB102" s="2"/>
      <c r="AC102" s="132"/>
    </row>
    <row r="103" spans="1:29" ht="15.75">
      <c r="A103" s="29" t="s">
        <v>242</v>
      </c>
      <c r="B103" s="3"/>
      <c r="C103" s="9"/>
      <c r="D103" s="3"/>
      <c r="E103" s="3"/>
      <c r="F103" s="3"/>
      <c r="G103" s="3"/>
      <c r="H103" s="28"/>
      <c r="I103" s="82"/>
      <c r="J103" s="116" t="str">
        <f t="shared" si="10"/>
        <v/>
      </c>
      <c r="K103" s="124"/>
      <c r="L103" s="106"/>
      <c r="M103" s="22"/>
      <c r="N103" s="22"/>
      <c r="O103" s="22"/>
      <c r="P103" s="23"/>
      <c r="Q103" s="23"/>
      <c r="R103" s="23"/>
      <c r="S103" s="23"/>
      <c r="T103" s="23"/>
      <c r="U103" s="19" t="str">
        <f t="shared" si="12"/>
        <v/>
      </c>
      <c r="V103" s="128" t="str">
        <f t="shared" si="11"/>
        <v/>
      </c>
      <c r="X103" s="54"/>
      <c r="Y103" s="56"/>
      <c r="AA103" s="2"/>
      <c r="AB103" s="2"/>
      <c r="AC103" s="132"/>
    </row>
    <row r="104" spans="1:29" ht="15.75">
      <c r="A104" s="29" t="s">
        <v>243</v>
      </c>
      <c r="B104" s="3"/>
      <c r="C104" s="9"/>
      <c r="D104" s="3"/>
      <c r="E104" s="3"/>
      <c r="F104" s="10"/>
      <c r="G104" s="1"/>
      <c r="H104" s="27"/>
      <c r="I104" s="82"/>
      <c r="J104" s="116" t="str">
        <f t="shared" si="10"/>
        <v/>
      </c>
      <c r="K104" s="124"/>
      <c r="L104" s="22"/>
      <c r="M104" s="22"/>
      <c r="N104" s="22"/>
      <c r="O104" s="22"/>
      <c r="P104" s="23"/>
      <c r="Q104" s="23"/>
      <c r="R104" s="23"/>
      <c r="S104" s="23"/>
      <c r="T104" s="23"/>
      <c r="U104" s="19" t="str">
        <f t="shared" si="12"/>
        <v/>
      </c>
      <c r="V104" s="128" t="str">
        <f t="shared" si="11"/>
        <v/>
      </c>
      <c r="X104" s="54"/>
      <c r="Y104" s="56"/>
      <c r="AA104" s="2"/>
      <c r="AB104" s="2"/>
      <c r="AC104" s="132"/>
    </row>
    <row r="105" spans="1:29" ht="15.75">
      <c r="A105" s="29" t="s">
        <v>244</v>
      </c>
      <c r="B105" s="3"/>
      <c r="C105" s="9"/>
      <c r="D105" s="3"/>
      <c r="E105" s="3"/>
      <c r="F105" s="3"/>
      <c r="G105" s="3"/>
      <c r="H105" s="28"/>
      <c r="I105" s="82"/>
      <c r="J105" s="116" t="str">
        <f t="shared" si="10"/>
        <v/>
      </c>
      <c r="K105" s="124"/>
      <c r="L105" s="22"/>
      <c r="M105" s="22"/>
      <c r="N105" s="22"/>
      <c r="O105" s="22"/>
      <c r="P105" s="23"/>
      <c r="Q105" s="23"/>
      <c r="R105" s="23"/>
      <c r="S105" s="23"/>
      <c r="T105" s="23"/>
      <c r="U105" s="19" t="str">
        <f t="shared" si="12"/>
        <v/>
      </c>
      <c r="V105" s="128" t="str">
        <f t="shared" si="11"/>
        <v/>
      </c>
      <c r="X105" s="54"/>
      <c r="Y105" s="56"/>
      <c r="AA105" s="2"/>
      <c r="AB105" s="2"/>
      <c r="AC105" s="132"/>
    </row>
    <row r="106" spans="1:29" ht="15.75">
      <c r="A106" s="29" t="s">
        <v>245</v>
      </c>
      <c r="B106" s="3"/>
      <c r="C106" s="3"/>
      <c r="D106" s="3"/>
      <c r="E106" s="3"/>
      <c r="F106" s="3"/>
      <c r="G106" s="3"/>
      <c r="H106" s="28"/>
      <c r="I106" s="82"/>
      <c r="J106" s="116" t="str">
        <f t="shared" ref="J106:J145" si="19">IF(H106="","",+K106/H106)</f>
        <v/>
      </c>
      <c r="K106" s="124"/>
      <c r="L106" s="22"/>
      <c r="M106" s="22"/>
      <c r="N106" s="22"/>
      <c r="O106" s="22"/>
      <c r="P106" s="23"/>
      <c r="Q106" s="23"/>
      <c r="R106" s="23"/>
      <c r="S106" s="23"/>
      <c r="T106" s="23"/>
      <c r="U106" s="19" t="str">
        <f t="shared" si="12"/>
        <v/>
      </c>
      <c r="V106" s="128" t="str">
        <f t="shared" ref="V106:V146" si="20">IF(J106="","",+U106/H106)</f>
        <v/>
      </c>
      <c r="X106" s="54"/>
      <c r="Y106" s="56"/>
      <c r="AA106" s="2"/>
      <c r="AB106" s="2"/>
      <c r="AC106" s="132"/>
    </row>
    <row r="107" spans="1:29" ht="15.75">
      <c r="A107" s="29" t="s">
        <v>248</v>
      </c>
      <c r="B107" s="3"/>
      <c r="C107" s="9"/>
      <c r="D107" s="3"/>
      <c r="E107" s="3"/>
      <c r="F107" s="3"/>
      <c r="G107" s="3"/>
      <c r="H107" s="28"/>
      <c r="I107" s="82"/>
      <c r="J107" s="116" t="str">
        <f t="shared" si="19"/>
        <v/>
      </c>
      <c r="K107" s="124"/>
      <c r="L107" s="22"/>
      <c r="M107" s="22"/>
      <c r="N107" s="22"/>
      <c r="O107" s="22"/>
      <c r="P107" s="23"/>
      <c r="Q107" s="23"/>
      <c r="R107" s="23"/>
      <c r="S107" s="23"/>
      <c r="T107" s="23"/>
      <c r="U107" s="19" t="str">
        <f t="shared" si="12"/>
        <v/>
      </c>
      <c r="V107" s="128" t="str">
        <f t="shared" si="20"/>
        <v/>
      </c>
      <c r="X107" s="54"/>
      <c r="Y107" s="56"/>
      <c r="AA107" s="2"/>
      <c r="AB107" s="2"/>
      <c r="AC107" s="132"/>
    </row>
    <row r="108" spans="1:29" ht="15.75">
      <c r="A108" s="29" t="s">
        <v>249</v>
      </c>
      <c r="B108" s="3"/>
      <c r="C108" s="3"/>
      <c r="D108" s="3"/>
      <c r="E108" s="3"/>
      <c r="F108" s="3"/>
      <c r="G108" s="3"/>
      <c r="H108" s="28"/>
      <c r="I108" s="82"/>
      <c r="J108" s="116" t="str">
        <f t="shared" si="19"/>
        <v/>
      </c>
      <c r="K108" s="124"/>
      <c r="L108" s="22"/>
      <c r="M108" s="22"/>
      <c r="N108" s="22"/>
      <c r="O108" s="22"/>
      <c r="P108" s="23"/>
      <c r="Q108" s="23"/>
      <c r="R108" s="23"/>
      <c r="S108" s="23"/>
      <c r="T108" s="23"/>
      <c r="U108" s="19" t="str">
        <f t="shared" si="12"/>
        <v/>
      </c>
      <c r="V108" s="128" t="str">
        <f t="shared" si="20"/>
        <v/>
      </c>
      <c r="X108" s="54"/>
      <c r="Y108" s="56"/>
      <c r="AA108" s="2"/>
      <c r="AB108" s="2"/>
      <c r="AC108" s="132"/>
    </row>
    <row r="109" spans="1:29" ht="15.75">
      <c r="A109" s="29" t="s">
        <v>250</v>
      </c>
      <c r="B109" s="3"/>
      <c r="C109" s="9"/>
      <c r="D109" s="3"/>
      <c r="E109" s="3"/>
      <c r="F109" s="10"/>
      <c r="G109" s="1"/>
      <c r="H109" s="27"/>
      <c r="I109" s="82"/>
      <c r="J109" s="116" t="str">
        <f t="shared" si="19"/>
        <v/>
      </c>
      <c r="K109" s="124"/>
      <c r="L109" s="22"/>
      <c r="M109" s="22"/>
      <c r="N109" s="22"/>
      <c r="O109" s="22"/>
      <c r="P109" s="23"/>
      <c r="Q109" s="23"/>
      <c r="R109" s="23"/>
      <c r="S109" s="23"/>
      <c r="T109" s="23"/>
      <c r="U109" s="19" t="str">
        <f t="shared" si="12"/>
        <v/>
      </c>
      <c r="V109" s="128" t="str">
        <f t="shared" si="20"/>
        <v/>
      </c>
      <c r="X109" s="54"/>
      <c r="Y109" s="56"/>
      <c r="AA109" s="2"/>
      <c r="AB109" s="2"/>
      <c r="AC109" s="132"/>
    </row>
    <row r="110" spans="1:29" ht="15.75">
      <c r="A110" s="29" t="s">
        <v>251</v>
      </c>
      <c r="B110" s="3"/>
      <c r="C110" s="9"/>
      <c r="D110" s="3"/>
      <c r="E110" s="3"/>
      <c r="F110" s="10"/>
      <c r="G110" s="1"/>
      <c r="H110" s="27"/>
      <c r="I110" s="82"/>
      <c r="J110" s="116" t="str">
        <f t="shared" si="19"/>
        <v/>
      </c>
      <c r="K110" s="124"/>
      <c r="L110" s="22"/>
      <c r="M110" s="22"/>
      <c r="N110" s="22"/>
      <c r="O110" s="22"/>
      <c r="P110" s="23"/>
      <c r="Q110" s="23"/>
      <c r="R110" s="23"/>
      <c r="S110" s="23"/>
      <c r="T110" s="23"/>
      <c r="U110" s="19" t="str">
        <f t="shared" si="12"/>
        <v/>
      </c>
      <c r="V110" s="128" t="str">
        <f t="shared" si="20"/>
        <v/>
      </c>
      <c r="X110" s="54"/>
      <c r="Y110" s="56"/>
      <c r="AA110" s="2"/>
      <c r="AB110" s="2"/>
      <c r="AC110" s="132"/>
    </row>
    <row r="111" spans="1:29" ht="15.75">
      <c r="A111" s="29" t="s">
        <v>253</v>
      </c>
      <c r="B111" s="3"/>
      <c r="C111" s="9"/>
      <c r="D111" s="3"/>
      <c r="E111" s="3"/>
      <c r="F111" s="10"/>
      <c r="G111" s="1"/>
      <c r="H111" s="27"/>
      <c r="I111" s="82"/>
      <c r="J111" s="116" t="str">
        <f t="shared" si="19"/>
        <v/>
      </c>
      <c r="K111" s="124"/>
      <c r="L111" s="22"/>
      <c r="M111" s="22"/>
      <c r="N111" s="22"/>
      <c r="O111" s="22"/>
      <c r="P111" s="23"/>
      <c r="Q111" s="23"/>
      <c r="R111" s="23"/>
      <c r="S111" s="23"/>
      <c r="T111" s="23"/>
      <c r="U111" s="19" t="str">
        <f t="shared" si="12"/>
        <v/>
      </c>
      <c r="V111" s="128" t="str">
        <f t="shared" si="20"/>
        <v/>
      </c>
      <c r="X111" s="54"/>
      <c r="Y111" s="56"/>
      <c r="AA111" s="2"/>
      <c r="AB111" s="2"/>
      <c r="AC111" s="132"/>
    </row>
    <row r="112" spans="1:29" ht="15.75">
      <c r="A112" s="29" t="s">
        <v>256</v>
      </c>
      <c r="B112" s="3"/>
      <c r="C112" s="9"/>
      <c r="D112" s="3"/>
      <c r="E112" s="3"/>
      <c r="F112" s="10"/>
      <c r="G112" s="1"/>
      <c r="H112" s="27"/>
      <c r="I112" s="82"/>
      <c r="J112" s="116" t="str">
        <f t="shared" si="19"/>
        <v/>
      </c>
      <c r="K112" s="124"/>
      <c r="L112" s="22"/>
      <c r="M112" s="22"/>
      <c r="N112" s="22"/>
      <c r="O112" s="22"/>
      <c r="P112" s="23"/>
      <c r="Q112" s="23"/>
      <c r="R112" s="23"/>
      <c r="S112" s="23"/>
      <c r="T112" s="23"/>
      <c r="U112" s="19" t="str">
        <f t="shared" si="12"/>
        <v/>
      </c>
      <c r="V112" s="128" t="str">
        <f t="shared" si="20"/>
        <v/>
      </c>
      <c r="X112" s="54"/>
      <c r="Y112" s="56"/>
      <c r="AA112" s="2"/>
      <c r="AB112" s="2"/>
      <c r="AC112" s="132"/>
    </row>
    <row r="113" spans="1:29" ht="15.75">
      <c r="A113" s="29" t="s">
        <v>257</v>
      </c>
      <c r="B113" s="3"/>
      <c r="C113" s="9"/>
      <c r="D113" s="3"/>
      <c r="E113" s="3"/>
      <c r="F113" s="10"/>
      <c r="G113" s="1"/>
      <c r="H113" s="27"/>
      <c r="I113" s="82"/>
      <c r="J113" s="116" t="str">
        <f t="shared" si="19"/>
        <v/>
      </c>
      <c r="K113" s="124"/>
      <c r="L113" s="22"/>
      <c r="M113" s="22"/>
      <c r="N113" s="22"/>
      <c r="O113" s="22"/>
      <c r="P113" s="23"/>
      <c r="Q113" s="23"/>
      <c r="R113" s="23"/>
      <c r="S113" s="23"/>
      <c r="T113" s="23"/>
      <c r="U113" s="19" t="str">
        <f t="shared" ref="U113:U146" si="21">IF(B113="","",K113+SUM(L113:Q113))</f>
        <v/>
      </c>
      <c r="V113" s="128" t="str">
        <f t="shared" si="20"/>
        <v/>
      </c>
      <c r="X113" s="54"/>
      <c r="Y113" s="56"/>
      <c r="AA113" s="2"/>
      <c r="AB113" s="2"/>
      <c r="AC113" s="132"/>
    </row>
    <row r="114" spans="1:29" ht="15.75">
      <c r="A114" s="29" t="s">
        <v>258</v>
      </c>
      <c r="B114" s="3"/>
      <c r="C114" s="9"/>
      <c r="D114" s="3"/>
      <c r="E114" s="3"/>
      <c r="F114" s="10"/>
      <c r="G114" s="1"/>
      <c r="H114" s="27"/>
      <c r="I114" s="82"/>
      <c r="J114" s="116" t="str">
        <f t="shared" si="19"/>
        <v/>
      </c>
      <c r="K114" s="124"/>
      <c r="L114" s="106"/>
      <c r="M114" s="22"/>
      <c r="N114" s="22"/>
      <c r="O114" s="22"/>
      <c r="P114" s="23"/>
      <c r="Q114" s="23"/>
      <c r="R114" s="23"/>
      <c r="S114" s="23"/>
      <c r="T114" s="23"/>
      <c r="U114" s="19" t="str">
        <f t="shared" si="21"/>
        <v/>
      </c>
      <c r="V114" s="128" t="str">
        <f t="shared" si="20"/>
        <v/>
      </c>
      <c r="X114" s="54"/>
      <c r="Y114" s="56"/>
      <c r="AA114" s="2"/>
      <c r="AB114" s="2"/>
      <c r="AC114" s="132"/>
    </row>
    <row r="115" spans="1:29" ht="15.75">
      <c r="A115" s="29" t="s">
        <v>259</v>
      </c>
      <c r="B115" s="3"/>
      <c r="C115" s="9"/>
      <c r="D115" s="3"/>
      <c r="E115" s="3"/>
      <c r="F115" s="10"/>
      <c r="G115" s="1"/>
      <c r="H115" s="27"/>
      <c r="I115" s="82"/>
      <c r="J115" s="116" t="str">
        <f t="shared" si="19"/>
        <v/>
      </c>
      <c r="K115" s="124"/>
      <c r="L115" s="22"/>
      <c r="M115" s="22"/>
      <c r="N115" s="22"/>
      <c r="O115" s="22"/>
      <c r="P115" s="23"/>
      <c r="Q115" s="23"/>
      <c r="R115" s="23"/>
      <c r="S115" s="23"/>
      <c r="T115" s="23"/>
      <c r="U115" s="19" t="str">
        <f t="shared" si="21"/>
        <v/>
      </c>
      <c r="V115" s="128" t="str">
        <f t="shared" si="20"/>
        <v/>
      </c>
      <c r="X115" s="80"/>
      <c r="Y115" s="72"/>
      <c r="AA115" s="2"/>
      <c r="AB115" s="2"/>
      <c r="AC115" s="132"/>
    </row>
    <row r="116" spans="1:29" ht="15.75">
      <c r="A116" s="29" t="s">
        <v>261</v>
      </c>
      <c r="B116" s="3"/>
      <c r="C116" s="3"/>
      <c r="D116" s="3"/>
      <c r="E116" s="3"/>
      <c r="F116" s="3"/>
      <c r="G116" s="3"/>
      <c r="H116" s="28"/>
      <c r="I116" s="82"/>
      <c r="J116" s="116" t="str">
        <f t="shared" si="19"/>
        <v/>
      </c>
      <c r="K116" s="124"/>
      <c r="L116" s="22"/>
      <c r="M116" s="22"/>
      <c r="N116" s="22"/>
      <c r="O116" s="22"/>
      <c r="P116" s="23"/>
      <c r="Q116" s="23"/>
      <c r="R116" s="23"/>
      <c r="S116" s="23"/>
      <c r="T116" s="23"/>
      <c r="U116" s="19" t="str">
        <f t="shared" si="21"/>
        <v/>
      </c>
      <c r="V116" s="128" t="str">
        <f t="shared" si="20"/>
        <v/>
      </c>
      <c r="X116" s="54"/>
      <c r="Y116" s="56"/>
      <c r="AA116" s="2"/>
      <c r="AB116" s="2"/>
      <c r="AC116" s="132"/>
    </row>
    <row r="117" spans="1:29" ht="15.75">
      <c r="A117" s="29" t="s">
        <v>262</v>
      </c>
      <c r="B117" s="3"/>
      <c r="C117" s="3"/>
      <c r="D117" s="3"/>
      <c r="E117" s="3"/>
      <c r="F117" s="3"/>
      <c r="G117" s="3"/>
      <c r="H117" s="28"/>
      <c r="I117" s="82"/>
      <c r="J117" s="116" t="str">
        <f t="shared" si="19"/>
        <v/>
      </c>
      <c r="K117" s="124"/>
      <c r="L117" s="22"/>
      <c r="M117" s="22"/>
      <c r="N117" s="22"/>
      <c r="O117" s="22"/>
      <c r="P117" s="23"/>
      <c r="Q117" s="23"/>
      <c r="R117" s="23"/>
      <c r="S117" s="23"/>
      <c r="T117" s="23"/>
      <c r="U117" s="19" t="str">
        <f t="shared" si="21"/>
        <v/>
      </c>
      <c r="V117" s="128" t="str">
        <f t="shared" si="20"/>
        <v/>
      </c>
      <c r="X117" s="54"/>
      <c r="Y117" s="56"/>
      <c r="AA117" s="2"/>
      <c r="AB117" s="2"/>
      <c r="AC117" s="132"/>
    </row>
    <row r="118" spans="1:29" ht="15.75">
      <c r="A118" s="29" t="s">
        <v>264</v>
      </c>
      <c r="B118" s="3"/>
      <c r="C118" s="3"/>
      <c r="D118" s="3"/>
      <c r="E118" s="3"/>
      <c r="F118" s="3"/>
      <c r="G118" s="3"/>
      <c r="H118" s="28"/>
      <c r="I118" s="82"/>
      <c r="J118" s="116" t="str">
        <f t="shared" si="19"/>
        <v/>
      </c>
      <c r="K118" s="124"/>
      <c r="L118" s="22"/>
      <c r="M118" s="22"/>
      <c r="N118" s="22"/>
      <c r="O118" s="22"/>
      <c r="P118" s="23"/>
      <c r="Q118" s="23"/>
      <c r="R118" s="23"/>
      <c r="S118" s="23"/>
      <c r="T118" s="23"/>
      <c r="U118" s="19" t="str">
        <f t="shared" si="21"/>
        <v/>
      </c>
      <c r="V118" s="128" t="str">
        <f t="shared" si="20"/>
        <v/>
      </c>
      <c r="X118" s="54"/>
      <c r="Y118" s="56"/>
      <c r="AA118" s="2"/>
      <c r="AB118" s="2"/>
      <c r="AC118" s="132"/>
    </row>
    <row r="119" spans="1:29" ht="15.75">
      <c r="A119" s="29" t="s">
        <v>265</v>
      </c>
      <c r="B119" s="3"/>
      <c r="C119" s="3"/>
      <c r="D119" s="3"/>
      <c r="E119" s="3"/>
      <c r="F119" s="3"/>
      <c r="G119" s="3"/>
      <c r="H119" s="28"/>
      <c r="I119" s="82"/>
      <c r="J119" s="116" t="str">
        <f t="shared" si="19"/>
        <v/>
      </c>
      <c r="K119" s="124"/>
      <c r="L119" s="22"/>
      <c r="M119" s="22"/>
      <c r="N119" s="22"/>
      <c r="O119" s="22"/>
      <c r="P119" s="23"/>
      <c r="Q119" s="23"/>
      <c r="R119" s="23"/>
      <c r="S119" s="23"/>
      <c r="T119" s="23"/>
      <c r="U119" s="19" t="str">
        <f t="shared" si="21"/>
        <v/>
      </c>
      <c r="V119" s="128" t="str">
        <f t="shared" si="20"/>
        <v/>
      </c>
      <c r="X119" s="54"/>
      <c r="Y119" s="56"/>
      <c r="AA119" s="2"/>
      <c r="AB119" s="2"/>
      <c r="AC119" s="132"/>
    </row>
    <row r="120" spans="1:29" ht="15.75">
      <c r="A120" s="29" t="s">
        <v>268</v>
      </c>
      <c r="B120" s="3"/>
      <c r="C120" s="3"/>
      <c r="D120" s="3"/>
      <c r="E120" s="3"/>
      <c r="F120" s="3"/>
      <c r="G120" s="3"/>
      <c r="H120" s="28"/>
      <c r="I120" s="82"/>
      <c r="J120" s="116" t="str">
        <f t="shared" si="19"/>
        <v/>
      </c>
      <c r="K120" s="124"/>
      <c r="L120" s="22"/>
      <c r="M120" s="22"/>
      <c r="N120" s="22"/>
      <c r="O120" s="22"/>
      <c r="P120" s="23"/>
      <c r="Q120" s="23"/>
      <c r="R120" s="23"/>
      <c r="S120" s="23"/>
      <c r="T120" s="23"/>
      <c r="U120" s="19" t="str">
        <f t="shared" si="21"/>
        <v/>
      </c>
      <c r="V120" s="128" t="str">
        <f t="shared" si="20"/>
        <v/>
      </c>
      <c r="X120" s="54"/>
      <c r="Y120" s="56"/>
      <c r="AA120" s="2"/>
      <c r="AB120" s="2"/>
      <c r="AC120" s="132"/>
    </row>
    <row r="121" spans="1:29" ht="15.75">
      <c r="A121" s="29" t="s">
        <v>270</v>
      </c>
      <c r="B121" s="3"/>
      <c r="C121" s="9"/>
      <c r="D121" s="3"/>
      <c r="E121" s="3"/>
      <c r="F121" s="10"/>
      <c r="G121" s="1"/>
      <c r="H121" s="27"/>
      <c r="I121" s="82"/>
      <c r="J121" s="116" t="str">
        <f t="shared" si="19"/>
        <v/>
      </c>
      <c r="K121" s="124"/>
      <c r="L121" s="22"/>
      <c r="M121" s="22"/>
      <c r="N121" s="22"/>
      <c r="O121" s="22"/>
      <c r="P121" s="23"/>
      <c r="Q121" s="23"/>
      <c r="R121" s="23"/>
      <c r="S121" s="23"/>
      <c r="T121" s="23"/>
      <c r="U121" s="19" t="str">
        <f t="shared" si="21"/>
        <v/>
      </c>
      <c r="V121" s="128" t="str">
        <f t="shared" si="20"/>
        <v/>
      </c>
      <c r="X121" s="54"/>
      <c r="Y121" s="56"/>
      <c r="AA121" s="2"/>
      <c r="AB121" s="2"/>
      <c r="AC121" s="132"/>
    </row>
    <row r="122" spans="1:29" ht="15.75">
      <c r="A122" s="29" t="s">
        <v>271</v>
      </c>
      <c r="B122" s="3"/>
      <c r="C122" s="9"/>
      <c r="D122" s="3"/>
      <c r="E122" s="3"/>
      <c r="F122" s="10"/>
      <c r="G122" s="1"/>
      <c r="H122" s="27"/>
      <c r="I122" s="82"/>
      <c r="J122" s="116" t="str">
        <f t="shared" si="19"/>
        <v/>
      </c>
      <c r="K122" s="124"/>
      <c r="L122" s="22"/>
      <c r="M122" s="22"/>
      <c r="N122" s="22"/>
      <c r="O122" s="22"/>
      <c r="P122" s="23"/>
      <c r="Q122" s="23"/>
      <c r="R122" s="23"/>
      <c r="S122" s="23"/>
      <c r="T122" s="23"/>
      <c r="U122" s="19" t="str">
        <f t="shared" si="21"/>
        <v/>
      </c>
      <c r="V122" s="128" t="str">
        <f t="shared" si="20"/>
        <v/>
      </c>
      <c r="X122" s="54"/>
      <c r="Y122" s="56"/>
      <c r="AA122" s="2"/>
      <c r="AB122" s="2"/>
      <c r="AC122" s="132"/>
    </row>
    <row r="123" spans="1:29" ht="15.75">
      <c r="A123" s="29" t="s">
        <v>272</v>
      </c>
      <c r="B123" s="3"/>
      <c r="C123" s="9"/>
      <c r="D123" s="3"/>
      <c r="E123" s="3"/>
      <c r="F123" s="10"/>
      <c r="G123" s="1"/>
      <c r="H123" s="27"/>
      <c r="I123" s="82"/>
      <c r="J123" s="116" t="str">
        <f t="shared" si="19"/>
        <v/>
      </c>
      <c r="K123" s="124"/>
      <c r="L123" s="22"/>
      <c r="M123" s="22"/>
      <c r="N123" s="22"/>
      <c r="O123" s="22"/>
      <c r="P123" s="23"/>
      <c r="Q123" s="23"/>
      <c r="R123" s="23"/>
      <c r="S123" s="23"/>
      <c r="T123" s="23"/>
      <c r="U123" s="19" t="str">
        <f t="shared" si="21"/>
        <v/>
      </c>
      <c r="V123" s="128" t="str">
        <f t="shared" si="20"/>
        <v/>
      </c>
      <c r="X123" s="54"/>
      <c r="Y123" s="56"/>
      <c r="AA123" s="2"/>
      <c r="AB123" s="2"/>
      <c r="AC123" s="132"/>
    </row>
    <row r="124" spans="1:29" ht="15.75">
      <c r="A124" s="29" t="s">
        <v>273</v>
      </c>
      <c r="B124" s="3"/>
      <c r="C124" s="3"/>
      <c r="D124" s="3"/>
      <c r="E124" s="3"/>
      <c r="F124" s="3"/>
      <c r="G124" s="3"/>
      <c r="H124" s="28"/>
      <c r="I124" s="82"/>
      <c r="J124" s="116" t="str">
        <f t="shared" si="19"/>
        <v/>
      </c>
      <c r="K124" s="124"/>
      <c r="L124" s="22"/>
      <c r="M124" s="22"/>
      <c r="N124" s="22"/>
      <c r="O124" s="22"/>
      <c r="P124" s="23"/>
      <c r="Q124" s="23"/>
      <c r="R124" s="23"/>
      <c r="S124" s="23"/>
      <c r="T124" s="23"/>
      <c r="U124" s="19" t="str">
        <f t="shared" si="21"/>
        <v/>
      </c>
      <c r="V124" s="128" t="str">
        <f t="shared" si="20"/>
        <v/>
      </c>
      <c r="X124" s="54"/>
      <c r="Y124" s="56"/>
      <c r="AA124" s="2"/>
      <c r="AB124" s="2"/>
      <c r="AC124" s="132"/>
    </row>
    <row r="125" spans="1:29" ht="15.75">
      <c r="A125" s="29" t="s">
        <v>274</v>
      </c>
      <c r="B125" s="3"/>
      <c r="C125" s="3"/>
      <c r="D125" s="13"/>
      <c r="E125" s="3"/>
      <c r="F125" s="3"/>
      <c r="G125" s="65"/>
      <c r="H125" s="53"/>
      <c r="I125" s="82"/>
      <c r="J125" s="116" t="str">
        <f t="shared" si="19"/>
        <v/>
      </c>
      <c r="K125" s="124"/>
      <c r="L125" s="22"/>
      <c r="M125" s="22"/>
      <c r="N125" s="22"/>
      <c r="O125" s="22"/>
      <c r="P125" s="23"/>
      <c r="Q125" s="23"/>
      <c r="R125" s="23"/>
      <c r="S125" s="23"/>
      <c r="T125" s="23"/>
      <c r="U125" s="19" t="str">
        <f t="shared" si="21"/>
        <v/>
      </c>
      <c r="V125" s="128" t="str">
        <f t="shared" si="20"/>
        <v/>
      </c>
      <c r="X125" s="54"/>
      <c r="Y125" s="56"/>
      <c r="AA125" s="2"/>
      <c r="AB125" s="2"/>
      <c r="AC125" s="132"/>
    </row>
    <row r="126" spans="1:29" ht="15.75">
      <c r="A126" s="29" t="s">
        <v>275</v>
      </c>
      <c r="B126" s="3"/>
      <c r="C126" s="3"/>
      <c r="D126" s="13"/>
      <c r="E126" s="3"/>
      <c r="F126" s="3"/>
      <c r="G126" s="65"/>
      <c r="H126" s="53"/>
      <c r="I126" s="82"/>
      <c r="J126" s="116" t="str">
        <f t="shared" si="19"/>
        <v/>
      </c>
      <c r="K126" s="124"/>
      <c r="L126" s="22"/>
      <c r="M126" s="22"/>
      <c r="N126" s="22"/>
      <c r="O126" s="22"/>
      <c r="P126" s="23"/>
      <c r="Q126" s="23"/>
      <c r="R126" s="23"/>
      <c r="S126" s="23"/>
      <c r="T126" s="23"/>
      <c r="U126" s="19" t="str">
        <f t="shared" si="21"/>
        <v/>
      </c>
      <c r="V126" s="128" t="str">
        <f t="shared" si="20"/>
        <v/>
      </c>
      <c r="X126" s="54"/>
      <c r="Y126" s="56"/>
      <c r="AA126" s="2"/>
      <c r="AB126" s="2"/>
      <c r="AC126" s="132"/>
    </row>
    <row r="127" spans="1:29" ht="15.75">
      <c r="A127" s="29" t="s">
        <v>276</v>
      </c>
      <c r="B127" s="3"/>
      <c r="C127" s="9"/>
      <c r="D127" s="13"/>
      <c r="E127" s="3"/>
      <c r="F127" s="10"/>
      <c r="G127" s="1"/>
      <c r="H127" s="27"/>
      <c r="I127" s="82"/>
      <c r="J127" s="116" t="str">
        <f t="shared" si="19"/>
        <v/>
      </c>
      <c r="K127" s="124"/>
      <c r="L127" s="22"/>
      <c r="M127" s="22"/>
      <c r="N127" s="22"/>
      <c r="O127" s="22"/>
      <c r="P127" s="23"/>
      <c r="Q127" s="23"/>
      <c r="R127" s="23"/>
      <c r="S127" s="23"/>
      <c r="T127" s="23"/>
      <c r="U127" s="19" t="str">
        <f t="shared" si="21"/>
        <v/>
      </c>
      <c r="V127" s="128" t="str">
        <f t="shared" si="20"/>
        <v/>
      </c>
      <c r="X127" s="54"/>
      <c r="Y127" s="56"/>
      <c r="AA127" s="2"/>
      <c r="AB127" s="2"/>
      <c r="AC127" s="132"/>
    </row>
    <row r="128" spans="1:29" ht="15.75">
      <c r="A128" s="29" t="s">
        <v>279</v>
      </c>
      <c r="B128" s="3"/>
      <c r="C128" s="9"/>
      <c r="D128" s="13"/>
      <c r="E128" s="3"/>
      <c r="F128" s="10"/>
      <c r="G128" s="1"/>
      <c r="H128" s="27"/>
      <c r="I128" s="82"/>
      <c r="J128" s="116" t="str">
        <f t="shared" si="19"/>
        <v/>
      </c>
      <c r="K128" s="124"/>
      <c r="L128" s="22"/>
      <c r="M128" s="22"/>
      <c r="N128" s="22"/>
      <c r="O128" s="22"/>
      <c r="P128" s="23"/>
      <c r="Q128" s="23"/>
      <c r="R128" s="23"/>
      <c r="S128" s="23"/>
      <c r="T128" s="23"/>
      <c r="U128" s="19" t="str">
        <f t="shared" si="21"/>
        <v/>
      </c>
      <c r="V128" s="128" t="str">
        <f t="shared" si="20"/>
        <v/>
      </c>
      <c r="X128" s="54"/>
      <c r="Y128" s="56"/>
      <c r="AA128" s="2"/>
      <c r="AB128" s="2"/>
      <c r="AC128" s="132"/>
    </row>
    <row r="129" spans="1:29" ht="15.75">
      <c r="A129" s="29" t="s">
        <v>281</v>
      </c>
      <c r="B129" s="3"/>
      <c r="C129" s="9"/>
      <c r="D129" s="3"/>
      <c r="E129" s="3"/>
      <c r="F129" s="10"/>
      <c r="G129" s="1"/>
      <c r="H129" s="27"/>
      <c r="I129" s="82"/>
      <c r="J129" s="116" t="str">
        <f t="shared" si="19"/>
        <v/>
      </c>
      <c r="K129" s="124"/>
      <c r="L129" s="22"/>
      <c r="M129" s="22"/>
      <c r="N129" s="22"/>
      <c r="O129" s="22"/>
      <c r="P129" s="23"/>
      <c r="Q129" s="23"/>
      <c r="R129" s="23"/>
      <c r="S129" s="23"/>
      <c r="T129" s="23"/>
      <c r="U129" s="19" t="str">
        <f t="shared" si="21"/>
        <v/>
      </c>
      <c r="V129" s="128" t="str">
        <f t="shared" si="20"/>
        <v/>
      </c>
      <c r="X129" s="54"/>
      <c r="Y129" s="56"/>
      <c r="AA129" s="2"/>
      <c r="AB129" s="2"/>
      <c r="AC129" s="132"/>
    </row>
    <row r="130" spans="1:29" ht="15.75">
      <c r="A130" s="29" t="s">
        <v>282</v>
      </c>
      <c r="B130" s="3"/>
      <c r="C130" s="9"/>
      <c r="D130" s="3"/>
      <c r="E130" s="3"/>
      <c r="F130" s="10"/>
      <c r="G130" s="14"/>
      <c r="H130" s="81"/>
      <c r="I130" s="82"/>
      <c r="J130" s="116" t="str">
        <f t="shared" si="19"/>
        <v/>
      </c>
      <c r="K130" s="124"/>
      <c r="L130" s="22"/>
      <c r="M130" s="22"/>
      <c r="N130" s="22"/>
      <c r="O130" s="22"/>
      <c r="P130" s="23"/>
      <c r="Q130" s="23"/>
      <c r="R130" s="23"/>
      <c r="S130" s="23"/>
      <c r="T130" s="23"/>
      <c r="U130" s="19" t="str">
        <f t="shared" si="21"/>
        <v/>
      </c>
      <c r="V130" s="128" t="str">
        <f t="shared" si="20"/>
        <v/>
      </c>
      <c r="X130" s="54"/>
      <c r="Y130" s="56"/>
      <c r="AA130" s="2"/>
      <c r="AB130" s="2"/>
      <c r="AC130" s="132"/>
    </row>
    <row r="131" spans="1:29" ht="15.75">
      <c r="A131" s="29" t="s">
        <v>283</v>
      </c>
      <c r="B131" s="3"/>
      <c r="C131" s="3"/>
      <c r="D131" s="13"/>
      <c r="E131" s="3"/>
      <c r="F131" s="3"/>
      <c r="G131" s="3"/>
      <c r="H131" s="28"/>
      <c r="I131" s="82"/>
      <c r="J131" s="116" t="str">
        <f t="shared" si="19"/>
        <v/>
      </c>
      <c r="K131" s="124"/>
      <c r="L131" s="106"/>
      <c r="M131" s="22"/>
      <c r="N131" s="22"/>
      <c r="O131" s="22"/>
      <c r="P131" s="23"/>
      <c r="Q131" s="23"/>
      <c r="R131" s="23"/>
      <c r="S131" s="23"/>
      <c r="T131" s="23"/>
      <c r="U131" s="19" t="str">
        <f t="shared" si="21"/>
        <v/>
      </c>
      <c r="V131" s="128" t="str">
        <f t="shared" si="20"/>
        <v/>
      </c>
      <c r="X131" s="54"/>
      <c r="Y131" s="56"/>
      <c r="AA131" s="2"/>
      <c r="AB131" s="2"/>
      <c r="AC131" s="132"/>
    </row>
    <row r="132" spans="1:29" ht="15.75">
      <c r="A132" s="29" t="s">
        <v>284</v>
      </c>
      <c r="B132" s="3"/>
      <c r="C132" s="9"/>
      <c r="D132" s="13"/>
      <c r="E132" s="3"/>
      <c r="F132" s="10"/>
      <c r="G132" s="1"/>
      <c r="H132" s="27"/>
      <c r="I132" s="82"/>
      <c r="J132" s="116" t="str">
        <f t="shared" si="19"/>
        <v/>
      </c>
      <c r="K132" s="124"/>
      <c r="L132" s="22"/>
      <c r="M132" s="22"/>
      <c r="N132" s="22"/>
      <c r="O132" s="22"/>
      <c r="P132" s="23"/>
      <c r="Q132" s="23"/>
      <c r="R132" s="23"/>
      <c r="S132" s="23"/>
      <c r="T132" s="23"/>
      <c r="U132" s="19" t="str">
        <f t="shared" si="21"/>
        <v/>
      </c>
      <c r="V132" s="128" t="str">
        <f t="shared" si="20"/>
        <v/>
      </c>
      <c r="X132" s="54"/>
      <c r="Y132" s="56"/>
      <c r="AA132" s="2"/>
      <c r="AB132" s="2"/>
      <c r="AC132" s="132"/>
    </row>
    <row r="133" spans="1:29" ht="15.75">
      <c r="A133" s="29" t="s">
        <v>286</v>
      </c>
      <c r="B133" s="3"/>
      <c r="C133" s="3"/>
      <c r="D133" s="13"/>
      <c r="E133" s="3"/>
      <c r="F133" s="3"/>
      <c r="G133" s="3"/>
      <c r="H133" s="28"/>
      <c r="I133" s="82"/>
      <c r="J133" s="116" t="str">
        <f t="shared" si="19"/>
        <v/>
      </c>
      <c r="K133" s="124"/>
      <c r="L133" s="22"/>
      <c r="M133" s="22"/>
      <c r="N133" s="22"/>
      <c r="O133" s="22"/>
      <c r="P133" s="23"/>
      <c r="Q133" s="23"/>
      <c r="R133" s="23"/>
      <c r="S133" s="23"/>
      <c r="T133" s="23"/>
      <c r="U133" s="19" t="str">
        <f t="shared" si="21"/>
        <v/>
      </c>
      <c r="V133" s="128" t="str">
        <f t="shared" si="20"/>
        <v/>
      </c>
      <c r="X133" s="54"/>
      <c r="Y133" s="56"/>
      <c r="AA133" s="2"/>
      <c r="AB133" s="2"/>
      <c r="AC133" s="132"/>
    </row>
    <row r="134" spans="1:29" ht="15.75">
      <c r="A134" s="29" t="s">
        <v>287</v>
      </c>
      <c r="B134" s="3"/>
      <c r="C134" s="3"/>
      <c r="D134" s="3"/>
      <c r="E134" s="3"/>
      <c r="F134" s="3"/>
      <c r="G134" s="3"/>
      <c r="H134" s="28"/>
      <c r="I134" s="82"/>
      <c r="J134" s="116" t="str">
        <f t="shared" si="19"/>
        <v/>
      </c>
      <c r="K134" s="124"/>
      <c r="L134" s="106"/>
      <c r="M134" s="22"/>
      <c r="N134" s="22"/>
      <c r="O134" s="22"/>
      <c r="P134" s="23"/>
      <c r="Q134" s="23"/>
      <c r="R134" s="23"/>
      <c r="S134" s="23"/>
      <c r="T134" s="23"/>
      <c r="U134" s="19" t="str">
        <f t="shared" si="21"/>
        <v/>
      </c>
      <c r="V134" s="128" t="str">
        <f t="shared" si="20"/>
        <v/>
      </c>
      <c r="X134" s="54"/>
      <c r="Y134" s="56"/>
      <c r="AA134" s="2"/>
      <c r="AB134" s="2"/>
      <c r="AC134" s="132"/>
    </row>
    <row r="135" spans="1:29" ht="15.75">
      <c r="A135" s="29" t="s">
        <v>290</v>
      </c>
      <c r="B135" s="3"/>
      <c r="C135" s="9"/>
      <c r="D135" s="3"/>
      <c r="E135" s="3"/>
      <c r="F135" s="10"/>
      <c r="G135" s="1"/>
      <c r="H135" s="27"/>
      <c r="I135" s="82"/>
      <c r="J135" s="116" t="str">
        <f t="shared" si="19"/>
        <v/>
      </c>
      <c r="K135" s="124"/>
      <c r="L135" s="22"/>
      <c r="M135" s="22"/>
      <c r="N135" s="22"/>
      <c r="O135" s="22"/>
      <c r="P135" s="23"/>
      <c r="Q135" s="23"/>
      <c r="R135" s="23"/>
      <c r="S135" s="23"/>
      <c r="T135" s="23"/>
      <c r="U135" s="19" t="str">
        <f t="shared" si="21"/>
        <v/>
      </c>
      <c r="V135" s="128" t="str">
        <f t="shared" si="20"/>
        <v/>
      </c>
      <c r="X135" s="54"/>
      <c r="Y135" s="56"/>
      <c r="AA135" s="2"/>
      <c r="AB135" s="2"/>
      <c r="AC135" s="132"/>
    </row>
    <row r="136" spans="1:29" ht="15.75">
      <c r="A136" s="29" t="s">
        <v>291</v>
      </c>
      <c r="B136" s="3"/>
      <c r="C136" s="9"/>
      <c r="D136" s="3"/>
      <c r="E136" s="3"/>
      <c r="F136" s="10"/>
      <c r="G136" s="1"/>
      <c r="H136" s="27"/>
      <c r="I136" s="82"/>
      <c r="J136" s="116" t="str">
        <f t="shared" si="19"/>
        <v/>
      </c>
      <c r="K136" s="124"/>
      <c r="L136" s="22"/>
      <c r="M136" s="22"/>
      <c r="N136" s="22"/>
      <c r="O136" s="22"/>
      <c r="P136" s="23"/>
      <c r="Q136" s="23"/>
      <c r="R136" s="23"/>
      <c r="S136" s="23"/>
      <c r="T136" s="23"/>
      <c r="U136" s="19" t="str">
        <f t="shared" si="21"/>
        <v/>
      </c>
      <c r="V136" s="128" t="str">
        <f t="shared" si="20"/>
        <v/>
      </c>
      <c r="X136" s="54"/>
      <c r="Y136" s="56"/>
      <c r="AA136" s="2"/>
      <c r="AB136" s="2"/>
      <c r="AC136" s="132"/>
    </row>
    <row r="137" spans="1:29" ht="15.75">
      <c r="A137" s="29" t="s">
        <v>293</v>
      </c>
      <c r="B137" s="3"/>
      <c r="C137" s="3"/>
      <c r="D137" s="3"/>
      <c r="E137" s="3"/>
      <c r="F137" s="3"/>
      <c r="G137" s="3"/>
      <c r="H137" s="28"/>
      <c r="I137" s="82"/>
      <c r="J137" s="116" t="str">
        <f t="shared" si="19"/>
        <v/>
      </c>
      <c r="K137" s="124"/>
      <c r="L137" s="22"/>
      <c r="M137" s="22"/>
      <c r="N137" s="22"/>
      <c r="O137" s="22"/>
      <c r="P137" s="23"/>
      <c r="Q137" s="23"/>
      <c r="R137" s="23"/>
      <c r="S137" s="23"/>
      <c r="T137" s="23"/>
      <c r="U137" s="19" t="str">
        <f t="shared" si="21"/>
        <v/>
      </c>
      <c r="V137" s="128" t="str">
        <f t="shared" si="20"/>
        <v/>
      </c>
      <c r="X137" s="54"/>
      <c r="Y137" s="56"/>
      <c r="AA137" s="2"/>
      <c r="AB137" s="2"/>
      <c r="AC137" s="132"/>
    </row>
    <row r="138" spans="1:29" ht="15.75">
      <c r="A138" s="29" t="s">
        <v>294</v>
      </c>
      <c r="B138" s="3"/>
      <c r="C138" s="3"/>
      <c r="D138" s="3"/>
      <c r="E138" s="3"/>
      <c r="F138" s="3"/>
      <c r="G138" s="3"/>
      <c r="H138" s="28"/>
      <c r="I138" s="82"/>
      <c r="J138" s="116" t="str">
        <f t="shared" si="19"/>
        <v/>
      </c>
      <c r="K138" s="124"/>
      <c r="L138" s="22"/>
      <c r="M138" s="22"/>
      <c r="N138" s="22"/>
      <c r="O138" s="22"/>
      <c r="P138" s="23"/>
      <c r="Q138" s="23"/>
      <c r="R138" s="23"/>
      <c r="S138" s="23"/>
      <c r="T138" s="23"/>
      <c r="U138" s="19" t="str">
        <f t="shared" si="21"/>
        <v/>
      </c>
      <c r="V138" s="128" t="str">
        <f t="shared" si="20"/>
        <v/>
      </c>
      <c r="X138" s="54"/>
      <c r="Y138" s="56"/>
      <c r="AA138" s="2"/>
      <c r="AB138" s="2"/>
      <c r="AC138" s="132"/>
    </row>
    <row r="139" spans="1:29" ht="15.75">
      <c r="A139" s="29" t="s">
        <v>295</v>
      </c>
      <c r="B139" s="3"/>
      <c r="C139" s="3"/>
      <c r="D139" s="3"/>
      <c r="E139" s="3"/>
      <c r="F139" s="3"/>
      <c r="G139" s="3"/>
      <c r="H139" s="28"/>
      <c r="I139" s="82"/>
      <c r="J139" s="116" t="str">
        <f t="shared" si="19"/>
        <v/>
      </c>
      <c r="K139" s="124"/>
      <c r="L139" s="22"/>
      <c r="M139" s="22"/>
      <c r="N139" s="22"/>
      <c r="O139" s="22"/>
      <c r="P139" s="23"/>
      <c r="Q139" s="23"/>
      <c r="R139" s="23"/>
      <c r="S139" s="23"/>
      <c r="T139" s="23"/>
      <c r="U139" s="19" t="str">
        <f t="shared" si="21"/>
        <v/>
      </c>
      <c r="V139" s="128" t="str">
        <f t="shared" si="20"/>
        <v/>
      </c>
      <c r="X139" s="54"/>
      <c r="Y139" s="56"/>
      <c r="AA139" s="2"/>
      <c r="AB139" s="2"/>
      <c r="AC139" s="132"/>
    </row>
    <row r="140" spans="1:29" ht="15.75">
      <c r="A140" s="29" t="s">
        <v>297</v>
      </c>
      <c r="B140" s="3"/>
      <c r="C140" s="3"/>
      <c r="D140" s="3"/>
      <c r="E140" s="3"/>
      <c r="F140" s="3"/>
      <c r="G140" s="3"/>
      <c r="H140" s="28"/>
      <c r="I140" s="82"/>
      <c r="J140" s="116" t="str">
        <f t="shared" si="19"/>
        <v/>
      </c>
      <c r="K140" s="124"/>
      <c r="L140" s="22"/>
      <c r="M140" s="22"/>
      <c r="N140" s="22"/>
      <c r="O140" s="22"/>
      <c r="P140" s="23"/>
      <c r="Q140" s="23"/>
      <c r="R140" s="23"/>
      <c r="S140" s="23"/>
      <c r="T140" s="23"/>
      <c r="U140" s="19" t="str">
        <f t="shared" si="21"/>
        <v/>
      </c>
      <c r="V140" s="128" t="str">
        <f t="shared" si="20"/>
        <v/>
      </c>
      <c r="X140" s="54"/>
      <c r="Y140" s="56"/>
      <c r="AA140" s="2"/>
      <c r="AB140" s="2"/>
      <c r="AC140" s="132"/>
    </row>
    <row r="141" spans="1:29" ht="15.75">
      <c r="A141" s="29" t="s">
        <v>298</v>
      </c>
      <c r="B141" s="3"/>
      <c r="C141" s="9"/>
      <c r="D141" s="3"/>
      <c r="E141" s="3"/>
      <c r="F141" s="3"/>
      <c r="G141" s="3"/>
      <c r="H141" s="28"/>
      <c r="I141" s="82"/>
      <c r="J141" s="116" t="str">
        <f t="shared" si="19"/>
        <v/>
      </c>
      <c r="K141" s="124"/>
      <c r="L141" s="22"/>
      <c r="M141" s="22"/>
      <c r="N141" s="22"/>
      <c r="O141" s="22"/>
      <c r="P141" s="23"/>
      <c r="Q141" s="23"/>
      <c r="R141" s="23"/>
      <c r="S141" s="23"/>
      <c r="T141" s="23"/>
      <c r="U141" s="19" t="str">
        <f t="shared" si="21"/>
        <v/>
      </c>
      <c r="V141" s="128" t="str">
        <f t="shared" si="20"/>
        <v/>
      </c>
      <c r="X141" s="54"/>
      <c r="Y141" s="56"/>
      <c r="AA141" s="2"/>
      <c r="AB141" s="2"/>
      <c r="AC141" s="132"/>
    </row>
    <row r="142" spans="1:29" ht="15.75">
      <c r="A142" s="29" t="s">
        <v>299</v>
      </c>
      <c r="B142" s="3"/>
      <c r="C142" s="9"/>
      <c r="D142" s="13"/>
      <c r="E142" s="3"/>
      <c r="F142" s="10"/>
      <c r="G142" s="1"/>
      <c r="H142" s="27"/>
      <c r="I142" s="82"/>
      <c r="J142" s="116" t="str">
        <f t="shared" si="19"/>
        <v/>
      </c>
      <c r="K142" s="124"/>
      <c r="L142" s="22"/>
      <c r="M142" s="22"/>
      <c r="N142" s="22"/>
      <c r="O142" s="22"/>
      <c r="P142" s="23"/>
      <c r="Q142" s="23"/>
      <c r="R142" s="23"/>
      <c r="S142" s="23"/>
      <c r="T142" s="23"/>
      <c r="U142" s="19" t="str">
        <f t="shared" si="21"/>
        <v/>
      </c>
      <c r="V142" s="128" t="str">
        <f t="shared" si="20"/>
        <v/>
      </c>
      <c r="X142" s="54"/>
      <c r="Y142" s="56"/>
      <c r="AA142" s="2"/>
      <c r="AB142" s="2"/>
      <c r="AC142" s="132"/>
    </row>
    <row r="143" spans="1:29" ht="15.75">
      <c r="A143" s="29" t="s">
        <v>302</v>
      </c>
      <c r="B143" s="3"/>
      <c r="C143" s="9"/>
      <c r="D143" s="13"/>
      <c r="E143" s="3"/>
      <c r="F143" s="10"/>
      <c r="G143" s="1"/>
      <c r="H143" s="27"/>
      <c r="I143" s="82"/>
      <c r="J143" s="116" t="str">
        <f t="shared" si="19"/>
        <v/>
      </c>
      <c r="K143" s="124"/>
      <c r="L143" s="22"/>
      <c r="M143" s="22"/>
      <c r="N143" s="22"/>
      <c r="O143" s="22"/>
      <c r="P143" s="23"/>
      <c r="Q143" s="23"/>
      <c r="R143" s="23"/>
      <c r="S143" s="23"/>
      <c r="T143" s="23"/>
      <c r="U143" s="19" t="str">
        <f t="shared" si="21"/>
        <v/>
      </c>
      <c r="V143" s="128" t="str">
        <f t="shared" si="20"/>
        <v/>
      </c>
      <c r="X143" s="54"/>
      <c r="Y143" s="56"/>
      <c r="AA143" s="2"/>
      <c r="AB143" s="2"/>
      <c r="AC143" s="132"/>
    </row>
    <row r="144" spans="1:29" ht="15.75">
      <c r="A144" s="29" t="s">
        <v>304</v>
      </c>
      <c r="B144" s="3"/>
      <c r="C144" s="9"/>
      <c r="D144" s="3"/>
      <c r="E144" s="3"/>
      <c r="F144" s="10"/>
      <c r="G144" s="1"/>
      <c r="H144" s="27"/>
      <c r="I144" s="82"/>
      <c r="J144" s="116" t="str">
        <f t="shared" si="19"/>
        <v/>
      </c>
      <c r="K144" s="124"/>
      <c r="L144" s="22"/>
      <c r="M144" s="22"/>
      <c r="N144" s="22"/>
      <c r="O144" s="22"/>
      <c r="P144" s="23"/>
      <c r="Q144" s="23"/>
      <c r="R144" s="23"/>
      <c r="S144" s="23"/>
      <c r="T144" s="23"/>
      <c r="U144" s="19" t="str">
        <f t="shared" si="21"/>
        <v/>
      </c>
      <c r="V144" s="128" t="str">
        <f t="shared" si="20"/>
        <v/>
      </c>
      <c r="X144" s="54"/>
      <c r="Y144" s="56"/>
      <c r="AA144" s="61"/>
      <c r="AB144" s="61"/>
      <c r="AC144" s="132"/>
    </row>
    <row r="145" spans="1:29" ht="15.75">
      <c r="A145" s="29" t="s">
        <v>305</v>
      </c>
      <c r="B145" s="3"/>
      <c r="C145" s="3"/>
      <c r="D145" s="3"/>
      <c r="E145" s="3"/>
      <c r="F145" s="3"/>
      <c r="G145" s="3"/>
      <c r="H145" s="28"/>
      <c r="I145" s="82"/>
      <c r="J145" s="116" t="str">
        <f t="shared" si="19"/>
        <v/>
      </c>
      <c r="K145" s="124"/>
      <c r="L145" s="22"/>
      <c r="M145" s="22"/>
      <c r="N145" s="22"/>
      <c r="O145" s="22"/>
      <c r="P145" s="23"/>
      <c r="Q145" s="23"/>
      <c r="R145" s="23"/>
      <c r="S145" s="23"/>
      <c r="T145" s="23"/>
      <c r="U145" s="19" t="str">
        <f t="shared" si="21"/>
        <v/>
      </c>
      <c r="V145" s="128" t="str">
        <f t="shared" si="20"/>
        <v/>
      </c>
      <c r="X145" s="54"/>
      <c r="Y145" s="56"/>
      <c r="AA145" s="61"/>
      <c r="AB145" s="61"/>
      <c r="AC145" s="132"/>
    </row>
    <row r="146" spans="1:29" ht="15.75">
      <c r="A146" s="29" t="s">
        <v>309</v>
      </c>
      <c r="B146" s="3"/>
      <c r="C146" s="3"/>
      <c r="D146" s="3"/>
      <c r="E146" s="3"/>
      <c r="F146" s="3"/>
      <c r="G146" s="3"/>
      <c r="H146" s="28"/>
      <c r="I146" s="82"/>
      <c r="J146" s="116"/>
      <c r="K146" s="125"/>
      <c r="L146" s="58"/>
      <c r="M146" s="58"/>
      <c r="N146" s="58"/>
      <c r="O146" s="58"/>
      <c r="P146" s="59"/>
      <c r="Q146" s="59"/>
      <c r="R146" s="59"/>
      <c r="S146" s="59"/>
      <c r="T146" s="59"/>
      <c r="U146" s="104" t="str">
        <f t="shared" si="21"/>
        <v/>
      </c>
      <c r="V146" s="130" t="str">
        <f t="shared" si="20"/>
        <v/>
      </c>
      <c r="X146" s="54"/>
      <c r="Y146" s="56"/>
      <c r="AA146" s="105"/>
      <c r="AB146" s="105"/>
      <c r="AC146" s="134"/>
    </row>
    <row r="147" spans="1:29" ht="15.75">
      <c r="A147" s="29"/>
      <c r="B147" s="3"/>
      <c r="C147" s="3"/>
      <c r="D147" s="3"/>
      <c r="E147" s="3"/>
      <c r="F147" s="3"/>
      <c r="G147" s="3"/>
      <c r="H147" s="28"/>
      <c r="I147" s="82"/>
      <c r="J147" s="116"/>
      <c r="K147" s="125"/>
      <c r="L147" s="58"/>
      <c r="M147" s="58"/>
      <c r="N147" s="58"/>
      <c r="O147" s="58"/>
      <c r="P147" s="59"/>
      <c r="Q147" s="59"/>
      <c r="R147" s="59"/>
      <c r="S147" s="59"/>
      <c r="T147" s="59"/>
      <c r="U147" s="104"/>
      <c r="V147" s="130"/>
      <c r="X147" s="54"/>
      <c r="Y147" s="56"/>
      <c r="AA147" s="105"/>
      <c r="AB147" s="105"/>
      <c r="AC147" s="134"/>
    </row>
    <row r="148" spans="1:29" ht="15.75">
      <c r="A148" s="29"/>
      <c r="B148" s="3"/>
      <c r="C148" s="9"/>
      <c r="D148" s="3"/>
      <c r="E148" s="3"/>
      <c r="F148" s="10"/>
      <c r="G148" s="1"/>
      <c r="H148" s="27"/>
      <c r="I148" s="82"/>
      <c r="J148" s="116"/>
      <c r="K148" s="125"/>
      <c r="L148" s="58"/>
      <c r="M148" s="58"/>
      <c r="N148" s="58"/>
      <c r="O148" s="58"/>
      <c r="P148" s="59"/>
      <c r="Q148" s="59"/>
      <c r="R148" s="59"/>
      <c r="S148" s="59"/>
      <c r="T148" s="59"/>
      <c r="U148" s="104"/>
      <c r="V148" s="130"/>
      <c r="X148" s="54"/>
      <c r="Y148" s="56"/>
      <c r="AA148" s="105"/>
      <c r="AB148" s="105"/>
      <c r="AC148" s="134"/>
    </row>
    <row r="149" spans="1:29" ht="15.75">
      <c r="A149" s="29"/>
      <c r="B149" s="55"/>
      <c r="C149" s="9"/>
      <c r="D149" s="3"/>
      <c r="E149" s="3"/>
      <c r="F149" s="3"/>
      <c r="G149" s="3"/>
      <c r="H149" s="28"/>
      <c r="I149" s="82"/>
      <c r="J149" s="116"/>
      <c r="K149" s="125"/>
      <c r="L149" s="106"/>
      <c r="M149" s="58"/>
      <c r="N149" s="58"/>
      <c r="O149" s="58"/>
      <c r="P149" s="59"/>
      <c r="Q149" s="59"/>
      <c r="R149" s="59"/>
      <c r="S149" s="59"/>
      <c r="T149" s="59"/>
      <c r="U149" s="104"/>
      <c r="V149" s="130"/>
      <c r="X149" s="54"/>
      <c r="Y149" s="56"/>
      <c r="AA149" s="105"/>
      <c r="AB149" s="105"/>
      <c r="AC149" s="134"/>
    </row>
    <row r="150" spans="1:29" ht="15.75">
      <c r="A150" s="29"/>
      <c r="B150" s="3"/>
      <c r="C150" s="9"/>
      <c r="D150" s="3"/>
      <c r="E150" s="3"/>
      <c r="F150" s="10"/>
      <c r="G150" s="1"/>
      <c r="H150" s="27"/>
      <c r="I150" s="82"/>
      <c r="J150" s="116"/>
      <c r="K150" s="125"/>
      <c r="L150" s="58"/>
      <c r="M150" s="58"/>
      <c r="N150" s="58"/>
      <c r="O150" s="58"/>
      <c r="P150" s="59"/>
      <c r="Q150" s="59"/>
      <c r="R150" s="59"/>
      <c r="S150" s="59"/>
      <c r="T150" s="59"/>
      <c r="U150" s="104"/>
      <c r="V150" s="130"/>
      <c r="X150" s="54"/>
      <c r="Y150" s="56"/>
      <c r="AA150" s="105"/>
      <c r="AB150" s="105"/>
      <c r="AC150" s="134"/>
    </row>
    <row r="151" spans="1:29" ht="15.75">
      <c r="A151" s="29"/>
      <c r="B151" s="3"/>
      <c r="C151" s="9"/>
      <c r="D151" s="3"/>
      <c r="E151" s="3"/>
      <c r="F151" s="10"/>
      <c r="G151" s="1"/>
      <c r="H151" s="27"/>
      <c r="I151" s="82"/>
      <c r="J151" s="116"/>
      <c r="K151" s="125"/>
      <c r="L151" s="58"/>
      <c r="M151" s="58"/>
      <c r="N151" s="58"/>
      <c r="O151" s="58"/>
      <c r="P151" s="59"/>
      <c r="Q151" s="59"/>
      <c r="R151" s="59"/>
      <c r="S151" s="59"/>
      <c r="T151" s="59"/>
      <c r="U151" s="104"/>
      <c r="V151" s="130"/>
      <c r="X151" s="54"/>
      <c r="Y151" s="56"/>
      <c r="AA151" s="105"/>
      <c r="AB151" s="105"/>
      <c r="AC151" s="134"/>
    </row>
    <row r="152" spans="1:29" ht="15.75">
      <c r="A152" s="29"/>
      <c r="B152" s="55"/>
      <c r="C152" s="55"/>
      <c r="D152" s="55"/>
      <c r="E152" s="55"/>
      <c r="F152" s="55"/>
      <c r="G152" s="55"/>
      <c r="H152" s="56"/>
      <c r="I152" s="82"/>
      <c r="J152" s="116"/>
      <c r="K152" s="125"/>
      <c r="L152" s="58"/>
      <c r="M152" s="58"/>
      <c r="N152" s="58"/>
      <c r="O152" s="58"/>
      <c r="P152" s="59"/>
      <c r="Q152" s="59"/>
      <c r="R152" s="59"/>
      <c r="S152" s="59"/>
      <c r="T152" s="59"/>
      <c r="U152" s="104"/>
      <c r="V152" s="130"/>
      <c r="X152" s="54"/>
      <c r="Y152" s="56"/>
      <c r="AA152" s="105"/>
      <c r="AB152" s="105"/>
      <c r="AC152" s="134"/>
    </row>
    <row r="153" spans="1:29" ht="15.75">
      <c r="A153" s="29"/>
      <c r="B153" s="55"/>
      <c r="C153" s="55"/>
      <c r="D153" s="55"/>
      <c r="E153" s="55"/>
      <c r="F153" s="55"/>
      <c r="G153" s="55"/>
      <c r="H153" s="56"/>
      <c r="I153" s="82"/>
      <c r="J153" s="116"/>
      <c r="K153" s="125"/>
      <c r="L153" s="58"/>
      <c r="M153" s="58"/>
      <c r="N153" s="58"/>
      <c r="O153" s="58"/>
      <c r="P153" s="59"/>
      <c r="Q153" s="59"/>
      <c r="R153" s="59"/>
      <c r="S153" s="59"/>
      <c r="T153" s="59"/>
      <c r="U153" s="104"/>
      <c r="V153" s="130"/>
      <c r="X153" s="54"/>
      <c r="Y153" s="56"/>
      <c r="AA153" s="105"/>
      <c r="AB153" s="105"/>
      <c r="AC153" s="134"/>
    </row>
    <row r="154" spans="1:29" ht="15.75">
      <c r="A154" s="29"/>
      <c r="B154" s="55"/>
      <c r="C154" s="55"/>
      <c r="D154" s="55"/>
      <c r="E154" s="55"/>
      <c r="F154" s="55"/>
      <c r="G154" s="55"/>
      <c r="H154" s="56"/>
      <c r="I154" s="82"/>
      <c r="J154" s="116"/>
      <c r="K154" s="125"/>
      <c r="L154" s="58"/>
      <c r="M154" s="58"/>
      <c r="N154" s="58"/>
      <c r="O154" s="58"/>
      <c r="P154" s="59"/>
      <c r="Q154" s="59"/>
      <c r="R154" s="59"/>
      <c r="S154" s="59"/>
      <c r="T154" s="59"/>
      <c r="U154" s="104"/>
      <c r="V154" s="130"/>
      <c r="X154" s="54"/>
      <c r="Y154" s="56"/>
      <c r="AA154" s="105"/>
      <c r="AB154" s="105"/>
      <c r="AC154" s="134"/>
    </row>
    <row r="155" spans="1:29" ht="15.75">
      <c r="A155" s="29"/>
      <c r="B155" s="55"/>
      <c r="C155" s="55"/>
      <c r="D155" s="55"/>
      <c r="E155" s="55"/>
      <c r="F155" s="55"/>
      <c r="G155" s="55"/>
      <c r="H155" s="56"/>
      <c r="I155" s="82"/>
      <c r="J155" s="116"/>
      <c r="K155" s="125"/>
      <c r="L155" s="58"/>
      <c r="M155" s="58"/>
      <c r="N155" s="58"/>
      <c r="O155" s="58"/>
      <c r="P155" s="59"/>
      <c r="Q155" s="59"/>
      <c r="R155" s="59"/>
      <c r="S155" s="59"/>
      <c r="T155" s="59"/>
      <c r="U155" s="104"/>
      <c r="V155" s="130"/>
      <c r="X155" s="54"/>
      <c r="Y155" s="56"/>
      <c r="AA155" s="105"/>
      <c r="AB155" s="105"/>
      <c r="AC155" s="134"/>
    </row>
    <row r="156" spans="1:29" ht="15.75">
      <c r="A156" s="29"/>
      <c r="B156" s="55"/>
      <c r="C156" s="55"/>
      <c r="D156" s="55"/>
      <c r="E156" s="55"/>
      <c r="F156" s="55"/>
      <c r="G156" s="55"/>
      <c r="H156" s="56"/>
      <c r="I156" s="82"/>
      <c r="J156" s="116"/>
      <c r="K156" s="125"/>
      <c r="L156" s="58"/>
      <c r="M156" s="58"/>
      <c r="N156" s="58"/>
      <c r="O156" s="58"/>
      <c r="P156" s="59"/>
      <c r="Q156" s="59"/>
      <c r="R156" s="59"/>
      <c r="S156" s="59"/>
      <c r="T156" s="59"/>
      <c r="U156" s="104"/>
      <c r="V156" s="130"/>
      <c r="X156" s="54"/>
      <c r="Y156" s="56"/>
      <c r="AA156" s="105"/>
      <c r="AB156" s="105"/>
      <c r="AC156" s="134"/>
    </row>
    <row r="157" spans="1:29" ht="15.75">
      <c r="A157" s="29"/>
      <c r="B157" s="55"/>
      <c r="C157" s="55"/>
      <c r="D157" s="55"/>
      <c r="E157" s="55"/>
      <c r="F157" s="55"/>
      <c r="G157" s="55"/>
      <c r="H157" s="56"/>
      <c r="I157" s="82"/>
      <c r="J157" s="116"/>
      <c r="K157" s="125"/>
      <c r="L157" s="58"/>
      <c r="M157" s="58"/>
      <c r="N157" s="58"/>
      <c r="O157" s="58"/>
      <c r="P157" s="59"/>
      <c r="Q157" s="59"/>
      <c r="R157" s="59"/>
      <c r="S157" s="59"/>
      <c r="T157" s="59"/>
      <c r="U157" s="104"/>
      <c r="V157" s="130"/>
      <c r="X157" s="54"/>
      <c r="Y157" s="56"/>
      <c r="AA157" s="105"/>
      <c r="AB157" s="105"/>
      <c r="AC157" s="134"/>
    </row>
    <row r="158" spans="1:29" ht="15.75">
      <c r="A158" s="29"/>
      <c r="B158" s="3"/>
      <c r="C158" s="9"/>
      <c r="D158" s="3"/>
      <c r="E158" s="3"/>
      <c r="F158" s="10"/>
      <c r="G158" s="1"/>
      <c r="H158" s="27"/>
      <c r="I158" s="82"/>
      <c r="J158" s="116"/>
      <c r="K158" s="125"/>
      <c r="L158" s="58"/>
      <c r="M158" s="58"/>
      <c r="N158" s="58"/>
      <c r="O158" s="58"/>
      <c r="P158" s="59"/>
      <c r="Q158" s="59"/>
      <c r="R158" s="59"/>
      <c r="S158" s="59"/>
      <c r="T158" s="59"/>
      <c r="U158" s="104"/>
      <c r="V158" s="130"/>
      <c r="X158" s="54"/>
      <c r="Y158" s="56"/>
      <c r="AA158" s="105"/>
      <c r="AB158" s="105"/>
      <c r="AC158" s="134"/>
    </row>
    <row r="159" spans="1:29" ht="15.75">
      <c r="A159" s="29"/>
      <c r="B159" s="3"/>
      <c r="C159" s="3"/>
      <c r="D159" s="3"/>
      <c r="E159" s="3"/>
      <c r="F159" s="3"/>
      <c r="G159" s="3"/>
      <c r="H159" s="28"/>
      <c r="I159" s="82"/>
      <c r="J159" s="116"/>
      <c r="K159" s="125"/>
      <c r="L159" s="58"/>
      <c r="M159" s="58"/>
      <c r="N159" s="58"/>
      <c r="O159" s="58"/>
      <c r="P159" s="59"/>
      <c r="Q159" s="59"/>
      <c r="R159" s="59"/>
      <c r="S159" s="59"/>
      <c r="T159" s="59"/>
      <c r="U159" s="104"/>
      <c r="V159" s="130"/>
      <c r="X159" s="54"/>
      <c r="Y159" s="56"/>
      <c r="AA159" s="105"/>
      <c r="AB159" s="105"/>
      <c r="AC159" s="134"/>
    </row>
    <row r="160" spans="1:29" ht="15.75">
      <c r="A160" s="29"/>
      <c r="B160" s="3"/>
      <c r="C160" s="3"/>
      <c r="D160" s="3"/>
      <c r="E160" s="3"/>
      <c r="F160" s="3"/>
      <c r="G160" s="3"/>
      <c r="H160" s="28"/>
      <c r="I160" s="82"/>
      <c r="J160" s="116"/>
      <c r="K160" s="125"/>
      <c r="L160" s="58"/>
      <c r="M160" s="58"/>
      <c r="N160" s="58"/>
      <c r="O160" s="58"/>
      <c r="P160" s="59"/>
      <c r="Q160" s="59"/>
      <c r="R160" s="59"/>
      <c r="S160" s="59"/>
      <c r="T160" s="59"/>
      <c r="U160" s="104"/>
      <c r="V160" s="130"/>
      <c r="X160" s="54"/>
      <c r="Y160" s="56"/>
      <c r="AA160" s="105"/>
      <c r="AB160" s="105"/>
      <c r="AC160" s="134"/>
    </row>
    <row r="161" spans="1:29" ht="15.75">
      <c r="A161" s="29"/>
      <c r="B161" s="55"/>
      <c r="C161" s="55"/>
      <c r="D161" s="55"/>
      <c r="E161" s="55"/>
      <c r="F161" s="55"/>
      <c r="G161" s="55"/>
      <c r="H161" s="56"/>
      <c r="I161" s="82"/>
      <c r="J161" s="116"/>
      <c r="K161" s="125"/>
      <c r="L161" s="58"/>
      <c r="M161" s="58"/>
      <c r="N161" s="58"/>
      <c r="O161" s="58"/>
      <c r="P161" s="59"/>
      <c r="Q161" s="59"/>
      <c r="R161" s="59"/>
      <c r="S161" s="59"/>
      <c r="T161" s="59"/>
      <c r="U161" s="104"/>
      <c r="V161" s="130"/>
      <c r="X161" s="54"/>
      <c r="Y161" s="56"/>
      <c r="AA161" s="105"/>
      <c r="AB161" s="105"/>
      <c r="AC161" s="134"/>
    </row>
    <row r="162" spans="1:29" ht="15.75">
      <c r="A162" s="29"/>
      <c r="B162" s="55"/>
      <c r="C162" s="55"/>
      <c r="D162" s="55"/>
      <c r="E162" s="55"/>
      <c r="F162" s="55"/>
      <c r="G162" s="55"/>
      <c r="H162" s="56"/>
      <c r="I162" s="82"/>
      <c r="J162" s="116"/>
      <c r="K162" s="125"/>
      <c r="L162" s="58"/>
      <c r="M162" s="58"/>
      <c r="N162" s="58"/>
      <c r="O162" s="58"/>
      <c r="P162" s="59"/>
      <c r="Q162" s="59"/>
      <c r="R162" s="59"/>
      <c r="S162" s="59"/>
      <c r="T162" s="59"/>
      <c r="U162" s="104"/>
      <c r="V162" s="130"/>
      <c r="X162" s="54"/>
      <c r="Y162" s="56"/>
      <c r="AA162" s="105"/>
      <c r="AB162" s="105"/>
      <c r="AC162" s="134"/>
    </row>
    <row r="163" spans="1:29" ht="15.75">
      <c r="A163" s="29"/>
      <c r="B163" s="55"/>
      <c r="C163" s="55"/>
      <c r="D163" s="55"/>
      <c r="E163" s="55"/>
      <c r="F163" s="55"/>
      <c r="G163" s="55"/>
      <c r="H163" s="56"/>
      <c r="I163" s="82"/>
      <c r="J163" s="116"/>
      <c r="K163" s="125"/>
      <c r="L163" s="58"/>
      <c r="M163" s="58"/>
      <c r="N163" s="58"/>
      <c r="O163" s="58"/>
      <c r="P163" s="59"/>
      <c r="Q163" s="59"/>
      <c r="R163" s="59"/>
      <c r="S163" s="59"/>
      <c r="T163" s="59"/>
      <c r="U163" s="104"/>
      <c r="V163" s="130"/>
      <c r="X163" s="54"/>
      <c r="Y163" s="56"/>
      <c r="AA163" s="105"/>
      <c r="AB163" s="105"/>
      <c r="AC163" s="134"/>
    </row>
    <row r="164" spans="1:29" ht="15.75">
      <c r="A164" s="29"/>
      <c r="B164" s="55"/>
      <c r="C164" s="55"/>
      <c r="D164" s="55"/>
      <c r="E164" s="55"/>
      <c r="F164" s="55"/>
      <c r="G164" s="55"/>
      <c r="H164" s="56"/>
      <c r="I164" s="82"/>
      <c r="J164" s="116"/>
      <c r="K164" s="125"/>
      <c r="L164" s="58"/>
      <c r="M164" s="58"/>
      <c r="N164" s="58"/>
      <c r="O164" s="58"/>
      <c r="P164" s="59"/>
      <c r="Q164" s="59"/>
      <c r="R164" s="59"/>
      <c r="S164" s="59"/>
      <c r="T164" s="59"/>
      <c r="U164" s="104"/>
      <c r="V164" s="130"/>
      <c r="X164" s="54"/>
      <c r="Y164" s="56"/>
      <c r="AA164" s="105"/>
      <c r="AB164" s="105"/>
      <c r="AC164" s="134"/>
    </row>
    <row r="165" spans="1:29" ht="15.75">
      <c r="A165" s="29"/>
      <c r="B165" s="55"/>
      <c r="C165" s="55"/>
      <c r="D165" s="55"/>
      <c r="E165" s="55"/>
      <c r="F165" s="55"/>
      <c r="G165" s="55"/>
      <c r="H165" s="56"/>
      <c r="I165" s="82"/>
      <c r="J165" s="116"/>
      <c r="K165" s="125"/>
      <c r="L165" s="58"/>
      <c r="M165" s="58"/>
      <c r="N165" s="58"/>
      <c r="O165" s="58"/>
      <c r="P165" s="59"/>
      <c r="Q165" s="59"/>
      <c r="R165" s="59"/>
      <c r="S165" s="59"/>
      <c r="T165" s="59"/>
      <c r="U165" s="104"/>
      <c r="V165" s="130"/>
      <c r="X165" s="54"/>
      <c r="Y165" s="56"/>
      <c r="AA165" s="105"/>
      <c r="AB165" s="105"/>
      <c r="AC165" s="134"/>
    </row>
    <row r="166" spans="1:29" ht="15.75">
      <c r="A166" s="29"/>
      <c r="B166" s="55"/>
      <c r="C166" s="55"/>
      <c r="D166" s="55"/>
      <c r="E166" s="55"/>
      <c r="F166" s="55"/>
      <c r="G166" s="55"/>
      <c r="H166" s="56"/>
      <c r="I166" s="82"/>
      <c r="J166" s="116"/>
      <c r="K166" s="125"/>
      <c r="L166" s="58"/>
      <c r="M166" s="58"/>
      <c r="N166" s="58"/>
      <c r="O166" s="58"/>
      <c r="P166" s="59"/>
      <c r="Q166" s="59"/>
      <c r="R166" s="59"/>
      <c r="S166" s="59"/>
      <c r="T166" s="59"/>
      <c r="U166" s="104"/>
      <c r="V166" s="130"/>
      <c r="X166" s="54"/>
      <c r="Y166" s="56"/>
      <c r="AA166" s="105"/>
      <c r="AB166" s="105"/>
      <c r="AC166" s="134"/>
    </row>
    <row r="167" spans="1:29" ht="15.75">
      <c r="A167" s="29"/>
      <c r="B167" s="55"/>
      <c r="C167" s="55"/>
      <c r="D167" s="55"/>
      <c r="E167" s="55"/>
      <c r="F167" s="55"/>
      <c r="G167" s="55"/>
      <c r="H167" s="56"/>
      <c r="I167" s="82"/>
      <c r="J167" s="116"/>
      <c r="K167" s="125"/>
      <c r="L167" s="58"/>
      <c r="M167" s="58"/>
      <c r="N167" s="58"/>
      <c r="O167" s="58"/>
      <c r="P167" s="59"/>
      <c r="Q167" s="59"/>
      <c r="R167" s="59"/>
      <c r="S167" s="59"/>
      <c r="T167" s="59"/>
      <c r="U167" s="104"/>
      <c r="V167" s="130"/>
      <c r="X167" s="54"/>
      <c r="Y167" s="56"/>
      <c r="AA167" s="105"/>
      <c r="AB167" s="105"/>
      <c r="AC167" s="134"/>
    </row>
    <row r="168" spans="1:29" ht="15.75">
      <c r="A168" s="29"/>
      <c r="B168" s="55"/>
      <c r="C168" s="55"/>
      <c r="D168" s="55"/>
      <c r="E168" s="55"/>
      <c r="F168" s="55"/>
      <c r="G168" s="55"/>
      <c r="H168" s="56"/>
      <c r="I168" s="82"/>
      <c r="J168" s="116"/>
      <c r="K168" s="125"/>
      <c r="L168" s="58"/>
      <c r="M168" s="58"/>
      <c r="N168" s="58"/>
      <c r="O168" s="58"/>
      <c r="P168" s="59"/>
      <c r="Q168" s="59"/>
      <c r="R168" s="59"/>
      <c r="S168" s="59"/>
      <c r="T168" s="59"/>
      <c r="U168" s="104"/>
      <c r="V168" s="130"/>
      <c r="X168" s="54"/>
      <c r="Y168" s="56"/>
      <c r="AA168" s="105"/>
      <c r="AB168" s="105"/>
      <c r="AC168" s="134"/>
    </row>
    <row r="169" spans="1:29" ht="15.75">
      <c r="A169" s="29"/>
      <c r="B169" s="55"/>
      <c r="C169" s="55"/>
      <c r="D169" s="55"/>
      <c r="E169" s="55"/>
      <c r="F169" s="55"/>
      <c r="G169" s="55"/>
      <c r="H169" s="56"/>
      <c r="I169" s="82"/>
      <c r="J169" s="116"/>
      <c r="K169" s="125"/>
      <c r="L169" s="58"/>
      <c r="M169" s="58"/>
      <c r="N169" s="58"/>
      <c r="O169" s="58"/>
      <c r="P169" s="59"/>
      <c r="Q169" s="59"/>
      <c r="R169" s="59"/>
      <c r="S169" s="59"/>
      <c r="T169" s="59"/>
      <c r="U169" s="104"/>
      <c r="V169" s="130"/>
      <c r="X169" s="54"/>
      <c r="Y169" s="56"/>
      <c r="AA169" s="105"/>
      <c r="AB169" s="105"/>
      <c r="AC169" s="134"/>
    </row>
    <row r="170" spans="1:29" ht="15.75">
      <c r="A170" s="29"/>
      <c r="B170" s="55"/>
      <c r="C170" s="55"/>
      <c r="D170" s="55"/>
      <c r="E170" s="55"/>
      <c r="F170" s="55"/>
      <c r="G170" s="55"/>
      <c r="H170" s="56"/>
      <c r="I170" s="82"/>
      <c r="J170" s="116"/>
      <c r="K170" s="125"/>
      <c r="L170" s="58"/>
      <c r="M170" s="58"/>
      <c r="N170" s="58"/>
      <c r="O170" s="58"/>
      <c r="P170" s="59"/>
      <c r="Q170" s="59"/>
      <c r="R170" s="59"/>
      <c r="S170" s="59"/>
      <c r="T170" s="59"/>
      <c r="U170" s="104"/>
      <c r="V170" s="130"/>
      <c r="X170" s="54"/>
      <c r="Y170" s="56"/>
      <c r="AA170" s="105"/>
      <c r="AB170" s="105"/>
      <c r="AC170" s="134"/>
    </row>
    <row r="171" spans="1:29" ht="15.75">
      <c r="A171" s="29"/>
      <c r="B171" s="55"/>
      <c r="C171" s="55"/>
      <c r="D171" s="55"/>
      <c r="E171" s="55"/>
      <c r="F171" s="55"/>
      <c r="G171" s="55"/>
      <c r="H171" s="56"/>
      <c r="I171" s="82"/>
      <c r="J171" s="116"/>
      <c r="K171" s="125"/>
      <c r="L171" s="58"/>
      <c r="M171" s="58"/>
      <c r="N171" s="58"/>
      <c r="O171" s="58"/>
      <c r="P171" s="59"/>
      <c r="Q171" s="59"/>
      <c r="R171" s="59"/>
      <c r="S171" s="59"/>
      <c r="T171" s="59"/>
      <c r="U171" s="104"/>
      <c r="V171" s="130"/>
      <c r="X171" s="54"/>
      <c r="Y171" s="56"/>
      <c r="AA171" s="105"/>
      <c r="AB171" s="105"/>
      <c r="AC171" s="134"/>
    </row>
    <row r="172" spans="1:29" ht="15.75">
      <c r="A172" s="29"/>
      <c r="B172" s="55"/>
      <c r="C172" s="55"/>
      <c r="D172" s="55"/>
      <c r="E172" s="55"/>
      <c r="F172" s="55"/>
      <c r="G172" s="55"/>
      <c r="H172" s="56"/>
      <c r="I172" s="82"/>
      <c r="J172" s="116"/>
      <c r="K172" s="125"/>
      <c r="L172" s="58"/>
      <c r="M172" s="58"/>
      <c r="N172" s="58"/>
      <c r="O172" s="58"/>
      <c r="P172" s="59"/>
      <c r="Q172" s="59"/>
      <c r="R172" s="59"/>
      <c r="S172" s="59"/>
      <c r="T172" s="59"/>
      <c r="U172" s="104"/>
      <c r="V172" s="130"/>
      <c r="X172" s="54"/>
      <c r="Y172" s="56"/>
      <c r="AA172" s="105"/>
      <c r="AB172" s="105"/>
      <c r="AC172" s="134"/>
    </row>
    <row r="173" spans="1:29" ht="15.75">
      <c r="A173" s="29"/>
      <c r="B173" s="55"/>
      <c r="C173" s="55"/>
      <c r="D173" s="55"/>
      <c r="E173" s="55"/>
      <c r="F173" s="55"/>
      <c r="G173" s="55"/>
      <c r="H173" s="56"/>
      <c r="I173" s="82"/>
      <c r="J173" s="116"/>
      <c r="K173" s="125"/>
      <c r="L173" s="58"/>
      <c r="M173" s="58"/>
      <c r="N173" s="58"/>
      <c r="O173" s="58"/>
      <c r="P173" s="59"/>
      <c r="Q173" s="59"/>
      <c r="R173" s="59"/>
      <c r="S173" s="59"/>
      <c r="T173" s="59"/>
      <c r="U173" s="104"/>
      <c r="V173" s="130"/>
      <c r="X173" s="54"/>
      <c r="Y173" s="56"/>
      <c r="AA173" s="105"/>
      <c r="AB173" s="105"/>
      <c r="AC173" s="134"/>
    </row>
    <row r="174" spans="1:29" ht="15.75">
      <c r="A174" s="29"/>
      <c r="B174" s="55"/>
      <c r="C174" s="55"/>
      <c r="D174" s="55"/>
      <c r="E174" s="55"/>
      <c r="F174" s="55"/>
      <c r="G174" s="55"/>
      <c r="H174" s="56"/>
      <c r="I174" s="82"/>
      <c r="J174" s="116"/>
      <c r="K174" s="125"/>
      <c r="L174" s="58"/>
      <c r="M174" s="58"/>
      <c r="N174" s="58"/>
      <c r="O174" s="58"/>
      <c r="P174" s="59"/>
      <c r="Q174" s="59"/>
      <c r="R174" s="59"/>
      <c r="S174" s="59"/>
      <c r="T174" s="59"/>
      <c r="U174" s="104"/>
      <c r="V174" s="130"/>
      <c r="X174" s="54"/>
      <c r="Y174" s="56"/>
      <c r="AA174" s="105"/>
      <c r="AB174" s="105"/>
      <c r="AC174" s="134"/>
    </row>
    <row r="175" spans="1:29" ht="15.75">
      <c r="A175" s="29"/>
      <c r="B175" s="55"/>
      <c r="C175" s="55"/>
      <c r="D175" s="55"/>
      <c r="E175" s="55"/>
      <c r="F175" s="55"/>
      <c r="G175" s="55"/>
      <c r="H175" s="56"/>
      <c r="I175" s="82"/>
      <c r="J175" s="116"/>
      <c r="K175" s="125"/>
      <c r="L175" s="58"/>
      <c r="M175" s="58"/>
      <c r="N175" s="58"/>
      <c r="O175" s="58"/>
      <c r="P175" s="59"/>
      <c r="Q175" s="59"/>
      <c r="R175" s="59"/>
      <c r="S175" s="59"/>
      <c r="T175" s="59"/>
      <c r="U175" s="104"/>
      <c r="V175" s="130"/>
      <c r="X175" s="54"/>
      <c r="Y175" s="56"/>
      <c r="AA175" s="105"/>
      <c r="AB175" s="105"/>
      <c r="AC175" s="134"/>
    </row>
    <row r="176" spans="1:29" ht="15.75">
      <c r="A176" s="29"/>
      <c r="B176" s="55"/>
      <c r="C176" s="55"/>
      <c r="D176" s="55"/>
      <c r="E176" s="55"/>
      <c r="F176" s="55"/>
      <c r="G176" s="55"/>
      <c r="H176" s="56"/>
      <c r="I176" s="82"/>
      <c r="J176" s="116"/>
      <c r="K176" s="125"/>
      <c r="L176" s="58"/>
      <c r="M176" s="58"/>
      <c r="N176" s="58"/>
      <c r="O176" s="58"/>
      <c r="P176" s="59"/>
      <c r="Q176" s="59"/>
      <c r="R176" s="59"/>
      <c r="S176" s="59"/>
      <c r="T176" s="59"/>
      <c r="U176" s="104"/>
      <c r="V176" s="130"/>
      <c r="X176" s="54"/>
      <c r="Y176" s="56"/>
      <c r="AA176" s="105"/>
      <c r="AB176" s="105"/>
      <c r="AC176" s="134"/>
    </row>
    <row r="177" spans="1:29" ht="15.75">
      <c r="A177" s="29"/>
      <c r="B177" s="55"/>
      <c r="C177" s="55"/>
      <c r="D177" s="55"/>
      <c r="E177" s="55"/>
      <c r="F177" s="55"/>
      <c r="G177" s="55"/>
      <c r="H177" s="56"/>
      <c r="I177" s="82"/>
      <c r="J177" s="116"/>
      <c r="K177" s="125"/>
      <c r="L177" s="58"/>
      <c r="M177" s="58"/>
      <c r="N177" s="58"/>
      <c r="O177" s="58"/>
      <c r="P177" s="59"/>
      <c r="Q177" s="59"/>
      <c r="R177" s="59"/>
      <c r="S177" s="59"/>
      <c r="T177" s="59"/>
      <c r="U177" s="104"/>
      <c r="V177" s="130"/>
      <c r="X177" s="54"/>
      <c r="Y177" s="56"/>
      <c r="AA177" s="105"/>
      <c r="AB177" s="105"/>
      <c r="AC177" s="134"/>
    </row>
    <row r="178" spans="1:29" ht="15.75">
      <c r="A178" s="29"/>
      <c r="B178" s="55"/>
      <c r="C178" s="55"/>
      <c r="D178" s="55"/>
      <c r="E178" s="55"/>
      <c r="F178" s="55"/>
      <c r="G178" s="55"/>
      <c r="H178" s="56"/>
      <c r="I178" s="82"/>
      <c r="J178" s="116"/>
      <c r="K178" s="125"/>
      <c r="L178" s="58"/>
      <c r="M178" s="58"/>
      <c r="N178" s="58"/>
      <c r="O178" s="58"/>
      <c r="P178" s="59"/>
      <c r="Q178" s="59"/>
      <c r="R178" s="59"/>
      <c r="S178" s="59"/>
      <c r="T178" s="59"/>
      <c r="U178" s="104"/>
      <c r="V178" s="130"/>
      <c r="X178" s="54"/>
      <c r="Y178" s="56"/>
      <c r="AA178" s="105"/>
      <c r="AB178" s="105"/>
      <c r="AC178" s="134"/>
    </row>
    <row r="179" spans="1:29" ht="15.75">
      <c r="A179" s="29"/>
      <c r="B179" s="55"/>
      <c r="C179" s="55"/>
      <c r="D179" s="55"/>
      <c r="E179" s="55"/>
      <c r="F179" s="55"/>
      <c r="G179" s="55"/>
      <c r="H179" s="56"/>
      <c r="I179" s="82"/>
      <c r="J179" s="116"/>
      <c r="K179" s="125"/>
      <c r="L179" s="58"/>
      <c r="M179" s="58"/>
      <c r="N179" s="58"/>
      <c r="O179" s="58"/>
      <c r="P179" s="59"/>
      <c r="Q179" s="59"/>
      <c r="R179" s="59"/>
      <c r="S179" s="59"/>
      <c r="T179" s="59"/>
      <c r="U179" s="104"/>
      <c r="V179" s="130"/>
      <c r="X179" s="54"/>
      <c r="Y179" s="56"/>
      <c r="AA179" s="105"/>
      <c r="AB179" s="105"/>
      <c r="AC179" s="134"/>
    </row>
    <row r="180" spans="1:29" ht="15.75">
      <c r="A180" s="29"/>
      <c r="B180" s="55"/>
      <c r="C180" s="55"/>
      <c r="D180" s="55"/>
      <c r="E180" s="55"/>
      <c r="F180" s="55"/>
      <c r="G180" s="55"/>
      <c r="H180" s="56"/>
      <c r="I180" s="82"/>
      <c r="J180" s="116"/>
      <c r="K180" s="125"/>
      <c r="L180" s="58"/>
      <c r="M180" s="58"/>
      <c r="N180" s="58"/>
      <c r="O180" s="58"/>
      <c r="P180" s="59"/>
      <c r="Q180" s="59"/>
      <c r="R180" s="59"/>
      <c r="S180" s="59"/>
      <c r="T180" s="59"/>
      <c r="U180" s="104"/>
      <c r="V180" s="130"/>
      <c r="X180" s="54"/>
      <c r="Y180" s="56"/>
      <c r="AA180" s="105"/>
      <c r="AB180" s="105"/>
      <c r="AC180" s="134"/>
    </row>
    <row r="181" spans="1:29" ht="15.75">
      <c r="A181" s="29"/>
      <c r="B181" s="55"/>
      <c r="C181" s="55"/>
      <c r="D181" s="55"/>
      <c r="E181" s="55"/>
      <c r="F181" s="55"/>
      <c r="G181" s="55"/>
      <c r="H181" s="56"/>
      <c r="I181" s="82"/>
      <c r="J181" s="116"/>
      <c r="K181" s="125"/>
      <c r="L181" s="58"/>
      <c r="M181" s="58"/>
      <c r="N181" s="58"/>
      <c r="O181" s="58"/>
      <c r="P181" s="59"/>
      <c r="Q181" s="59"/>
      <c r="R181" s="59"/>
      <c r="S181" s="59"/>
      <c r="T181" s="59"/>
      <c r="U181" s="104"/>
      <c r="V181" s="130"/>
      <c r="X181" s="54"/>
      <c r="Y181" s="56"/>
      <c r="AA181" s="105"/>
      <c r="AB181" s="105"/>
      <c r="AC181" s="134"/>
    </row>
    <row r="182" spans="1:29" ht="15.75">
      <c r="A182" s="29"/>
      <c r="B182" s="55"/>
      <c r="C182" s="55"/>
      <c r="D182" s="55"/>
      <c r="E182" s="55"/>
      <c r="F182" s="55"/>
      <c r="G182" s="55"/>
      <c r="H182" s="56"/>
      <c r="I182" s="82"/>
      <c r="J182" s="116"/>
      <c r="K182" s="125"/>
      <c r="L182" s="58"/>
      <c r="M182" s="58"/>
      <c r="N182" s="58"/>
      <c r="O182" s="58"/>
      <c r="P182" s="59"/>
      <c r="Q182" s="59"/>
      <c r="R182" s="59"/>
      <c r="S182" s="59"/>
      <c r="T182" s="59"/>
      <c r="U182" s="104"/>
      <c r="V182" s="130"/>
      <c r="X182" s="54"/>
      <c r="Y182" s="56"/>
      <c r="AA182" s="105"/>
      <c r="AB182" s="105"/>
      <c r="AC182" s="134"/>
    </row>
    <row r="183" spans="1:29" ht="15.75">
      <c r="A183" s="29"/>
      <c r="B183" s="55"/>
      <c r="C183" s="55"/>
      <c r="D183" s="55"/>
      <c r="E183" s="55"/>
      <c r="F183" s="55"/>
      <c r="G183" s="55"/>
      <c r="H183" s="56"/>
      <c r="I183" s="82"/>
      <c r="J183" s="116"/>
      <c r="K183" s="125"/>
      <c r="L183" s="58"/>
      <c r="M183" s="58"/>
      <c r="N183" s="58"/>
      <c r="O183" s="58"/>
      <c r="P183" s="59"/>
      <c r="Q183" s="59"/>
      <c r="R183" s="59"/>
      <c r="S183" s="59"/>
      <c r="T183" s="59"/>
      <c r="U183" s="104"/>
      <c r="V183" s="130"/>
      <c r="X183" s="54"/>
      <c r="Y183" s="56"/>
      <c r="AA183" s="105"/>
      <c r="AB183" s="105"/>
      <c r="AC183" s="134"/>
    </row>
    <row r="184" spans="1:29" ht="15.75">
      <c r="A184" s="29"/>
      <c r="B184" s="55"/>
      <c r="C184" s="55"/>
      <c r="D184" s="55"/>
      <c r="E184" s="55"/>
      <c r="F184" s="55"/>
      <c r="G184" s="55"/>
      <c r="H184" s="56"/>
      <c r="I184" s="82"/>
      <c r="J184" s="116"/>
      <c r="K184" s="125"/>
      <c r="L184" s="58"/>
      <c r="M184" s="58"/>
      <c r="N184" s="58"/>
      <c r="O184" s="58"/>
      <c r="P184" s="59"/>
      <c r="Q184" s="59"/>
      <c r="R184" s="59"/>
      <c r="S184" s="59"/>
      <c r="T184" s="59"/>
      <c r="U184" s="104"/>
      <c r="V184" s="130"/>
      <c r="X184" s="54"/>
      <c r="Y184" s="56"/>
      <c r="AA184" s="105"/>
      <c r="AB184" s="105"/>
      <c r="AC184" s="134"/>
    </row>
    <row r="185" spans="1:29" ht="15.75">
      <c r="A185" s="29"/>
      <c r="B185" s="55"/>
      <c r="C185" s="55"/>
      <c r="D185" s="55"/>
      <c r="E185" s="55"/>
      <c r="F185" s="55"/>
      <c r="G185" s="55"/>
      <c r="H185" s="56"/>
      <c r="I185" s="82"/>
      <c r="J185" s="116"/>
      <c r="K185" s="125"/>
      <c r="L185" s="58"/>
      <c r="M185" s="58"/>
      <c r="N185" s="58"/>
      <c r="O185" s="58"/>
      <c r="P185" s="59"/>
      <c r="Q185" s="59"/>
      <c r="R185" s="59"/>
      <c r="S185" s="59"/>
      <c r="T185" s="59"/>
      <c r="U185" s="104"/>
      <c r="V185" s="130"/>
      <c r="X185" s="54"/>
      <c r="Y185" s="56"/>
      <c r="AA185" s="105"/>
      <c r="AB185" s="105"/>
      <c r="AC185" s="134"/>
    </row>
    <row r="186" spans="1:29" ht="15.75">
      <c r="A186" s="29"/>
      <c r="B186" s="55"/>
      <c r="C186" s="55"/>
      <c r="D186" s="55"/>
      <c r="E186" s="55"/>
      <c r="F186" s="55"/>
      <c r="G186" s="55"/>
      <c r="H186" s="56"/>
      <c r="I186" s="82"/>
      <c r="J186" s="116"/>
      <c r="K186" s="125"/>
      <c r="L186" s="58"/>
      <c r="M186" s="58"/>
      <c r="N186" s="58"/>
      <c r="O186" s="58"/>
      <c r="P186" s="59"/>
      <c r="Q186" s="59"/>
      <c r="R186" s="59"/>
      <c r="S186" s="59"/>
      <c r="T186" s="59"/>
      <c r="U186" s="104"/>
      <c r="V186" s="130"/>
      <c r="X186" s="54"/>
      <c r="Y186" s="56"/>
      <c r="AA186" s="105"/>
      <c r="AB186" s="105"/>
      <c r="AC186" s="134"/>
    </row>
    <row r="187" spans="1:29" ht="15.75">
      <c r="A187" s="29"/>
      <c r="B187" s="55"/>
      <c r="C187" s="55"/>
      <c r="D187" s="55"/>
      <c r="E187" s="55"/>
      <c r="F187" s="55"/>
      <c r="G187" s="55"/>
      <c r="H187" s="56"/>
      <c r="I187" s="82"/>
      <c r="J187" s="116"/>
      <c r="K187" s="125"/>
      <c r="L187" s="58"/>
      <c r="M187" s="58"/>
      <c r="N187" s="58"/>
      <c r="O187" s="58"/>
      <c r="P187" s="59"/>
      <c r="Q187" s="59"/>
      <c r="R187" s="59"/>
      <c r="S187" s="59"/>
      <c r="T187" s="59"/>
      <c r="U187" s="104"/>
      <c r="V187" s="130"/>
      <c r="X187" s="54"/>
      <c r="Y187" s="56"/>
      <c r="AA187" s="105"/>
      <c r="AB187" s="105"/>
      <c r="AC187" s="134"/>
    </row>
    <row r="188" spans="1:29" ht="15.75">
      <c r="A188" s="29"/>
      <c r="B188" s="55"/>
      <c r="C188" s="55"/>
      <c r="D188" s="55"/>
      <c r="E188" s="55"/>
      <c r="F188" s="55"/>
      <c r="G188" s="55"/>
      <c r="H188" s="56"/>
      <c r="I188" s="82"/>
      <c r="J188" s="116"/>
      <c r="K188" s="125"/>
      <c r="L188" s="58"/>
      <c r="M188" s="58"/>
      <c r="N188" s="58"/>
      <c r="O188" s="58"/>
      <c r="P188" s="59"/>
      <c r="Q188" s="59"/>
      <c r="R188" s="59"/>
      <c r="S188" s="59"/>
      <c r="T188" s="59"/>
      <c r="U188" s="104"/>
      <c r="V188" s="130"/>
      <c r="X188" s="54"/>
      <c r="Y188" s="56"/>
      <c r="AA188" s="105"/>
      <c r="AB188" s="105"/>
      <c r="AC188" s="134"/>
    </row>
    <row r="189" spans="1:29" ht="15.75">
      <c r="A189" s="29"/>
      <c r="B189" s="55"/>
      <c r="C189" s="55"/>
      <c r="D189" s="55"/>
      <c r="E189" s="55"/>
      <c r="F189" s="55"/>
      <c r="G189" s="55"/>
      <c r="H189" s="56"/>
      <c r="I189" s="82"/>
      <c r="J189" s="116"/>
      <c r="K189" s="125"/>
      <c r="L189" s="58"/>
      <c r="M189" s="58"/>
      <c r="N189" s="58"/>
      <c r="O189" s="58"/>
      <c r="P189" s="59"/>
      <c r="Q189" s="59"/>
      <c r="R189" s="59"/>
      <c r="S189" s="59"/>
      <c r="T189" s="59"/>
      <c r="U189" s="104"/>
      <c r="V189" s="130"/>
      <c r="X189" s="54"/>
      <c r="Y189" s="56"/>
      <c r="AA189" s="105"/>
      <c r="AB189" s="105"/>
      <c r="AC189" s="134"/>
    </row>
    <row r="190" spans="1:29" ht="15.75">
      <c r="A190" s="29"/>
      <c r="B190" s="55"/>
      <c r="C190" s="55"/>
      <c r="D190" s="55"/>
      <c r="E190" s="55"/>
      <c r="F190" s="55"/>
      <c r="G190" s="55"/>
      <c r="H190" s="56"/>
      <c r="I190" s="82"/>
      <c r="J190" s="116"/>
      <c r="K190" s="125"/>
      <c r="L190" s="58"/>
      <c r="M190" s="58"/>
      <c r="N190" s="58"/>
      <c r="O190" s="58"/>
      <c r="P190" s="59"/>
      <c r="Q190" s="59"/>
      <c r="R190" s="59"/>
      <c r="S190" s="59"/>
      <c r="T190" s="59"/>
      <c r="U190" s="104"/>
      <c r="V190" s="130"/>
      <c r="X190" s="54"/>
      <c r="Y190" s="56"/>
      <c r="AA190" s="105"/>
      <c r="AB190" s="105"/>
      <c r="AC190" s="134"/>
    </row>
    <row r="191" spans="1:29" ht="15.75">
      <c r="A191" s="29"/>
      <c r="B191" s="55"/>
      <c r="C191" s="55"/>
      <c r="D191" s="55"/>
      <c r="E191" s="55"/>
      <c r="F191" s="55"/>
      <c r="G191" s="55"/>
      <c r="H191" s="56"/>
      <c r="I191" s="82"/>
      <c r="J191" s="116"/>
      <c r="K191" s="125"/>
      <c r="L191" s="58"/>
      <c r="M191" s="58"/>
      <c r="N191" s="58"/>
      <c r="O191" s="58"/>
      <c r="P191" s="59"/>
      <c r="Q191" s="59"/>
      <c r="R191" s="59"/>
      <c r="S191" s="59"/>
      <c r="T191" s="59"/>
      <c r="U191" s="104"/>
      <c r="V191" s="130"/>
      <c r="X191" s="54"/>
      <c r="Y191" s="56"/>
      <c r="AA191" s="105"/>
      <c r="AB191" s="105"/>
      <c r="AC191" s="134"/>
    </row>
    <row r="192" spans="1:29" ht="15.75">
      <c r="A192" s="29"/>
      <c r="B192" s="55"/>
      <c r="C192" s="55"/>
      <c r="D192" s="55"/>
      <c r="E192" s="55"/>
      <c r="F192" s="55"/>
      <c r="G192" s="55"/>
      <c r="H192" s="56"/>
      <c r="I192" s="82"/>
      <c r="J192" s="116"/>
      <c r="K192" s="125"/>
      <c r="L192" s="58"/>
      <c r="M192" s="58"/>
      <c r="N192" s="58"/>
      <c r="O192" s="58"/>
      <c r="P192" s="59"/>
      <c r="Q192" s="59"/>
      <c r="R192" s="59"/>
      <c r="S192" s="59"/>
      <c r="T192" s="59"/>
      <c r="U192" s="104"/>
      <c r="V192" s="130"/>
      <c r="X192" s="54"/>
      <c r="Y192" s="56"/>
      <c r="AA192" s="105"/>
      <c r="AB192" s="105"/>
      <c r="AC192" s="134"/>
    </row>
    <row r="193" spans="1:29" ht="15.75">
      <c r="A193" s="29"/>
      <c r="B193" s="55"/>
      <c r="C193" s="55"/>
      <c r="D193" s="55"/>
      <c r="E193" s="55"/>
      <c r="F193" s="55"/>
      <c r="G193" s="55"/>
      <c r="H193" s="56"/>
      <c r="I193" s="82"/>
      <c r="J193" s="116"/>
      <c r="K193" s="125"/>
      <c r="L193" s="58"/>
      <c r="M193" s="58"/>
      <c r="N193" s="58"/>
      <c r="O193" s="58"/>
      <c r="P193" s="59"/>
      <c r="Q193" s="59"/>
      <c r="R193" s="59"/>
      <c r="S193" s="59"/>
      <c r="T193" s="59"/>
      <c r="U193" s="104"/>
      <c r="V193" s="130"/>
      <c r="X193" s="54"/>
      <c r="Y193" s="56"/>
      <c r="AA193" s="105"/>
      <c r="AB193" s="105"/>
      <c r="AC193" s="134"/>
    </row>
    <row r="194" spans="1:29" ht="15.75">
      <c r="A194" s="29"/>
      <c r="B194" s="55"/>
      <c r="C194" s="55"/>
      <c r="D194" s="55"/>
      <c r="E194" s="55"/>
      <c r="F194" s="55"/>
      <c r="G194" s="55"/>
      <c r="H194" s="56"/>
      <c r="I194" s="82"/>
      <c r="J194" s="116"/>
      <c r="K194" s="125"/>
      <c r="L194" s="58"/>
      <c r="M194" s="58"/>
      <c r="N194" s="58"/>
      <c r="O194" s="58"/>
      <c r="P194" s="59"/>
      <c r="Q194" s="59"/>
      <c r="R194" s="59"/>
      <c r="S194" s="59"/>
      <c r="T194" s="59"/>
      <c r="U194" s="104"/>
      <c r="V194" s="130"/>
      <c r="X194" s="54"/>
      <c r="Y194" s="56"/>
      <c r="AA194" s="105"/>
      <c r="AB194" s="105"/>
      <c r="AC194" s="134"/>
    </row>
    <row r="195" spans="1:29" ht="15.75">
      <c r="A195" s="29"/>
      <c r="B195" s="55"/>
      <c r="C195" s="55"/>
      <c r="D195" s="55"/>
      <c r="E195" s="55"/>
      <c r="F195" s="55"/>
      <c r="G195" s="55"/>
      <c r="H195" s="56"/>
      <c r="I195" s="82"/>
      <c r="J195" s="116"/>
      <c r="K195" s="125"/>
      <c r="L195" s="58"/>
      <c r="M195" s="58"/>
      <c r="N195" s="58"/>
      <c r="O195" s="58"/>
      <c r="P195" s="59"/>
      <c r="Q195" s="59"/>
      <c r="R195" s="59"/>
      <c r="S195" s="59"/>
      <c r="T195" s="59"/>
      <c r="U195" s="104"/>
      <c r="V195" s="130"/>
      <c r="X195" s="54"/>
      <c r="Y195" s="56"/>
      <c r="AA195" s="105"/>
      <c r="AB195" s="105"/>
      <c r="AC195" s="134"/>
    </row>
    <row r="196" spans="1:29" ht="15.75">
      <c r="A196" s="29"/>
      <c r="B196" s="55"/>
      <c r="C196" s="55"/>
      <c r="D196" s="55"/>
      <c r="E196" s="55"/>
      <c r="F196" s="55"/>
      <c r="G196" s="55"/>
      <c r="H196" s="56"/>
      <c r="I196" s="82"/>
      <c r="J196" s="116"/>
      <c r="K196" s="125"/>
      <c r="L196" s="58"/>
      <c r="M196" s="58"/>
      <c r="N196" s="58"/>
      <c r="O196" s="58"/>
      <c r="P196" s="59"/>
      <c r="Q196" s="59"/>
      <c r="R196" s="59"/>
      <c r="S196" s="59"/>
      <c r="T196" s="59"/>
      <c r="U196" s="104"/>
      <c r="V196" s="130"/>
      <c r="X196" s="54"/>
      <c r="Y196" s="56"/>
      <c r="AA196" s="105"/>
      <c r="AB196" s="105"/>
      <c r="AC196" s="134"/>
    </row>
    <row r="197" spans="1:29" ht="15.75">
      <c r="A197" s="29"/>
      <c r="B197" s="55"/>
      <c r="C197" s="55"/>
      <c r="D197" s="55"/>
      <c r="E197" s="55"/>
      <c r="F197" s="55"/>
      <c r="G197" s="55"/>
      <c r="H197" s="56"/>
      <c r="I197" s="82"/>
      <c r="J197" s="116"/>
      <c r="K197" s="125"/>
      <c r="L197" s="58"/>
      <c r="M197" s="58"/>
      <c r="N197" s="58"/>
      <c r="O197" s="58"/>
      <c r="P197" s="59"/>
      <c r="Q197" s="59"/>
      <c r="R197" s="59"/>
      <c r="S197" s="59"/>
      <c r="T197" s="59"/>
      <c r="U197" s="104"/>
      <c r="V197" s="130"/>
      <c r="X197" s="54"/>
      <c r="Y197" s="56"/>
      <c r="AA197" s="105"/>
      <c r="AB197" s="105"/>
      <c r="AC197" s="134"/>
    </row>
    <row r="198" spans="1:29" ht="15.75">
      <c r="A198" s="29"/>
      <c r="B198" s="55"/>
      <c r="C198" s="55"/>
      <c r="D198" s="55"/>
      <c r="E198" s="55"/>
      <c r="F198" s="55"/>
      <c r="G198" s="55"/>
      <c r="H198" s="56"/>
      <c r="I198" s="82"/>
      <c r="J198" s="116"/>
      <c r="K198" s="125"/>
      <c r="L198" s="58"/>
      <c r="M198" s="58"/>
      <c r="N198" s="58"/>
      <c r="O198" s="58"/>
      <c r="P198" s="59"/>
      <c r="Q198" s="59"/>
      <c r="R198" s="59"/>
      <c r="S198" s="59"/>
      <c r="T198" s="59"/>
      <c r="U198" s="104"/>
      <c r="V198" s="130"/>
      <c r="X198" s="54"/>
      <c r="Y198" s="56"/>
      <c r="AA198" s="105"/>
      <c r="AB198" s="105"/>
      <c r="AC198" s="134"/>
    </row>
    <row r="199" spans="1:29" ht="15.75">
      <c r="A199" s="29"/>
      <c r="B199" s="55"/>
      <c r="C199" s="55"/>
      <c r="D199" s="55"/>
      <c r="E199" s="55"/>
      <c r="F199" s="55"/>
      <c r="G199" s="55"/>
      <c r="H199" s="56"/>
      <c r="I199" s="82"/>
      <c r="J199" s="116"/>
      <c r="K199" s="125"/>
      <c r="L199" s="58"/>
      <c r="M199" s="58"/>
      <c r="N199" s="58"/>
      <c r="O199" s="58"/>
      <c r="P199" s="59"/>
      <c r="Q199" s="59"/>
      <c r="R199" s="59"/>
      <c r="S199" s="59"/>
      <c r="T199" s="59"/>
      <c r="U199" s="104"/>
      <c r="V199" s="130"/>
      <c r="X199" s="54"/>
      <c r="Y199" s="56"/>
      <c r="AA199" s="105"/>
      <c r="AB199" s="105"/>
      <c r="AC199" s="134"/>
    </row>
    <row r="200" spans="1:29" ht="15.75">
      <c r="A200" s="29"/>
      <c r="B200" s="55"/>
      <c r="C200" s="55"/>
      <c r="D200" s="55"/>
      <c r="E200" s="55"/>
      <c r="F200" s="55"/>
      <c r="G200" s="55"/>
      <c r="H200" s="56"/>
      <c r="I200" s="82"/>
      <c r="J200" s="116"/>
      <c r="K200" s="125"/>
      <c r="L200" s="58"/>
      <c r="M200" s="58"/>
      <c r="N200" s="58"/>
      <c r="O200" s="58"/>
      <c r="P200" s="59"/>
      <c r="Q200" s="59"/>
      <c r="R200" s="59"/>
      <c r="S200" s="59"/>
      <c r="T200" s="59"/>
      <c r="U200" s="104"/>
      <c r="V200" s="130"/>
      <c r="X200" s="54"/>
      <c r="Y200" s="56"/>
      <c r="AA200" s="105"/>
      <c r="AB200" s="105"/>
      <c r="AC200" s="134"/>
    </row>
    <row r="201" spans="1:29" ht="15.75">
      <c r="A201" s="29"/>
      <c r="B201" s="55"/>
      <c r="C201" s="55"/>
      <c r="D201" s="55"/>
      <c r="E201" s="55"/>
      <c r="F201" s="55"/>
      <c r="G201" s="55"/>
      <c r="H201" s="56"/>
      <c r="I201" s="82"/>
      <c r="J201" s="116"/>
      <c r="K201" s="125"/>
      <c r="L201" s="58"/>
      <c r="M201" s="58"/>
      <c r="N201" s="58"/>
      <c r="O201" s="58"/>
      <c r="P201" s="59"/>
      <c r="Q201" s="59"/>
      <c r="R201" s="59"/>
      <c r="S201" s="59"/>
      <c r="T201" s="59"/>
      <c r="U201" s="104"/>
      <c r="V201" s="130"/>
      <c r="X201" s="54"/>
      <c r="Y201" s="56"/>
      <c r="AA201" s="105"/>
      <c r="AB201" s="105"/>
      <c r="AC201" s="134"/>
    </row>
    <row r="202" spans="1:29" ht="16.5" thickBot="1">
      <c r="A202" s="30"/>
      <c r="B202" s="31"/>
      <c r="C202" s="31"/>
      <c r="D202" s="31"/>
      <c r="E202" s="31"/>
      <c r="F202" s="31"/>
      <c r="G202" s="31"/>
      <c r="H202" s="32"/>
      <c r="I202" s="82"/>
      <c r="J202" s="126"/>
      <c r="K202" s="127"/>
      <c r="L202" s="50"/>
      <c r="M202" s="50"/>
      <c r="N202" s="50"/>
      <c r="O202" s="50"/>
      <c r="P202" s="51"/>
      <c r="Q202" s="51"/>
      <c r="R202" s="51"/>
      <c r="S202" s="51"/>
      <c r="T202" s="51"/>
      <c r="U202" s="52"/>
      <c r="V202" s="131"/>
      <c r="X202" s="30"/>
      <c r="Y202" s="32"/>
      <c r="AA202" s="62"/>
      <c r="AB202" s="62"/>
      <c r="AC202" s="135"/>
    </row>
  </sheetData>
  <autoFilter ref="A2:AD146" xr:uid="{969E45CB-FC1E-4835-BA2F-DA99948549B1}"/>
  <mergeCells count="1">
    <mergeCell ref="AA1:AB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2408-727A-4BDE-981C-9C9819074506}">
  <dimension ref="A1:AD202"/>
  <sheetViews>
    <sheetView showGridLines="0" zoomScale="95" zoomScaleNormal="95" workbookViewId="0">
      <pane xSplit="3" ySplit="2" topLeftCell="D3" activePane="bottomRight" state="frozen"/>
      <selection pane="bottomRight" activeCell="A2" sqref="A2"/>
      <selection pane="bottomLeft" activeCell="A4" sqref="A4"/>
      <selection pane="topRight" activeCell="D1" sqref="D1"/>
    </sheetView>
  </sheetViews>
  <sheetFormatPr defaultColWidth="8.7109375" defaultRowHeight="15"/>
  <cols>
    <col min="1" max="1" width="8.7109375" style="5" customWidth="1"/>
    <col min="2" max="2" width="20.7109375" style="5" customWidth="1"/>
    <col min="3" max="3" width="15.7109375" style="5" customWidth="1"/>
    <col min="4" max="4" width="23.7109375" style="5" customWidth="1"/>
    <col min="5" max="8" width="10.7109375" style="5" customWidth="1"/>
    <col min="9" max="9" width="3.7109375" style="8" customWidth="1"/>
    <col min="10" max="10" width="10.7109375" style="5" customWidth="1"/>
    <col min="11" max="11" width="12.42578125" style="12" customWidth="1"/>
    <col min="12" max="12" width="10.7109375" style="8" customWidth="1"/>
    <col min="13" max="13" width="10" style="8" customWidth="1"/>
    <col min="14" max="14" width="10.7109375" style="8" customWidth="1"/>
    <col min="15" max="15" width="9.7109375" style="8" customWidth="1"/>
    <col min="16" max="21" width="10.7109375" style="5" customWidth="1"/>
    <col min="22" max="22" width="10.7109375" style="15" customWidth="1"/>
    <col min="23" max="23" width="1.7109375" style="8" customWidth="1"/>
    <col min="24" max="24" width="12.7109375" style="5" customWidth="1"/>
    <col min="25" max="25" width="12.140625" style="5" customWidth="1"/>
    <col min="26" max="26" width="1.7109375" style="8" customWidth="1"/>
    <col min="27" max="28" width="10.7109375" style="8" customWidth="1"/>
    <col min="29" max="29" width="20.7109375" style="8" customWidth="1"/>
    <col min="30" max="984" width="10.7109375" style="8" customWidth="1"/>
    <col min="985" max="16384" width="8.7109375" style="8"/>
  </cols>
  <sheetData>
    <row r="1" spans="1:30" ht="28.5" customHeight="1" thickBot="1">
      <c r="A1" s="4"/>
      <c r="B1" s="4"/>
      <c r="C1" s="4"/>
      <c r="D1" s="24"/>
      <c r="E1" s="25"/>
      <c r="F1" s="4"/>
      <c r="I1" s="6"/>
      <c r="K1" s="7"/>
      <c r="L1" s="6"/>
      <c r="M1" s="6"/>
      <c r="N1" s="6"/>
      <c r="O1" s="6"/>
      <c r="W1" s="6"/>
      <c r="AA1" s="145">
        <v>45657</v>
      </c>
      <c r="AB1" s="146" t="s">
        <v>380</v>
      </c>
      <c r="AC1" s="75">
        <v>45688</v>
      </c>
      <c r="AD1" s="8">
        <f>SUM(AD3:AD46)</f>
        <v>374334.28947469278</v>
      </c>
    </row>
    <row r="2" spans="1:30" s="45" customFormat="1" ht="50.25" customHeight="1" thickBot="1">
      <c r="A2" s="107" t="s">
        <v>0</v>
      </c>
      <c r="B2" s="108" t="s">
        <v>1</v>
      </c>
      <c r="C2" s="108" t="s">
        <v>2</v>
      </c>
      <c r="D2" s="108" t="s">
        <v>3</v>
      </c>
      <c r="E2" s="108" t="s">
        <v>4</v>
      </c>
      <c r="F2" s="108" t="s">
        <v>387</v>
      </c>
      <c r="G2" s="108" t="s">
        <v>6</v>
      </c>
      <c r="H2" s="109" t="s">
        <v>7</v>
      </c>
      <c r="J2" s="107" t="s">
        <v>8</v>
      </c>
      <c r="K2" s="110" t="s">
        <v>372</v>
      </c>
      <c r="L2" s="110" t="s">
        <v>373</v>
      </c>
      <c r="M2" s="111" t="s">
        <v>12</v>
      </c>
      <c r="N2" s="111" t="s">
        <v>381</v>
      </c>
      <c r="O2" s="111" t="s">
        <v>14</v>
      </c>
      <c r="P2" s="112" t="s">
        <v>15</v>
      </c>
      <c r="Q2" s="112" t="s">
        <v>16</v>
      </c>
      <c r="R2" s="112" t="s">
        <v>17</v>
      </c>
      <c r="S2" s="112" t="s">
        <v>18</v>
      </c>
      <c r="T2" s="112" t="s">
        <v>19</v>
      </c>
      <c r="U2" s="112" t="s">
        <v>20</v>
      </c>
      <c r="V2" s="113" t="s">
        <v>21</v>
      </c>
      <c r="X2" s="107" t="s">
        <v>388</v>
      </c>
      <c r="Y2" s="109" t="s">
        <v>23</v>
      </c>
      <c r="AA2" s="114" t="s">
        <v>382</v>
      </c>
      <c r="AB2" s="114" t="s">
        <v>383</v>
      </c>
      <c r="AC2" s="115" t="s">
        <v>384</v>
      </c>
      <c r="AD2" s="45" t="s">
        <v>26</v>
      </c>
    </row>
    <row r="3" spans="1:30" ht="15.75">
      <c r="A3" s="67" t="s">
        <v>27</v>
      </c>
      <c r="B3" s="68" t="s">
        <v>28</v>
      </c>
      <c r="C3" s="69" t="s">
        <v>29</v>
      </c>
      <c r="D3" s="68" t="s">
        <v>30</v>
      </c>
      <c r="E3" s="68" t="str">
        <f t="shared" ref="E3:E8" si="0">IF(B3="","",IF(D3="Godfroy","Godfroy",(IF(LEFT(B3,1)="1","Hiwa","Direct"))))</f>
        <v>Hiwa</v>
      </c>
      <c r="F3" s="68" t="s">
        <v>31</v>
      </c>
      <c r="G3" s="68">
        <v>80</v>
      </c>
      <c r="H3" s="70">
        <f>G3*215</f>
        <v>17200</v>
      </c>
      <c r="I3" s="82"/>
      <c r="J3" s="116">
        <f t="shared" ref="J3:J8" si="1">+K3/H3</f>
        <v>0.98703488372093018</v>
      </c>
      <c r="K3" s="117">
        <v>16977</v>
      </c>
      <c r="L3" s="17">
        <v>206.4</v>
      </c>
      <c r="M3" s="17">
        <v>57.56</v>
      </c>
      <c r="N3" s="17"/>
      <c r="O3" s="16">
        <v>1113.75</v>
      </c>
      <c r="P3" s="16">
        <f>(27*42.45)+42.45+42.45+42.45+42.45+42.45+2.93+2.93+2.93+2.93+2.93+2.93+3.06+3.06</f>
        <v>1382.1000000000006</v>
      </c>
      <c r="Q3" s="16">
        <f>1.78+1.79+1.84+1.87+1.84+1.82+1.81+1.72+1.64+1.67+1.66+1.66+1.66+1.63+1.61+0.11+0.12+0.12</f>
        <v>26.35</v>
      </c>
      <c r="R3" s="16">
        <f>51.74+54.64+54.64+54.64+54.64</f>
        <v>270.29999999999995</v>
      </c>
      <c r="S3" s="16">
        <f>14.75+18.66+14.75+15.4</f>
        <v>63.559999999999995</v>
      </c>
      <c r="T3" s="16">
        <f>395+180+280+1055+172</f>
        <v>2082</v>
      </c>
      <c r="U3" s="19">
        <f>IF(B3="","",K3+SUM(L3:Q3))</f>
        <v>19763.16</v>
      </c>
      <c r="V3" s="128">
        <f t="shared" ref="V3:V8" si="2">IF(J3="","",+U3/H3)</f>
        <v>1.149020930232558</v>
      </c>
      <c r="X3" s="40">
        <v>335274</v>
      </c>
      <c r="Y3" s="41">
        <v>45086</v>
      </c>
      <c r="AA3" s="60">
        <v>2</v>
      </c>
      <c r="AB3" s="60">
        <v>2</v>
      </c>
      <c r="AC3" s="132">
        <v>1</v>
      </c>
      <c r="AD3" s="8">
        <f t="shared" ref="AD3:AD41" si="3">IF(AC3&gt;0,(((H3/G3)*AC3)*V3),"")</f>
        <v>247.03949999999998</v>
      </c>
    </row>
    <row r="4" spans="1:30" ht="15.75">
      <c r="A4" s="26" t="s">
        <v>32</v>
      </c>
      <c r="B4" s="11" t="s">
        <v>33</v>
      </c>
      <c r="C4" s="3" t="s">
        <v>34</v>
      </c>
      <c r="D4" s="3" t="s">
        <v>35</v>
      </c>
      <c r="E4" s="3" t="str">
        <f t="shared" si="0"/>
        <v>Godfroy</v>
      </c>
      <c r="F4" s="3" t="s">
        <v>36</v>
      </c>
      <c r="G4" s="3">
        <v>256</v>
      </c>
      <c r="H4" s="28">
        <v>2560</v>
      </c>
      <c r="I4" s="82"/>
      <c r="J4" s="116">
        <f t="shared" si="1"/>
        <v>1.78</v>
      </c>
      <c r="K4" s="117">
        <v>4556.8</v>
      </c>
      <c r="L4" s="17"/>
      <c r="M4" s="17"/>
      <c r="N4" s="17"/>
      <c r="O4" s="17">
        <v>49.65</v>
      </c>
      <c r="P4" s="16">
        <f>82.87+82.87+80.2+82.87+80.2+82.87+62.15+56.14+62.15+60.15+62.15+60.15+62.15+62.15+60.15+62.15+60.15+62.15</f>
        <v>1223.67</v>
      </c>
      <c r="Q4" s="16">
        <f>8.54+8.54+8.54+8.54+8.54+8.54+6.4+6.4+6.4+6.4+6.4+6.4+6.4+6.4+6.4+6.4+6.4+6.4</f>
        <v>128.04000000000005</v>
      </c>
      <c r="R4" s="16" t="s">
        <v>37</v>
      </c>
      <c r="S4" s="16">
        <f>4.3+4.3+1.61</f>
        <v>10.209999999999999</v>
      </c>
      <c r="T4" s="16">
        <v>148</v>
      </c>
      <c r="U4" s="19">
        <f t="shared" ref="U4:U6" si="4">IF(B4="","",K4+SUM(L4:Q4))</f>
        <v>5958.16</v>
      </c>
      <c r="V4" s="128">
        <f t="shared" si="2"/>
        <v>2.3274062500000001</v>
      </c>
      <c r="X4" s="77">
        <v>93104899</v>
      </c>
      <c r="Y4" s="76">
        <v>45131</v>
      </c>
      <c r="AA4" s="78">
        <v>1920</v>
      </c>
      <c r="AB4" s="78">
        <v>1920</v>
      </c>
      <c r="AC4" s="132">
        <v>1920</v>
      </c>
      <c r="AD4" s="8">
        <f t="shared" si="3"/>
        <v>44686.200000000004</v>
      </c>
    </row>
    <row r="5" spans="1:30" ht="15.75">
      <c r="A5" s="26" t="s">
        <v>38</v>
      </c>
      <c r="B5" s="3" t="s">
        <v>39</v>
      </c>
      <c r="C5" s="3" t="s">
        <v>34</v>
      </c>
      <c r="D5" s="3" t="s">
        <v>35</v>
      </c>
      <c r="E5" s="3" t="str">
        <f t="shared" si="0"/>
        <v>Godfroy</v>
      </c>
      <c r="F5" s="3" t="s">
        <v>36</v>
      </c>
      <c r="G5" s="3">
        <v>128</v>
      </c>
      <c r="H5" s="28">
        <v>1280</v>
      </c>
      <c r="I5" s="82"/>
      <c r="J5" s="116">
        <f t="shared" si="1"/>
        <v>2.88</v>
      </c>
      <c r="K5" s="117">
        <v>3686.4</v>
      </c>
      <c r="L5" s="17"/>
      <c r="M5" s="17"/>
      <c r="N5" s="17"/>
      <c r="O5" s="17">
        <v>27</v>
      </c>
      <c r="P5" s="16">
        <f>41.44+20.72+20.04+20.72+20.05+20.72+20.72+18.71+20.72+20.05+20.72+20.05+20.72+20.72+20.05+20.72+20.05+20.72</f>
        <v>387.64</v>
      </c>
      <c r="Q5" s="16">
        <f>5.74+2.87+2.87+2.87+2.87+2.87+2.87+2.87+2.87+2.87+2.87+2.87+2.87+2.87+2.87+2.87+2.87+2.87</f>
        <v>54.529999999999987</v>
      </c>
      <c r="R5" s="16" t="s">
        <v>37</v>
      </c>
      <c r="S5" s="16">
        <f>4.3+4.3+1.61</f>
        <v>10.209999999999999</v>
      </c>
      <c r="T5" s="16">
        <v>241</v>
      </c>
      <c r="U5" s="19">
        <f t="shared" si="4"/>
        <v>4155.57</v>
      </c>
      <c r="V5" s="128">
        <f t="shared" si="2"/>
        <v>3.2465390624999997</v>
      </c>
      <c r="X5" s="77">
        <v>93104898</v>
      </c>
      <c r="Y5" s="76">
        <v>45131</v>
      </c>
      <c r="AA5" s="78">
        <v>640</v>
      </c>
      <c r="AB5" s="78">
        <v>640</v>
      </c>
      <c r="AC5" s="132">
        <v>640</v>
      </c>
      <c r="AD5" s="8">
        <f t="shared" si="3"/>
        <v>20777.849999999999</v>
      </c>
    </row>
    <row r="6" spans="1:30" ht="15" customHeight="1">
      <c r="A6" s="26" t="s">
        <v>40</v>
      </c>
      <c r="B6" s="11" t="s">
        <v>41</v>
      </c>
      <c r="C6" s="3" t="s">
        <v>34</v>
      </c>
      <c r="D6" s="3" t="s">
        <v>35</v>
      </c>
      <c r="E6" s="3" t="str">
        <f t="shared" si="0"/>
        <v>Godfroy</v>
      </c>
      <c r="F6" s="3" t="s">
        <v>36</v>
      </c>
      <c r="G6" s="3">
        <v>1664</v>
      </c>
      <c r="H6" s="28">
        <v>16640</v>
      </c>
      <c r="I6" s="82"/>
      <c r="J6" s="116">
        <f t="shared" si="1"/>
        <v>2.52</v>
      </c>
      <c r="K6" s="117">
        <v>41932.800000000003</v>
      </c>
      <c r="L6" s="17"/>
      <c r="M6" s="17"/>
      <c r="N6" s="17"/>
      <c r="O6" s="17">
        <v>327</v>
      </c>
      <c r="P6" s="16">
        <f>497.23+414.36+400.99+414.36+400.99+414.36+393.64+355.55+393.64+380.94+352.21+280.7+145.03+145.03+140.35+145.03+140.35+145.03</f>
        <v>5559.79</v>
      </c>
      <c r="Q6" s="16">
        <f>61.82+49.91+49.91+49.91+49.91+49.91+47.33+47.33+47.33+47.33+42.18+34.45+16.42+16.42+16.42+16.42+16.42+16.42</f>
        <v>675.83999999999969</v>
      </c>
      <c r="R6" s="16" t="s">
        <v>37</v>
      </c>
      <c r="S6" s="16">
        <f>17*(4.3+1.61)</f>
        <v>100.47</v>
      </c>
      <c r="T6" s="16">
        <f>141.37+42.85+150.47+128.25+121.18+296+210+196+213.4+190</f>
        <v>1689.52</v>
      </c>
      <c r="U6" s="19">
        <f t="shared" si="4"/>
        <v>48495.43</v>
      </c>
      <c r="V6" s="128">
        <f t="shared" si="2"/>
        <v>2.9143888221153844</v>
      </c>
      <c r="X6" s="77">
        <v>93104900</v>
      </c>
      <c r="Y6" s="76">
        <v>45131</v>
      </c>
      <c r="AA6" s="78">
        <v>4080</v>
      </c>
      <c r="AB6" s="78">
        <v>4080</v>
      </c>
      <c r="AC6" s="132">
        <v>4080</v>
      </c>
      <c r="AD6" s="8">
        <f t="shared" si="3"/>
        <v>118907.06394230768</v>
      </c>
    </row>
    <row r="7" spans="1:30" ht="15.75">
      <c r="A7" s="26" t="s">
        <v>42</v>
      </c>
      <c r="B7" s="3" t="s">
        <v>43</v>
      </c>
      <c r="C7" s="3" t="s">
        <v>374</v>
      </c>
      <c r="D7" s="13" t="s">
        <v>45</v>
      </c>
      <c r="E7" s="3" t="str">
        <f t="shared" si="0"/>
        <v>Hiwa</v>
      </c>
      <c r="F7" s="3" t="s">
        <v>46</v>
      </c>
      <c r="G7" s="3">
        <v>72</v>
      </c>
      <c r="H7" s="28">
        <v>1440</v>
      </c>
      <c r="I7" s="82"/>
      <c r="J7" s="116">
        <f t="shared" si="1"/>
        <v>2.2220138888888887</v>
      </c>
      <c r="K7" s="117">
        <v>3199.7</v>
      </c>
      <c r="L7" s="17"/>
      <c r="M7" s="17">
        <v>223.81</v>
      </c>
      <c r="N7" s="17"/>
      <c r="O7" s="18">
        <v>132.0289156626506</v>
      </c>
      <c r="P7" s="16">
        <f>(19*18.03)+18.03+18.03+18.03+18.03+18.03+18.03+18.03+18.03+18.03+18.03+18.03+18.82+18.82</f>
        <v>578.53999999999985</v>
      </c>
      <c r="Q7" s="16">
        <f>0.84+0.83+0.82+0.81+0.82+0.81+0.83+0.82+0.83+0.82+0.81+0.8+0.81+0.84+0.84</f>
        <v>12.330000000000002</v>
      </c>
      <c r="R7" s="16">
        <v>0</v>
      </c>
      <c r="S7" s="16">
        <v>0</v>
      </c>
      <c r="T7" s="16">
        <v>0</v>
      </c>
      <c r="U7" s="19">
        <f t="shared" ref="U7:U48" si="5">IF(B7="","",K7+SUM(L7:Q7))</f>
        <v>4146.4089156626505</v>
      </c>
      <c r="V7" s="128">
        <f t="shared" si="2"/>
        <v>2.8794506358768408</v>
      </c>
      <c r="X7" s="29">
        <v>342136</v>
      </c>
      <c r="Y7" s="42">
        <v>45209</v>
      </c>
      <c r="AA7" s="61">
        <v>72</v>
      </c>
      <c r="AB7" s="61">
        <v>72</v>
      </c>
      <c r="AC7" s="132">
        <v>36</v>
      </c>
      <c r="AD7" s="8">
        <f t="shared" si="3"/>
        <v>2073.2044578313253</v>
      </c>
    </row>
    <row r="8" spans="1:30" ht="15.75">
      <c r="A8" s="26" t="s">
        <v>47</v>
      </c>
      <c r="B8" s="3" t="s">
        <v>48</v>
      </c>
      <c r="C8" s="3" t="s">
        <v>374</v>
      </c>
      <c r="D8" s="13" t="s">
        <v>45</v>
      </c>
      <c r="E8" s="3" t="str">
        <f t="shared" si="0"/>
        <v>Hiwa</v>
      </c>
      <c r="F8" s="3" t="s">
        <v>46</v>
      </c>
      <c r="G8" s="3">
        <v>714</v>
      </c>
      <c r="H8" s="28">
        <v>14280</v>
      </c>
      <c r="I8" s="82"/>
      <c r="J8" s="116">
        <f t="shared" si="1"/>
        <v>2.0831407563025208</v>
      </c>
      <c r="K8" s="117">
        <v>29747.25</v>
      </c>
      <c r="L8" s="17"/>
      <c r="M8" s="17">
        <v>1181</v>
      </c>
      <c r="N8" s="17"/>
      <c r="O8" s="18">
        <v>1309.2867469879518</v>
      </c>
      <c r="P8" s="16">
        <f>(19*115.67)+39.34+115.67+10.26+115.67+10.26+115.67+10.26+115.67+10.26+115.67+10.26+115.67+10.26+115.67+10.26+115.67+10.26+115.67+10.26+115.67+10.26+115.67+10.26+120.75+10.72+120.75+10.72</f>
        <v>3885.240000000003</v>
      </c>
      <c r="Q8" s="16">
        <f>7.84+7.7+7.63+7.59+6.76+6.68+6.8+5.4+5.42+4.95+4.87+4.82+4.87+5.04+5.06+(0.43+0.43+0.43+0.45+0.45)</f>
        <v>93.620000000000019</v>
      </c>
      <c r="R8" s="16">
        <f>54.64+54.64</f>
        <v>109.28</v>
      </c>
      <c r="S8" s="16">
        <v>0</v>
      </c>
      <c r="T8" s="16">
        <f>235+280+(390/2)</f>
        <v>710</v>
      </c>
      <c r="U8" s="19">
        <f t="shared" si="5"/>
        <v>36216.396746987957</v>
      </c>
      <c r="V8" s="128">
        <f t="shared" si="2"/>
        <v>2.5361622371840307</v>
      </c>
      <c r="X8" s="79" t="s">
        <v>379</v>
      </c>
      <c r="Y8" s="43">
        <v>45209</v>
      </c>
      <c r="AA8" s="61">
        <v>503</v>
      </c>
      <c r="AB8" s="61">
        <v>503</v>
      </c>
      <c r="AC8" s="132">
        <f>336+41</f>
        <v>377</v>
      </c>
      <c r="AD8" s="8">
        <f t="shared" si="3"/>
        <v>19122.663268367593</v>
      </c>
    </row>
    <row r="9" spans="1:30" ht="15.75">
      <c r="A9" s="29" t="s">
        <v>50</v>
      </c>
      <c r="B9" s="3" t="s">
        <v>51</v>
      </c>
      <c r="C9" s="9" t="s">
        <v>52</v>
      </c>
      <c r="D9" s="13" t="s">
        <v>30</v>
      </c>
      <c r="E9" s="3" t="str">
        <f t="shared" ref="E9" si="6">IF(B9="","",IF(D9="Godfroy","Godfroy",(IF(LEFT(B9,1)="1","Hiwa","Direct"))))</f>
        <v>Hiwa</v>
      </c>
      <c r="F9" s="3" t="s">
        <v>46</v>
      </c>
      <c r="G9" s="1">
        <v>80</v>
      </c>
      <c r="H9" s="27">
        <v>16800</v>
      </c>
      <c r="I9" s="82"/>
      <c r="J9" s="116">
        <f t="shared" ref="J9" si="7">+K9/H9</f>
        <v>3.6330973830973825</v>
      </c>
      <c r="K9" s="117">
        <f>65040/1.0656</f>
        <v>61036.036036036028</v>
      </c>
      <c r="L9" s="17"/>
      <c r="M9" s="17">
        <v>94.01</v>
      </c>
      <c r="N9" s="17">
        <v>275</v>
      </c>
      <c r="O9" s="17">
        <v>1224</v>
      </c>
      <c r="P9" s="16">
        <f>(4*89.88)+89.88+89.88+67.41+67.41+67.41+67.41+50.56+22.47+22.47+22.47+23.47+23.47</f>
        <v>973.82999999999993</v>
      </c>
      <c r="Q9" s="16">
        <f>16.47+16.47+13.18+13.18+9.88+9.88+3.29</f>
        <v>82.35</v>
      </c>
      <c r="R9" s="16">
        <f>54.64+54.64+54.64+54.64</f>
        <v>218.56</v>
      </c>
      <c r="S9" s="16">
        <v>0</v>
      </c>
      <c r="T9" s="16">
        <v>0</v>
      </c>
      <c r="U9" s="19">
        <f t="shared" si="5"/>
        <v>63685.226036036031</v>
      </c>
      <c r="V9" s="128">
        <f t="shared" ref="V9" si="8">IF(J9="","",+U9/H9)</f>
        <v>3.7907872640497637</v>
      </c>
      <c r="X9" s="29">
        <v>354004</v>
      </c>
      <c r="Y9" s="42">
        <v>45429</v>
      </c>
      <c r="AA9" s="61">
        <v>16</v>
      </c>
      <c r="AB9" s="61">
        <v>16</v>
      </c>
      <c r="AC9" s="132">
        <v>0</v>
      </c>
      <c r="AD9" s="8" t="str">
        <f t="shared" si="3"/>
        <v/>
      </c>
    </row>
    <row r="10" spans="1:30" ht="15.75">
      <c r="A10" s="29" t="s">
        <v>53</v>
      </c>
      <c r="B10" s="3" t="s">
        <v>54</v>
      </c>
      <c r="C10" s="9" t="s">
        <v>385</v>
      </c>
      <c r="D10" s="13" t="s">
        <v>30</v>
      </c>
      <c r="E10" s="3" t="str">
        <f t="shared" ref="E10:E19" si="9">IF(B10="","",IF(D10="Godfroy","Godfroy",(IF(LEFT(B10,1)="1","Hiwa","Direct"))))</f>
        <v>Hiwa</v>
      </c>
      <c r="F10" s="10" t="s">
        <v>46</v>
      </c>
      <c r="G10" s="1">
        <v>46</v>
      </c>
      <c r="H10" s="27">
        <f>G10*220</f>
        <v>10120</v>
      </c>
      <c r="I10" s="82"/>
      <c r="J10" s="116">
        <f t="shared" ref="J10" si="10">+K10/H10</f>
        <v>1.35</v>
      </c>
      <c r="K10" s="117">
        <v>13662</v>
      </c>
      <c r="L10" s="17"/>
      <c r="M10" s="17">
        <v>61</v>
      </c>
      <c r="N10" s="17"/>
      <c r="O10" s="17">
        <f>582+33</f>
        <v>615</v>
      </c>
      <c r="P10" s="16">
        <f>(3*75.7)+75.7+75.7+75.7+75.7+59.76+59.76+59.76+59.76+43.82+43.82+45.75+45.75</f>
        <v>948.08</v>
      </c>
      <c r="Q10" s="16">
        <f>3.54+2.93+2.93+2.93+2.31+2.31+1.69</f>
        <v>18.64</v>
      </c>
      <c r="R10" s="16">
        <f>54.64+54.64+54.64</f>
        <v>163.92000000000002</v>
      </c>
      <c r="S10" s="16">
        <v>0</v>
      </c>
      <c r="T10" s="16">
        <f>230+230+230</f>
        <v>690</v>
      </c>
      <c r="U10" s="19">
        <f t="shared" si="5"/>
        <v>15304.72</v>
      </c>
      <c r="V10" s="128">
        <f t="shared" ref="V10:V19" si="11">IF(J10="","",+U10/H10)</f>
        <v>1.5123241106719367</v>
      </c>
      <c r="X10" s="29">
        <v>354761</v>
      </c>
      <c r="Y10" s="42">
        <v>45447</v>
      </c>
      <c r="AA10" s="61">
        <v>22</v>
      </c>
      <c r="AB10" s="61">
        <v>22</v>
      </c>
      <c r="AC10" s="132">
        <v>22</v>
      </c>
      <c r="AD10" s="8">
        <f t="shared" si="3"/>
        <v>7319.648695652174</v>
      </c>
    </row>
    <row r="11" spans="1:30" ht="16.5" customHeight="1">
      <c r="A11" s="29" t="s">
        <v>56</v>
      </c>
      <c r="B11" s="3" t="s">
        <v>57</v>
      </c>
      <c r="C11" s="9" t="s">
        <v>58</v>
      </c>
      <c r="D11" s="13" t="s">
        <v>30</v>
      </c>
      <c r="E11" s="3" t="str">
        <f t="shared" si="9"/>
        <v>Hiwa</v>
      </c>
      <c r="F11" s="10" t="s">
        <v>59</v>
      </c>
      <c r="G11" s="1">
        <v>124</v>
      </c>
      <c r="H11" s="27">
        <f>G11*190</f>
        <v>23560</v>
      </c>
      <c r="I11" s="82"/>
      <c r="J11" s="116">
        <f t="shared" ref="J11:J19" si="12">IF(H11="","",+K11/H11)</f>
        <v>0.63635526315789481</v>
      </c>
      <c r="K11" s="117">
        <v>14992.53</v>
      </c>
      <c r="L11" s="17">
        <f>((2250/1.0749)/140)*124</f>
        <v>1853.9930624775725</v>
      </c>
      <c r="M11" s="17">
        <v>2573.5</v>
      </c>
      <c r="N11" s="17">
        <f>275+165+78</f>
        <v>518</v>
      </c>
      <c r="O11" s="17">
        <f>1505-172</f>
        <v>1333</v>
      </c>
      <c r="P11" s="16">
        <f>108.29+68.99+68.99+68.99+68.99+68.99+68.99+68.99+68.99+68.99+68.99+68.99+72.07+72.07</f>
        <v>1011.3199999999999</v>
      </c>
      <c r="Q11" s="16">
        <f>7.55+4.73+4.68+4.73+4.9+4.92</f>
        <v>31.510000000000005</v>
      </c>
      <c r="R11" s="16">
        <f>2*54.64</f>
        <v>109.28</v>
      </c>
      <c r="S11" s="16">
        <v>1092.7</v>
      </c>
      <c r="T11" s="16">
        <v>1760</v>
      </c>
      <c r="U11" s="19">
        <f t="shared" si="5"/>
        <v>22313.853062477574</v>
      </c>
      <c r="V11" s="128">
        <f t="shared" si="11"/>
        <v>0.94710751538529603</v>
      </c>
      <c r="X11" s="29">
        <v>356799</v>
      </c>
      <c r="Y11" s="42">
        <v>45482</v>
      </c>
      <c r="AA11" s="61">
        <v>79</v>
      </c>
      <c r="AB11" s="61">
        <v>79</v>
      </c>
      <c r="AC11" s="132">
        <v>0</v>
      </c>
      <c r="AD11" s="8" t="str">
        <f t="shared" si="3"/>
        <v/>
      </c>
    </row>
    <row r="12" spans="1:30" ht="15.75">
      <c r="A12" s="29" t="s">
        <v>60</v>
      </c>
      <c r="B12" s="3" t="s">
        <v>389</v>
      </c>
      <c r="C12" s="9" t="s">
        <v>62</v>
      </c>
      <c r="D12" s="13" t="s">
        <v>63</v>
      </c>
      <c r="E12" s="3" t="str">
        <f t="shared" si="9"/>
        <v>Hiwa</v>
      </c>
      <c r="F12" s="10" t="s">
        <v>46</v>
      </c>
      <c r="G12" s="1">
        <v>120</v>
      </c>
      <c r="H12" s="27">
        <v>22800</v>
      </c>
      <c r="I12" s="82"/>
      <c r="J12" s="116">
        <f t="shared" si="12"/>
        <v>1.3771578947368421</v>
      </c>
      <c r="K12" s="118">
        <v>31399.200000000001</v>
      </c>
      <c r="L12" s="17"/>
      <c r="M12" s="17">
        <f>60.78+33.23</f>
        <v>94.009999999999991</v>
      </c>
      <c r="N12" s="17"/>
      <c r="O12" s="17">
        <v>1311.7</v>
      </c>
      <c r="P12" s="16">
        <f>140.08+39.22+39.22+39.22+39.22+39.22+35.11</f>
        <v>371.29000000000008</v>
      </c>
      <c r="Q12" s="16">
        <f>8.14+2.04+2.04</f>
        <v>12.219999999999999</v>
      </c>
      <c r="R12" s="16">
        <f>54.64+54.64+54.64</f>
        <v>163.92000000000002</v>
      </c>
      <c r="S12" s="16">
        <v>0</v>
      </c>
      <c r="T12" s="16">
        <f>460+2350+225</f>
        <v>3035</v>
      </c>
      <c r="U12" s="19">
        <f t="shared" si="5"/>
        <v>33188.42</v>
      </c>
      <c r="V12" s="128">
        <f t="shared" si="11"/>
        <v>1.4556324561403509</v>
      </c>
      <c r="X12" s="29">
        <v>361283</v>
      </c>
      <c r="Y12" s="42">
        <v>45558</v>
      </c>
      <c r="AA12" s="61">
        <v>24</v>
      </c>
      <c r="AB12" s="61">
        <v>24</v>
      </c>
      <c r="AC12" s="132">
        <v>24</v>
      </c>
      <c r="AD12" s="8">
        <f t="shared" si="3"/>
        <v>6637.6840000000002</v>
      </c>
    </row>
    <row r="13" spans="1:30" ht="18" customHeight="1">
      <c r="A13" s="29" t="s">
        <v>64</v>
      </c>
      <c r="B13" s="3" t="s">
        <v>65</v>
      </c>
      <c r="C13" s="3" t="s">
        <v>375</v>
      </c>
      <c r="D13" s="13" t="s">
        <v>30</v>
      </c>
      <c r="E13" s="3" t="str">
        <f t="shared" si="9"/>
        <v>Hiwa</v>
      </c>
      <c r="F13" s="10" t="s">
        <v>46</v>
      </c>
      <c r="G13" s="1">
        <v>96</v>
      </c>
      <c r="H13" s="27">
        <v>19200</v>
      </c>
      <c r="I13" s="82"/>
      <c r="J13" s="116">
        <f t="shared" si="12"/>
        <v>1.8336847895846704</v>
      </c>
      <c r="K13" s="118">
        <f>38400/1.0907</f>
        <v>35206.74796002567</v>
      </c>
      <c r="L13" s="17"/>
      <c r="M13" s="17">
        <v>61</v>
      </c>
      <c r="N13" s="17">
        <v>38</v>
      </c>
      <c r="O13" s="17">
        <v>1008.94</v>
      </c>
      <c r="P13" s="16">
        <f>96.09+96.09+96.09+96.09+96.09+96.09+96.06+96.06+27.88+27.88</f>
        <v>824.42000000000007</v>
      </c>
      <c r="Q13" s="16">
        <f>8.88+6.66+6.85+7.09</f>
        <v>29.48</v>
      </c>
      <c r="R13" s="16">
        <f>54.64+54.64</f>
        <v>109.28</v>
      </c>
      <c r="S13" s="16">
        <v>0</v>
      </c>
      <c r="T13" s="16">
        <f>715+800</f>
        <v>1515</v>
      </c>
      <c r="U13" s="19">
        <f t="shared" si="5"/>
        <v>37168.587960025674</v>
      </c>
      <c r="V13" s="128">
        <f t="shared" si="11"/>
        <v>1.9358639562513371</v>
      </c>
      <c r="X13" s="29">
        <v>359055</v>
      </c>
      <c r="Y13" s="42">
        <v>45525</v>
      </c>
      <c r="AA13" s="61">
        <v>20</v>
      </c>
      <c r="AB13" s="61">
        <v>20</v>
      </c>
      <c r="AC13" s="132">
        <v>20</v>
      </c>
      <c r="AD13" s="8">
        <f t="shared" si="3"/>
        <v>7743.4558250053487</v>
      </c>
    </row>
    <row r="14" spans="1:30" ht="15.75">
      <c r="A14" s="29" t="s">
        <v>67</v>
      </c>
      <c r="B14" s="3" t="s">
        <v>68</v>
      </c>
      <c r="C14" s="3" t="s">
        <v>375</v>
      </c>
      <c r="D14" s="13" t="s">
        <v>30</v>
      </c>
      <c r="E14" s="3" t="str">
        <f t="shared" si="9"/>
        <v>Hiwa</v>
      </c>
      <c r="F14" s="10" t="s">
        <v>46</v>
      </c>
      <c r="G14" s="1">
        <v>240</v>
      </c>
      <c r="H14" s="27">
        <v>4800</v>
      </c>
      <c r="I14" s="82"/>
      <c r="J14" s="116">
        <f t="shared" si="12"/>
        <v>1.8336847895846704</v>
      </c>
      <c r="K14" s="118">
        <f>9600/1.0907</f>
        <v>8801.6869900064175</v>
      </c>
      <c r="L14" s="20"/>
      <c r="M14" s="17">
        <v>60.78</v>
      </c>
      <c r="N14" s="17"/>
      <c r="O14" s="17">
        <v>351.35</v>
      </c>
      <c r="P14" s="16">
        <f>57.36+57.36+57.36+57.36+57.36+57.36+57.36+47.84+49.9+49.9</f>
        <v>549.16</v>
      </c>
      <c r="Q14" s="16">
        <f>2.22+2.22+2.28+2.36</f>
        <v>9.08</v>
      </c>
      <c r="R14" s="16">
        <v>54.64</v>
      </c>
      <c r="S14" s="16">
        <v>0</v>
      </c>
      <c r="T14" s="16">
        <v>350</v>
      </c>
      <c r="U14" s="19">
        <f t="shared" si="5"/>
        <v>9772.0569900064183</v>
      </c>
      <c r="V14" s="128">
        <f t="shared" si="11"/>
        <v>2.035845206251337</v>
      </c>
      <c r="X14" s="29">
        <v>359056</v>
      </c>
      <c r="Y14" s="42">
        <v>45525</v>
      </c>
      <c r="AA14" s="61">
        <v>200</v>
      </c>
      <c r="AB14" s="61">
        <v>200</v>
      </c>
      <c r="AC14" s="132">
        <v>0</v>
      </c>
      <c r="AD14" s="8" t="str">
        <f t="shared" si="3"/>
        <v/>
      </c>
    </row>
    <row r="15" spans="1:30" ht="15.75">
      <c r="A15" s="29" t="s">
        <v>69</v>
      </c>
      <c r="B15" s="3" t="s">
        <v>28</v>
      </c>
      <c r="C15" s="9" t="s">
        <v>29</v>
      </c>
      <c r="D15" s="9" t="s">
        <v>70</v>
      </c>
      <c r="E15" s="3" t="str">
        <f t="shared" si="9"/>
        <v>Hiwa</v>
      </c>
      <c r="F15" s="10" t="s">
        <v>46</v>
      </c>
      <c r="G15" s="1">
        <v>80</v>
      </c>
      <c r="H15" s="27">
        <f>G15*215</f>
        <v>17200</v>
      </c>
      <c r="I15" s="82"/>
      <c r="J15" s="116">
        <f t="shared" si="12"/>
        <v>0.90497737556561086</v>
      </c>
      <c r="K15" s="118">
        <f>17200/1.105</f>
        <v>15565.610859728507</v>
      </c>
      <c r="L15" s="20"/>
      <c r="M15" s="21">
        <v>60.78</v>
      </c>
      <c r="N15" s="17"/>
      <c r="O15" s="17">
        <v>1077.8</v>
      </c>
      <c r="P15" s="16">
        <f>123.05+123.05+123.05+64.25+64.25</f>
        <v>497.65</v>
      </c>
      <c r="Q15" s="16">
        <f>4.29+4.3</f>
        <v>8.59</v>
      </c>
      <c r="R15" s="16">
        <v>54.64</v>
      </c>
      <c r="S15" s="16">
        <v>0</v>
      </c>
      <c r="T15" s="16">
        <v>1580</v>
      </c>
      <c r="U15" s="19">
        <f t="shared" si="5"/>
        <v>17210.430859728509</v>
      </c>
      <c r="V15" s="128">
        <f t="shared" si="11"/>
        <v>1.0006064453330528</v>
      </c>
      <c r="X15" s="29">
        <v>362336</v>
      </c>
      <c r="Y15" s="42">
        <v>45610</v>
      </c>
      <c r="AA15" s="61">
        <v>40</v>
      </c>
      <c r="AB15" s="61">
        <v>40</v>
      </c>
      <c r="AC15" s="132">
        <v>40</v>
      </c>
      <c r="AD15" s="8">
        <f t="shared" si="3"/>
        <v>8605.2154298642545</v>
      </c>
    </row>
    <row r="16" spans="1:30" ht="15.75">
      <c r="A16" s="29" t="s">
        <v>71</v>
      </c>
      <c r="B16" s="3" t="s">
        <v>72</v>
      </c>
      <c r="C16" s="9" t="s">
        <v>385</v>
      </c>
      <c r="D16" s="3" t="s">
        <v>73</v>
      </c>
      <c r="E16" s="3" t="str">
        <f t="shared" si="9"/>
        <v>Hiwa</v>
      </c>
      <c r="F16" s="10" t="s">
        <v>46</v>
      </c>
      <c r="G16" s="1">
        <v>136</v>
      </c>
      <c r="H16" s="27">
        <f>G16*190</f>
        <v>25840</v>
      </c>
      <c r="I16" s="82"/>
      <c r="J16" s="116">
        <f t="shared" si="12"/>
        <v>1.5</v>
      </c>
      <c r="K16" s="118">
        <v>38760</v>
      </c>
      <c r="L16" s="17">
        <v>800</v>
      </c>
      <c r="M16" s="17">
        <v>61</v>
      </c>
      <c r="N16" s="17"/>
      <c r="O16" s="17">
        <v>1396.79</v>
      </c>
      <c r="P16" s="16">
        <f>176.68+72.75+72.75+72.75+72.75+72.75+75.98+75.98</f>
        <v>692.3900000000001</v>
      </c>
      <c r="Q16" s="16">
        <f>11.18+4.6+4.6</f>
        <v>20.38</v>
      </c>
      <c r="R16" s="16">
        <f>54.64</f>
        <v>54.64</v>
      </c>
      <c r="S16" s="16">
        <v>1068.53</v>
      </c>
      <c r="T16" s="16">
        <v>1950</v>
      </c>
      <c r="U16" s="19">
        <f t="shared" si="5"/>
        <v>41730.559999999998</v>
      </c>
      <c r="V16" s="128">
        <f t="shared" si="11"/>
        <v>1.6149597523219814</v>
      </c>
      <c r="X16" s="29">
        <v>361363</v>
      </c>
      <c r="Y16" s="42">
        <v>45560</v>
      </c>
      <c r="AA16" s="61">
        <v>56</v>
      </c>
      <c r="AB16" s="61">
        <v>56</v>
      </c>
      <c r="AC16" s="132">
        <v>0</v>
      </c>
      <c r="AD16" s="8" t="str">
        <f t="shared" si="3"/>
        <v/>
      </c>
    </row>
    <row r="17" spans="1:30" ht="15.75">
      <c r="A17" s="29" t="s">
        <v>74</v>
      </c>
      <c r="B17" s="3" t="s">
        <v>72</v>
      </c>
      <c r="C17" s="9" t="s">
        <v>385</v>
      </c>
      <c r="D17" s="3" t="s">
        <v>73</v>
      </c>
      <c r="E17" s="3" t="str">
        <f t="shared" si="9"/>
        <v>Hiwa</v>
      </c>
      <c r="F17" s="10" t="s">
        <v>46</v>
      </c>
      <c r="G17" s="1">
        <v>136</v>
      </c>
      <c r="H17" s="27">
        <f>G17*190</f>
        <v>25840</v>
      </c>
      <c r="I17" s="82"/>
      <c r="J17" s="116">
        <f t="shared" si="12"/>
        <v>1.5</v>
      </c>
      <c r="K17" s="118">
        <v>38760</v>
      </c>
      <c r="L17" s="17">
        <v>800</v>
      </c>
      <c r="M17" s="17">
        <v>63.45</v>
      </c>
      <c r="N17" s="17"/>
      <c r="O17" s="17">
        <v>1465.13</v>
      </c>
      <c r="P17" s="16">
        <v>184.52</v>
      </c>
      <c r="Q17" s="16"/>
      <c r="R17" s="16"/>
      <c r="S17" s="16">
        <v>1023.16</v>
      </c>
      <c r="T17" s="16">
        <v>1600</v>
      </c>
      <c r="U17" s="19">
        <f t="shared" si="5"/>
        <v>41273.1</v>
      </c>
      <c r="V17" s="128">
        <f t="shared" si="11"/>
        <v>1.5972561919504644</v>
      </c>
      <c r="X17" s="29">
        <v>366387</v>
      </c>
      <c r="Y17" s="42">
        <v>45672</v>
      </c>
      <c r="AA17" s="61"/>
      <c r="AB17" s="61">
        <v>136</v>
      </c>
      <c r="AC17" s="132">
        <v>84</v>
      </c>
      <c r="AD17" s="8">
        <f t="shared" si="3"/>
        <v>25492.20882352941</v>
      </c>
    </row>
    <row r="18" spans="1:30" ht="15.75">
      <c r="A18" s="29" t="s">
        <v>75</v>
      </c>
      <c r="B18" s="3" t="s">
        <v>68</v>
      </c>
      <c r="C18" s="9" t="s">
        <v>375</v>
      </c>
      <c r="D18" s="3" t="s">
        <v>30</v>
      </c>
      <c r="E18" s="3" t="str">
        <f t="shared" si="9"/>
        <v>Hiwa</v>
      </c>
      <c r="F18" s="10" t="s">
        <v>46</v>
      </c>
      <c r="G18" s="1">
        <v>972</v>
      </c>
      <c r="H18" s="27">
        <v>19440</v>
      </c>
      <c r="I18" s="82"/>
      <c r="J18" s="116">
        <f t="shared" si="12"/>
        <v>1.9102673553501577</v>
      </c>
      <c r="K18" s="118">
        <f>(42184.8/1.1041)-(1200/1.1196)</f>
        <v>37135.597388007067</v>
      </c>
      <c r="L18" s="22"/>
      <c r="M18" s="22"/>
      <c r="N18" s="22"/>
      <c r="O18" s="22">
        <v>1636.58</v>
      </c>
      <c r="P18" s="23">
        <f>232.29+232.29+232.29+232.29+242.49+242.49</f>
        <v>1414.14</v>
      </c>
      <c r="Q18" s="23">
        <f>10.01+10.36</f>
        <v>20.369999999999997</v>
      </c>
      <c r="R18" s="16"/>
      <c r="S18" s="16"/>
      <c r="T18" s="16"/>
      <c r="U18" s="19">
        <f t="shared" si="5"/>
        <v>40206.687388007063</v>
      </c>
      <c r="V18" s="128">
        <f t="shared" si="11"/>
        <v>2.0682452360085937</v>
      </c>
      <c r="X18" s="29">
        <v>362550</v>
      </c>
      <c r="Y18" s="42">
        <v>45587</v>
      </c>
      <c r="AA18" s="61">
        <v>972</v>
      </c>
      <c r="AB18" s="61">
        <v>972</v>
      </c>
      <c r="AC18" s="132">
        <v>972</v>
      </c>
      <c r="AD18" s="8">
        <f t="shared" si="3"/>
        <v>40206.687388007063</v>
      </c>
    </row>
    <row r="19" spans="1:30" ht="15.75">
      <c r="A19" s="29" t="s">
        <v>76</v>
      </c>
      <c r="B19" s="3" t="s">
        <v>77</v>
      </c>
      <c r="C19" s="9" t="s">
        <v>375</v>
      </c>
      <c r="D19" s="3" t="s">
        <v>30</v>
      </c>
      <c r="E19" s="3" t="str">
        <f t="shared" si="9"/>
        <v>Hiwa</v>
      </c>
      <c r="F19" s="10" t="s">
        <v>46</v>
      </c>
      <c r="G19" s="1">
        <v>108</v>
      </c>
      <c r="H19" s="27">
        <v>2160</v>
      </c>
      <c r="I19" s="82"/>
      <c r="J19" s="116">
        <f t="shared" si="12"/>
        <v>1.7842586722217189</v>
      </c>
      <c r="K19" s="118">
        <f>4255.2/1.1041</f>
        <v>3853.9987319989127</v>
      </c>
      <c r="L19" s="22"/>
      <c r="M19" s="22">
        <v>63.45</v>
      </c>
      <c r="N19" s="22"/>
      <c r="O19" s="22">
        <v>198.27</v>
      </c>
      <c r="P19" s="23">
        <f>25.81+25.81+25.81+25.81+26.94+26.94</f>
        <v>157.12</v>
      </c>
      <c r="Q19" s="23">
        <f>1.01+1.05</f>
        <v>2.06</v>
      </c>
      <c r="R19" s="16"/>
      <c r="S19" s="16"/>
      <c r="T19" s="16">
        <f>(390/2)</f>
        <v>195</v>
      </c>
      <c r="U19" s="19">
        <f t="shared" si="5"/>
        <v>4274.8987319989128</v>
      </c>
      <c r="V19" s="128">
        <f t="shared" si="11"/>
        <v>1.97911978333283</v>
      </c>
      <c r="X19" s="29">
        <v>362551</v>
      </c>
      <c r="Y19" s="42">
        <v>45587</v>
      </c>
      <c r="AA19" s="61">
        <v>108</v>
      </c>
      <c r="AB19" s="61">
        <v>108</v>
      </c>
      <c r="AC19" s="132">
        <v>54</v>
      </c>
      <c r="AD19" s="8">
        <f t="shared" si="3"/>
        <v>2137.4493659994564</v>
      </c>
    </row>
    <row r="20" spans="1:30" ht="15.75">
      <c r="A20" s="29" t="s">
        <v>78</v>
      </c>
      <c r="B20" s="3" t="s">
        <v>79</v>
      </c>
      <c r="C20" s="3" t="s">
        <v>80</v>
      </c>
      <c r="D20" s="3" t="s">
        <v>73</v>
      </c>
      <c r="E20" s="3" t="str">
        <f t="shared" ref="E20:E46" si="13">IF(B20="","",IF(D20="Godfroy","Godfroy",(IF(LEFT(B20,1)="1","Hiwa","Direct"))))</f>
        <v>Hiwa</v>
      </c>
      <c r="F20" s="3" t="s">
        <v>31</v>
      </c>
      <c r="G20" s="3">
        <v>112</v>
      </c>
      <c r="H20" s="28">
        <v>24080</v>
      </c>
      <c r="I20" s="82"/>
      <c r="J20" s="116">
        <f t="shared" ref="J20:J22" si="14">IF(H20="","",+K20/H20)</f>
        <v>1.9651047756093174</v>
      </c>
      <c r="K20" s="117">
        <f>52614.8/1.1119</f>
        <v>47319.722996672361</v>
      </c>
      <c r="L20" s="22"/>
      <c r="M20" s="22">
        <v>1917.72</v>
      </c>
      <c r="N20" s="22"/>
      <c r="O20" s="22">
        <v>1309.5999999999999</v>
      </c>
      <c r="P20" s="23">
        <f>15.81+15.81+15.81+16.52+16.52</f>
        <v>80.47</v>
      </c>
      <c r="Q20" s="23">
        <f>14.26+2.05</f>
        <v>16.309999999999999</v>
      </c>
      <c r="R20" s="23">
        <v>54.64</v>
      </c>
      <c r="S20" s="23">
        <v>559.77</v>
      </c>
      <c r="T20" s="23">
        <v>1725</v>
      </c>
      <c r="U20" s="19">
        <f t="shared" si="5"/>
        <v>50643.822996672359</v>
      </c>
      <c r="V20" s="128">
        <f t="shared" ref="V20:V39" si="15">IF(J20="","",+U20/H20)</f>
        <v>2.103148795542872</v>
      </c>
      <c r="X20" s="29">
        <v>362958</v>
      </c>
      <c r="Y20" s="42">
        <v>45601</v>
      </c>
      <c r="AA20" s="61">
        <v>16</v>
      </c>
      <c r="AB20" s="61">
        <v>16</v>
      </c>
      <c r="AC20" s="132">
        <v>16</v>
      </c>
      <c r="AD20" s="8">
        <f t="shared" si="3"/>
        <v>7234.8318566674798</v>
      </c>
    </row>
    <row r="21" spans="1:30" ht="15.75">
      <c r="A21" s="29" t="s">
        <v>81</v>
      </c>
      <c r="B21" s="3" t="s">
        <v>82</v>
      </c>
      <c r="C21" s="3" t="s">
        <v>376</v>
      </c>
      <c r="D21" s="3" t="s">
        <v>73</v>
      </c>
      <c r="E21" s="3" t="str">
        <f t="shared" si="13"/>
        <v>Hiwa</v>
      </c>
      <c r="F21" s="3" t="s">
        <v>59</v>
      </c>
      <c r="G21" s="3">
        <v>128</v>
      </c>
      <c r="H21" s="28">
        <f>G21*204</f>
        <v>26112</v>
      </c>
      <c r="I21" s="82"/>
      <c r="J21" s="116">
        <f t="shared" si="14"/>
        <v>0.61734082742098972</v>
      </c>
      <c r="K21" s="117">
        <f>17495.04/1.0853</f>
        <v>16120.003685616883</v>
      </c>
      <c r="L21" s="22">
        <f>1546/1.0853</f>
        <v>1424.4909241684327</v>
      </c>
      <c r="M21" s="22">
        <v>3329.07</v>
      </c>
      <c r="N21" s="22"/>
      <c r="O21" s="22">
        <v>1264.83</v>
      </c>
      <c r="P21" s="23">
        <f>119.96+52.48+52.48+54.82+54.82</f>
        <v>334.56</v>
      </c>
      <c r="Q21" s="23">
        <f>4.83+2.12</f>
        <v>6.95</v>
      </c>
      <c r="R21" s="23">
        <v>54.64</v>
      </c>
      <c r="S21" s="23">
        <v>557.99</v>
      </c>
      <c r="T21" s="23">
        <v>1745</v>
      </c>
      <c r="U21" s="19">
        <f t="shared" si="5"/>
        <v>22479.904609785313</v>
      </c>
      <c r="V21" s="128">
        <f t="shared" si="15"/>
        <v>0.86090320962719491</v>
      </c>
      <c r="X21" s="29">
        <v>363493</v>
      </c>
      <c r="Y21" s="42">
        <v>45608</v>
      </c>
      <c r="AA21" s="61">
        <v>56</v>
      </c>
      <c r="AB21" s="61">
        <v>56</v>
      </c>
      <c r="AC21" s="132">
        <v>56</v>
      </c>
      <c r="AD21" s="8">
        <f t="shared" si="3"/>
        <v>9834.9582667810755</v>
      </c>
    </row>
    <row r="22" spans="1:30" ht="15.75">
      <c r="A22" s="29" t="s">
        <v>84</v>
      </c>
      <c r="B22" s="3" t="s">
        <v>57</v>
      </c>
      <c r="C22" s="3" t="s">
        <v>58</v>
      </c>
      <c r="D22" s="3" t="s">
        <v>73</v>
      </c>
      <c r="E22" s="3" t="str">
        <f t="shared" si="13"/>
        <v>Hiwa</v>
      </c>
      <c r="F22" s="3" t="s">
        <v>59</v>
      </c>
      <c r="G22" s="3">
        <v>140</v>
      </c>
      <c r="H22" s="28">
        <f>G22*190</f>
        <v>26600</v>
      </c>
      <c r="I22" s="82"/>
      <c r="J22" s="116">
        <f t="shared" si="14"/>
        <v>0.76094276094276092</v>
      </c>
      <c r="K22" s="117">
        <f>21040.6/1.0395</f>
        <v>20241.077441077439</v>
      </c>
      <c r="L22" s="22">
        <f>2350/1.0395</f>
        <v>2260.7022607022604</v>
      </c>
      <c r="M22" s="22">
        <v>3471.76</v>
      </c>
      <c r="N22" s="22">
        <f>104+275</f>
        <v>379</v>
      </c>
      <c r="O22" s="22">
        <v>1383.05</v>
      </c>
      <c r="P22" s="23"/>
      <c r="Q22" s="23"/>
      <c r="R22" s="23"/>
      <c r="S22" s="23"/>
      <c r="T22" s="23">
        <v>1600</v>
      </c>
      <c r="U22" s="19">
        <f t="shared" si="5"/>
        <v>27735.5897017797</v>
      </c>
      <c r="V22" s="128">
        <f t="shared" si="15"/>
        <v>1.0426913421721691</v>
      </c>
      <c r="X22" s="29">
        <v>366474</v>
      </c>
      <c r="Y22" s="42">
        <v>45981</v>
      </c>
      <c r="AA22" s="61">
        <v>0</v>
      </c>
      <c r="AB22" s="61">
        <v>0</v>
      </c>
      <c r="AC22" s="132">
        <v>111</v>
      </c>
      <c r="AD22" s="8">
        <f t="shared" si="3"/>
        <v>21990.360406411044</v>
      </c>
    </row>
    <row r="23" spans="1:30" ht="15.75">
      <c r="A23" s="29" t="s">
        <v>85</v>
      </c>
      <c r="B23" s="3" t="s">
        <v>86</v>
      </c>
      <c r="C23" s="3" t="s">
        <v>80</v>
      </c>
      <c r="D23" s="13" t="s">
        <v>87</v>
      </c>
      <c r="E23" s="3" t="str">
        <f t="shared" si="13"/>
        <v>Direct</v>
      </c>
      <c r="F23" s="3" t="s">
        <v>59</v>
      </c>
      <c r="G23" s="3">
        <v>112</v>
      </c>
      <c r="H23" s="28">
        <v>24080</v>
      </c>
      <c r="I23" s="82"/>
      <c r="J23" s="116">
        <f t="shared" ref="J23:J39" si="16">IF(H23="","",+K23/H23)</f>
        <v>1.6750737603502428</v>
      </c>
      <c r="K23" s="117">
        <f>42380.8/1.0507</f>
        <v>40335.776149233847</v>
      </c>
      <c r="L23" s="22"/>
      <c r="M23" s="22"/>
      <c r="N23" s="22"/>
      <c r="O23" s="22"/>
      <c r="P23" s="23"/>
      <c r="Q23" s="23"/>
      <c r="R23" s="23"/>
      <c r="S23" s="23"/>
      <c r="T23" s="23"/>
      <c r="U23" s="19">
        <f t="shared" si="5"/>
        <v>40335.776149233847</v>
      </c>
      <c r="V23" s="128">
        <f t="shared" si="15"/>
        <v>1.6750737603502428</v>
      </c>
      <c r="X23" s="29"/>
      <c r="Y23" s="28"/>
      <c r="AA23" s="61"/>
      <c r="AB23" s="61"/>
      <c r="AC23" s="132"/>
      <c r="AD23" s="8" t="str">
        <f t="shared" si="3"/>
        <v/>
      </c>
    </row>
    <row r="24" spans="1:30" ht="15.75">
      <c r="A24" s="73" t="s">
        <v>88</v>
      </c>
      <c r="B24" s="55" t="s">
        <v>89</v>
      </c>
      <c r="C24" s="55" t="s">
        <v>90</v>
      </c>
      <c r="D24" s="55" t="s">
        <v>30</v>
      </c>
      <c r="E24" s="55" t="str">
        <f t="shared" si="13"/>
        <v>Hiwa</v>
      </c>
      <c r="F24" s="55" t="s">
        <v>59</v>
      </c>
      <c r="G24" s="1">
        <v>256</v>
      </c>
      <c r="H24" s="27">
        <f>G24*205</f>
        <v>52480</v>
      </c>
      <c r="I24" s="82"/>
      <c r="J24" s="116">
        <f t="shared" si="16"/>
        <v>0.61004670670098182</v>
      </c>
      <c r="K24" s="117">
        <f>33587.2/1.0491</f>
        <v>32015.251167667524</v>
      </c>
      <c r="L24" s="22">
        <f>3092/1.0491</f>
        <v>2947.2881517491187</v>
      </c>
      <c r="M24" s="22">
        <f>1991.26+1991.26</f>
        <v>3982.52</v>
      </c>
      <c r="N24" s="22"/>
      <c r="O24" s="22">
        <v>2480.44</v>
      </c>
      <c r="P24" s="23">
        <f>125.31+125.31+24.8+17.62</f>
        <v>293.04000000000002</v>
      </c>
      <c r="Q24" s="23"/>
      <c r="R24" s="23">
        <f>57.04+57.04</f>
        <v>114.08</v>
      </c>
      <c r="S24" s="23"/>
      <c r="T24" s="23"/>
      <c r="U24" s="19">
        <f t="shared" si="5"/>
        <v>41718.539319416646</v>
      </c>
      <c r="V24" s="128">
        <f t="shared" si="15"/>
        <v>0.7949416791047379</v>
      </c>
      <c r="X24" s="80" t="s">
        <v>91</v>
      </c>
      <c r="Y24" s="72">
        <v>45657</v>
      </c>
      <c r="AA24" s="61">
        <f>25+128</f>
        <v>153</v>
      </c>
      <c r="AB24" s="61">
        <f>25+18</f>
        <v>43</v>
      </c>
      <c r="AC24" s="132">
        <v>25</v>
      </c>
      <c r="AD24" s="8">
        <f t="shared" si="3"/>
        <v>4074.0761054117816</v>
      </c>
    </row>
    <row r="25" spans="1:30" ht="15.75">
      <c r="A25" s="29" t="s">
        <v>92</v>
      </c>
      <c r="B25" s="3" t="s">
        <v>93</v>
      </c>
      <c r="C25" s="9" t="s">
        <v>90</v>
      </c>
      <c r="D25" s="3" t="s">
        <v>94</v>
      </c>
      <c r="E25" s="3" t="str">
        <f t="shared" si="13"/>
        <v>Direct</v>
      </c>
      <c r="F25" s="10" t="s">
        <v>59</v>
      </c>
      <c r="G25" s="1">
        <v>128</v>
      </c>
      <c r="H25" s="27">
        <v>26240</v>
      </c>
      <c r="I25" s="82"/>
      <c r="J25" s="116">
        <f t="shared" si="16"/>
        <v>0.61579909554507839</v>
      </c>
      <c r="K25" s="117">
        <f>16793.6/1.0393</f>
        <v>16158.568267102857</v>
      </c>
      <c r="L25" s="22">
        <f>1841/1.0393</f>
        <v>1771.3845857788899</v>
      </c>
      <c r="M25" s="22"/>
      <c r="N25" s="22"/>
      <c r="O25" s="22"/>
      <c r="P25" s="23"/>
      <c r="Q25" s="23"/>
      <c r="R25" s="23"/>
      <c r="S25" s="23"/>
      <c r="T25" s="23"/>
      <c r="U25" s="19">
        <f t="shared" si="5"/>
        <v>17929.952852881746</v>
      </c>
      <c r="V25" s="128">
        <f t="shared" si="15"/>
        <v>0.68330613006409091</v>
      </c>
      <c r="X25" s="29"/>
      <c r="Y25" s="28"/>
      <c r="AA25" s="2"/>
      <c r="AB25" s="2"/>
      <c r="AC25" s="132"/>
      <c r="AD25" s="8" t="str">
        <f t="shared" si="3"/>
        <v/>
      </c>
    </row>
    <row r="26" spans="1:30" ht="15.75">
      <c r="A26" s="29" t="s">
        <v>95</v>
      </c>
      <c r="B26" s="3" t="s">
        <v>82</v>
      </c>
      <c r="C26" s="3" t="s">
        <v>376</v>
      </c>
      <c r="D26" s="3" t="s">
        <v>73</v>
      </c>
      <c r="E26" s="3" t="str">
        <f t="shared" si="13"/>
        <v>Hiwa</v>
      </c>
      <c r="F26" s="3" t="s">
        <v>59</v>
      </c>
      <c r="G26" s="3">
        <v>128</v>
      </c>
      <c r="H26" s="28">
        <f>G26*204</f>
        <v>26112</v>
      </c>
      <c r="I26" s="82"/>
      <c r="J26" s="116">
        <f t="shared" si="16"/>
        <v>0.65397755002440217</v>
      </c>
      <c r="K26" s="117">
        <f>17495.04/1.0245</f>
        <v>17076.66178623719</v>
      </c>
      <c r="L26" s="22">
        <f>1546/1.0396</f>
        <v>1487.1104270873411</v>
      </c>
      <c r="M26" s="22"/>
      <c r="N26" s="22"/>
      <c r="O26" s="22"/>
      <c r="P26" s="23"/>
      <c r="Q26" s="23"/>
      <c r="R26" s="23"/>
      <c r="S26" s="23"/>
      <c r="T26" s="23"/>
      <c r="U26" s="19">
        <f t="shared" si="5"/>
        <v>18563.77221332453</v>
      </c>
      <c r="V26" s="128">
        <f t="shared" si="15"/>
        <v>0.71092877655195041</v>
      </c>
      <c r="X26" s="29"/>
      <c r="Y26" s="42"/>
      <c r="AA26" s="2"/>
      <c r="AB26" s="2"/>
      <c r="AC26" s="132"/>
      <c r="AD26" s="8" t="str">
        <f t="shared" si="3"/>
        <v/>
      </c>
    </row>
    <row r="27" spans="1:30" ht="15.75">
      <c r="A27" s="29" t="s">
        <v>96</v>
      </c>
      <c r="B27" s="3" t="s">
        <v>93</v>
      </c>
      <c r="C27" s="3" t="s">
        <v>90</v>
      </c>
      <c r="D27" s="3" t="s">
        <v>97</v>
      </c>
      <c r="E27" s="3" t="str">
        <f t="shared" si="13"/>
        <v>Direct</v>
      </c>
      <c r="F27" s="10" t="s">
        <v>46</v>
      </c>
      <c r="G27" s="3">
        <v>256</v>
      </c>
      <c r="H27" s="28">
        <f>G27*205</f>
        <v>52480</v>
      </c>
      <c r="I27" s="82"/>
      <c r="J27" s="116">
        <f t="shared" si="16"/>
        <v>0</v>
      </c>
      <c r="K27" s="117"/>
      <c r="L27" s="22"/>
      <c r="M27" s="22"/>
      <c r="N27" s="22"/>
      <c r="O27" s="22"/>
      <c r="P27" s="23"/>
      <c r="Q27" s="23"/>
      <c r="R27" s="23"/>
      <c r="S27" s="23"/>
      <c r="T27" s="23"/>
      <c r="U27" s="19">
        <f t="shared" si="5"/>
        <v>0</v>
      </c>
      <c r="V27" s="128">
        <f t="shared" si="15"/>
        <v>0</v>
      </c>
      <c r="X27" s="29"/>
      <c r="Y27" s="28"/>
      <c r="AA27" s="2"/>
      <c r="AB27" s="2"/>
      <c r="AC27" s="132"/>
      <c r="AD27" s="8" t="str">
        <f t="shared" si="3"/>
        <v/>
      </c>
    </row>
    <row r="28" spans="1:30" ht="15.75">
      <c r="A28" s="29" t="s">
        <v>98</v>
      </c>
      <c r="B28" s="3" t="s">
        <v>93</v>
      </c>
      <c r="C28" s="9" t="s">
        <v>90</v>
      </c>
      <c r="D28" s="3" t="s">
        <v>94</v>
      </c>
      <c r="E28" s="3" t="str">
        <f t="shared" si="13"/>
        <v>Direct</v>
      </c>
      <c r="F28" s="10" t="s">
        <v>59</v>
      </c>
      <c r="G28" s="1">
        <v>128</v>
      </c>
      <c r="H28" s="27">
        <v>26240</v>
      </c>
      <c r="I28" s="82"/>
      <c r="J28" s="116">
        <f t="shared" si="16"/>
        <v>0</v>
      </c>
      <c r="K28" s="117"/>
      <c r="L28" s="22"/>
      <c r="M28" s="22"/>
      <c r="N28" s="22"/>
      <c r="O28" s="22"/>
      <c r="P28" s="23"/>
      <c r="Q28" s="23"/>
      <c r="R28" s="23"/>
      <c r="S28" s="23"/>
      <c r="T28" s="23"/>
      <c r="U28" s="19">
        <f t="shared" si="5"/>
        <v>0</v>
      </c>
      <c r="V28" s="128">
        <f t="shared" si="15"/>
        <v>0</v>
      </c>
      <c r="X28" s="29"/>
      <c r="Y28" s="28"/>
      <c r="AA28" s="2"/>
      <c r="AB28" s="2"/>
      <c r="AC28" s="132"/>
      <c r="AD28" s="8" t="str">
        <f t="shared" si="3"/>
        <v/>
      </c>
    </row>
    <row r="29" spans="1:30" ht="15.75">
      <c r="A29" s="29" t="s">
        <v>99</v>
      </c>
      <c r="B29" s="3" t="s">
        <v>93</v>
      </c>
      <c r="C29" s="3" t="s">
        <v>90</v>
      </c>
      <c r="D29" s="3" t="s">
        <v>97</v>
      </c>
      <c r="E29" s="3" t="str">
        <f t="shared" si="13"/>
        <v>Direct</v>
      </c>
      <c r="F29" s="10" t="s">
        <v>46</v>
      </c>
      <c r="G29" s="3">
        <v>128</v>
      </c>
      <c r="H29" s="28">
        <f>G29*205</f>
        <v>26240</v>
      </c>
      <c r="I29" s="82"/>
      <c r="J29" s="116">
        <f t="shared" si="16"/>
        <v>0</v>
      </c>
      <c r="K29" s="117"/>
      <c r="L29" s="22"/>
      <c r="M29" s="22"/>
      <c r="N29" s="22"/>
      <c r="O29" s="22"/>
      <c r="P29" s="23"/>
      <c r="Q29" s="23"/>
      <c r="R29" s="23"/>
      <c r="S29" s="23"/>
      <c r="T29" s="23"/>
      <c r="U29" s="19">
        <f t="shared" si="5"/>
        <v>0</v>
      </c>
      <c r="V29" s="128">
        <f t="shared" si="15"/>
        <v>0</v>
      </c>
      <c r="X29" s="29"/>
      <c r="Y29" s="28"/>
      <c r="AA29" s="2"/>
      <c r="AB29" s="2"/>
      <c r="AC29" s="132"/>
      <c r="AD29" s="8" t="str">
        <f t="shared" si="3"/>
        <v/>
      </c>
    </row>
    <row r="30" spans="1:30" ht="15.75">
      <c r="A30" s="29" t="s">
        <v>100</v>
      </c>
      <c r="B30" s="3" t="s">
        <v>93</v>
      </c>
      <c r="C30" s="3" t="s">
        <v>90</v>
      </c>
      <c r="D30" s="3" t="s">
        <v>101</v>
      </c>
      <c r="E30" s="3" t="str">
        <f t="shared" si="13"/>
        <v>Direct</v>
      </c>
      <c r="F30" s="10" t="s">
        <v>46</v>
      </c>
      <c r="G30" s="3">
        <v>256</v>
      </c>
      <c r="H30" s="28">
        <f>G30*205</f>
        <v>52480</v>
      </c>
      <c r="I30" s="82"/>
      <c r="J30" s="116">
        <f t="shared" si="16"/>
        <v>0</v>
      </c>
      <c r="K30" s="117"/>
      <c r="L30" s="22"/>
      <c r="M30" s="22"/>
      <c r="N30" s="22"/>
      <c r="O30" s="22"/>
      <c r="P30" s="23"/>
      <c r="Q30" s="23"/>
      <c r="R30" s="23"/>
      <c r="S30" s="23"/>
      <c r="T30" s="23"/>
      <c r="U30" s="19">
        <f t="shared" si="5"/>
        <v>0</v>
      </c>
      <c r="V30" s="128">
        <f t="shared" si="15"/>
        <v>0</v>
      </c>
      <c r="X30" s="79"/>
      <c r="Y30" s="42"/>
      <c r="AA30" s="2"/>
      <c r="AB30" s="2"/>
      <c r="AC30" s="132"/>
      <c r="AD30" s="8" t="str">
        <f t="shared" si="3"/>
        <v/>
      </c>
    </row>
    <row r="31" spans="1:30" ht="15.75">
      <c r="A31" s="29" t="s">
        <v>102</v>
      </c>
      <c r="B31" s="3" t="s">
        <v>103</v>
      </c>
      <c r="C31" s="9" t="s">
        <v>62</v>
      </c>
      <c r="D31" s="3" t="s">
        <v>104</v>
      </c>
      <c r="E31" s="3" t="str">
        <f t="shared" si="13"/>
        <v>Direct</v>
      </c>
      <c r="F31" s="10" t="s">
        <v>31</v>
      </c>
      <c r="G31" s="1">
        <v>112</v>
      </c>
      <c r="H31" s="27">
        <f>G31*210</f>
        <v>23520</v>
      </c>
      <c r="I31" s="82"/>
      <c r="J31" s="116">
        <f t="shared" si="16"/>
        <v>1.2156788487028971</v>
      </c>
      <c r="K31" s="117">
        <f>30199.68/1.0562</f>
        <v>28592.76652149214</v>
      </c>
      <c r="L31" s="22"/>
      <c r="M31" s="22">
        <v>98.14</v>
      </c>
      <c r="N31" s="22"/>
      <c r="O31" s="22"/>
      <c r="P31" s="23"/>
      <c r="Q31" s="23"/>
      <c r="R31" s="23"/>
      <c r="S31" s="23"/>
      <c r="T31" s="23"/>
      <c r="U31" s="19">
        <f t="shared" si="5"/>
        <v>28690.906521492139</v>
      </c>
      <c r="V31" s="128">
        <f t="shared" si="15"/>
        <v>1.2198514677505161</v>
      </c>
      <c r="X31" s="29">
        <v>366458</v>
      </c>
      <c r="Y31" s="42">
        <v>45671</v>
      </c>
      <c r="AA31" s="2"/>
      <c r="AB31" s="2"/>
      <c r="AC31" s="132"/>
      <c r="AD31" s="8" t="str">
        <f t="shared" si="3"/>
        <v/>
      </c>
    </row>
    <row r="32" spans="1:30" ht="15.75">
      <c r="A32" s="29" t="s">
        <v>105</v>
      </c>
      <c r="B32" s="3" t="s">
        <v>106</v>
      </c>
      <c r="C32" s="3" t="s">
        <v>62</v>
      </c>
      <c r="D32" s="3" t="s">
        <v>104</v>
      </c>
      <c r="E32" s="3" t="str">
        <f t="shared" si="13"/>
        <v>Direct</v>
      </c>
      <c r="F32" s="3" t="s">
        <v>31</v>
      </c>
      <c r="G32" s="3">
        <f>9*112</f>
        <v>1008</v>
      </c>
      <c r="H32" s="28">
        <f>G32*210</f>
        <v>211680</v>
      </c>
      <c r="I32" s="82"/>
      <c r="J32" s="116">
        <f t="shared" si="16"/>
        <v>1.2497650915023166</v>
      </c>
      <c r="K32" s="117">
        <f>279418/1.0562</f>
        <v>264550.27456921036</v>
      </c>
      <c r="L32" s="22"/>
      <c r="M32" s="22">
        <v>392.56</v>
      </c>
      <c r="N32" s="22"/>
      <c r="O32" s="22"/>
      <c r="P32" s="23"/>
      <c r="Q32" s="23"/>
      <c r="R32" s="23"/>
      <c r="S32" s="23"/>
      <c r="T32" s="23"/>
      <c r="U32" s="19">
        <f t="shared" si="5"/>
        <v>264942.83456921036</v>
      </c>
      <c r="V32" s="128">
        <f t="shared" si="15"/>
        <v>1.2516195888568138</v>
      </c>
      <c r="X32" s="79" t="s">
        <v>107</v>
      </c>
      <c r="Y32" s="42">
        <v>45671</v>
      </c>
      <c r="AA32" s="2"/>
      <c r="AB32" s="2"/>
      <c r="AC32" s="132"/>
      <c r="AD32" s="8" t="str">
        <f t="shared" si="3"/>
        <v/>
      </c>
    </row>
    <row r="33" spans="1:30" ht="15.75">
      <c r="A33" s="29" t="s">
        <v>108</v>
      </c>
      <c r="B33" s="3" t="s">
        <v>61</v>
      </c>
      <c r="C33" s="3" t="s">
        <v>62</v>
      </c>
      <c r="D33" s="3" t="s">
        <v>386</v>
      </c>
      <c r="E33" s="3" t="str">
        <f t="shared" si="13"/>
        <v>Hiwa</v>
      </c>
      <c r="F33" s="3" t="s">
        <v>31</v>
      </c>
      <c r="G33" s="3">
        <v>112</v>
      </c>
      <c r="H33" s="28">
        <v>23520</v>
      </c>
      <c r="I33" s="82"/>
      <c r="J33" s="116">
        <f>IF(H33="","",+K33/H33)</f>
        <v>1.395</v>
      </c>
      <c r="K33" s="117">
        <v>32810.400000000001</v>
      </c>
      <c r="L33" s="22"/>
      <c r="M33" s="22">
        <v>98.14</v>
      </c>
      <c r="N33" s="22">
        <v>170</v>
      </c>
      <c r="O33" s="22">
        <v>1431.4</v>
      </c>
      <c r="P33" s="23">
        <v>163.85</v>
      </c>
      <c r="Q33" s="23"/>
      <c r="R33" s="23"/>
      <c r="S33" s="23"/>
      <c r="T33" s="23"/>
      <c r="U33" s="19">
        <f t="shared" si="5"/>
        <v>34673.79</v>
      </c>
      <c r="V33" s="128">
        <f t="shared" si="15"/>
        <v>1.4742257653061226</v>
      </c>
      <c r="X33" s="29">
        <v>366388</v>
      </c>
      <c r="Y33" s="42">
        <v>45671</v>
      </c>
      <c r="AA33" s="2">
        <v>0</v>
      </c>
      <c r="AB33" s="2">
        <v>112</v>
      </c>
      <c r="AC33" s="132">
        <v>88</v>
      </c>
      <c r="AD33" s="8">
        <f t="shared" si="3"/>
        <v>27243.692142857144</v>
      </c>
    </row>
    <row r="34" spans="1:30" ht="15.75">
      <c r="A34" s="29" t="s">
        <v>109</v>
      </c>
      <c r="B34" s="3" t="s">
        <v>103</v>
      </c>
      <c r="C34" s="3" t="s">
        <v>62</v>
      </c>
      <c r="D34" s="3" t="s">
        <v>104</v>
      </c>
      <c r="E34" s="3" t="str">
        <f t="shared" si="13"/>
        <v>Direct</v>
      </c>
      <c r="F34" s="3" t="s">
        <v>31</v>
      </c>
      <c r="G34" s="3">
        <v>336</v>
      </c>
      <c r="H34" s="28">
        <f>G34*210</f>
        <v>70560</v>
      </c>
      <c r="I34" s="82"/>
      <c r="J34" s="116">
        <f t="shared" si="16"/>
        <v>1.2839999999999998</v>
      </c>
      <c r="K34" s="117">
        <v>90599.039999999994</v>
      </c>
      <c r="L34" s="22"/>
      <c r="M34" s="22">
        <f>(34.69+63.45)*2</f>
        <v>196.28</v>
      </c>
      <c r="N34" s="22"/>
      <c r="O34" s="22"/>
      <c r="P34" s="23"/>
      <c r="Q34" s="23"/>
      <c r="R34" s="23"/>
      <c r="S34" s="23"/>
      <c r="T34" s="23"/>
      <c r="U34" s="19">
        <f t="shared" si="5"/>
        <v>90795.319999999992</v>
      </c>
      <c r="V34" s="128">
        <f t="shared" si="15"/>
        <v>1.2867817460317459</v>
      </c>
      <c r="X34" s="79" t="s">
        <v>110</v>
      </c>
      <c r="Y34" s="42">
        <v>45672</v>
      </c>
      <c r="AA34" s="2"/>
      <c r="AB34" s="2"/>
      <c r="AC34" s="132"/>
      <c r="AD34" s="8" t="str">
        <f t="shared" si="3"/>
        <v/>
      </c>
    </row>
    <row r="35" spans="1:30" ht="15.75">
      <c r="A35" s="29" t="s">
        <v>111</v>
      </c>
      <c r="B35" s="3" t="s">
        <v>93</v>
      </c>
      <c r="C35" s="3" t="s">
        <v>90</v>
      </c>
      <c r="D35" s="3" t="s">
        <v>112</v>
      </c>
      <c r="E35" s="3" t="str">
        <f t="shared" si="13"/>
        <v>Direct</v>
      </c>
      <c r="F35" s="3" t="s">
        <v>59</v>
      </c>
      <c r="G35" s="3">
        <v>112</v>
      </c>
      <c r="H35" s="28">
        <f>G35*205</f>
        <v>22960</v>
      </c>
      <c r="I35" s="82"/>
      <c r="J35" s="116">
        <f t="shared" si="16"/>
        <v>0</v>
      </c>
      <c r="K35" s="117"/>
      <c r="L35" s="22">
        <f>1656/1.0198</f>
        <v>1623.8478132967248</v>
      </c>
      <c r="M35" s="22"/>
      <c r="N35" s="22"/>
      <c r="O35" s="22"/>
      <c r="P35" s="23"/>
      <c r="Q35" s="23"/>
      <c r="R35" s="23"/>
      <c r="S35" s="23"/>
      <c r="T35" s="23"/>
      <c r="U35" s="19">
        <f t="shared" si="5"/>
        <v>1623.8478132967248</v>
      </c>
      <c r="V35" s="128">
        <f t="shared" si="15"/>
        <v>7.0725078976338188E-2</v>
      </c>
      <c r="X35" s="79"/>
      <c r="Y35" s="42"/>
      <c r="AA35" s="2"/>
      <c r="AB35" s="2"/>
      <c r="AC35" s="132"/>
      <c r="AD35" s="8" t="str">
        <f t="shared" si="3"/>
        <v/>
      </c>
    </row>
    <row r="36" spans="1:30" ht="15.75">
      <c r="A36" s="54" t="s">
        <v>113</v>
      </c>
      <c r="B36" s="3" t="s">
        <v>89</v>
      </c>
      <c r="C36" s="9" t="s">
        <v>90</v>
      </c>
      <c r="D36" s="3" t="s">
        <v>30</v>
      </c>
      <c r="E36" s="3" t="str">
        <f t="shared" si="13"/>
        <v>Hiwa</v>
      </c>
      <c r="F36" s="10" t="s">
        <v>59</v>
      </c>
      <c r="G36" s="1">
        <v>256</v>
      </c>
      <c r="H36" s="27">
        <f>G36*205</f>
        <v>52480</v>
      </c>
      <c r="I36" s="82"/>
      <c r="J36" s="116">
        <f t="shared" si="16"/>
        <v>0.62141955529663062</v>
      </c>
      <c r="K36" s="117">
        <f>33587.2/1.0299</f>
        <v>32612.098261967178</v>
      </c>
      <c r="L36" s="58">
        <f>3092/1.0198</f>
        <v>3031.9670523632085</v>
      </c>
      <c r="M36" s="58"/>
      <c r="N36" s="58"/>
      <c r="O36" s="58"/>
      <c r="P36" s="59"/>
      <c r="Q36" s="59"/>
      <c r="R36" s="59"/>
      <c r="S36" s="59"/>
      <c r="T36" s="59"/>
      <c r="U36" s="19">
        <f t="shared" si="5"/>
        <v>35644.065314330386</v>
      </c>
      <c r="V36" s="128">
        <f t="shared" si="15"/>
        <v>0.67919331772733205</v>
      </c>
      <c r="X36" s="80"/>
      <c r="Y36" s="72"/>
      <c r="AA36" s="2"/>
      <c r="AB36" s="2"/>
      <c r="AC36" s="132"/>
      <c r="AD36" s="8" t="str">
        <f t="shared" si="3"/>
        <v/>
      </c>
    </row>
    <row r="37" spans="1:30" ht="15.75">
      <c r="A37" s="29" t="s">
        <v>115</v>
      </c>
      <c r="B37" s="3" t="s">
        <v>106</v>
      </c>
      <c r="C37" s="55" t="s">
        <v>62</v>
      </c>
      <c r="D37" s="55" t="s">
        <v>116</v>
      </c>
      <c r="E37" s="55" t="str">
        <f t="shared" si="13"/>
        <v>Direct</v>
      </c>
      <c r="F37" s="55" t="s">
        <v>31</v>
      </c>
      <c r="G37" s="55">
        <f>9*112</f>
        <v>1008</v>
      </c>
      <c r="H37" s="56">
        <f>G37*210</f>
        <v>211680</v>
      </c>
      <c r="I37" s="82"/>
      <c r="J37" s="116">
        <f t="shared" si="16"/>
        <v>1.41</v>
      </c>
      <c r="K37" s="119">
        <v>298468.8</v>
      </c>
      <c r="L37" s="58"/>
      <c r="M37" s="58"/>
      <c r="N37" s="58"/>
      <c r="O37" s="58"/>
      <c r="P37" s="59"/>
      <c r="Q37" s="59"/>
      <c r="R37" s="59"/>
      <c r="S37" s="59"/>
      <c r="T37" s="59"/>
      <c r="U37" s="19">
        <f t="shared" si="5"/>
        <v>298468.8</v>
      </c>
      <c r="V37" s="128">
        <f t="shared" si="15"/>
        <v>1.41</v>
      </c>
      <c r="X37" s="54"/>
      <c r="Y37" s="56"/>
      <c r="AA37" s="2"/>
      <c r="AB37" s="2"/>
      <c r="AC37" s="132"/>
      <c r="AD37" s="8" t="str">
        <f t="shared" si="3"/>
        <v/>
      </c>
    </row>
    <row r="38" spans="1:30" ht="15.75">
      <c r="A38" s="54" t="s">
        <v>117</v>
      </c>
      <c r="B38" s="3" t="s">
        <v>118</v>
      </c>
      <c r="C38" s="9" t="s">
        <v>119</v>
      </c>
      <c r="D38" s="13" t="s">
        <v>120</v>
      </c>
      <c r="E38" s="3" t="str">
        <f>IF(B38="","",IF(D38="Godfroy","Godfroy",(IF(LEFT(B38,1)="1","Hiwa","Direct"))))</f>
        <v>Direct</v>
      </c>
      <c r="F38" s="10" t="s">
        <v>128</v>
      </c>
      <c r="G38" s="1">
        <v>52</v>
      </c>
      <c r="H38" s="27">
        <v>10400</v>
      </c>
      <c r="I38" s="82"/>
      <c r="J38" s="116">
        <f t="shared" si="16"/>
        <v>1.54</v>
      </c>
      <c r="K38" s="119">
        <v>16016</v>
      </c>
      <c r="L38" s="58">
        <v>1750</v>
      </c>
      <c r="M38" s="58"/>
      <c r="N38" s="58"/>
      <c r="O38" s="58"/>
      <c r="P38" s="59"/>
      <c r="Q38" s="59"/>
      <c r="R38" s="59"/>
      <c r="S38" s="59"/>
      <c r="T38" s="59"/>
      <c r="U38" s="19">
        <f t="shared" si="5"/>
        <v>17766</v>
      </c>
      <c r="V38" s="128">
        <f t="shared" si="15"/>
        <v>1.7082692307692309</v>
      </c>
      <c r="X38" s="54"/>
      <c r="Y38" s="56"/>
      <c r="AA38" s="2"/>
      <c r="AB38" s="2"/>
      <c r="AC38" s="132"/>
      <c r="AD38" s="8" t="str">
        <f t="shared" si="3"/>
        <v/>
      </c>
    </row>
    <row r="39" spans="1:30" ht="15.75">
      <c r="A39" s="29" t="s">
        <v>122</v>
      </c>
      <c r="B39" s="3" t="s">
        <v>51</v>
      </c>
      <c r="C39" s="9" t="s">
        <v>52</v>
      </c>
      <c r="D39" s="13" t="s">
        <v>30</v>
      </c>
      <c r="E39" s="3" t="str">
        <f t="shared" ref="E39" si="17">IF(B39="","",IF(D39="Godfroy","Godfroy",(IF(LEFT(B39,1)="1","Hiwa","Direct"))))</f>
        <v>Hiwa</v>
      </c>
      <c r="F39" s="3" t="s">
        <v>46</v>
      </c>
      <c r="G39" s="1">
        <v>80</v>
      </c>
      <c r="H39" s="27">
        <v>16800</v>
      </c>
      <c r="I39" s="82"/>
      <c r="J39" s="116">
        <f t="shared" si="16"/>
        <v>3.8447831726780617</v>
      </c>
      <c r="K39" s="119">
        <f>67105/1.0389</f>
        <v>64592.35730099144</v>
      </c>
      <c r="L39" s="58"/>
      <c r="M39" s="58"/>
      <c r="N39" s="58"/>
      <c r="O39" s="58"/>
      <c r="P39" s="59"/>
      <c r="Q39" s="59"/>
      <c r="R39" s="59"/>
      <c r="S39" s="59"/>
      <c r="T39" s="59"/>
      <c r="U39" s="19">
        <f t="shared" si="5"/>
        <v>64592.35730099144</v>
      </c>
      <c r="V39" s="128">
        <f t="shared" si="15"/>
        <v>3.8447831726780617</v>
      </c>
      <c r="X39" s="54"/>
      <c r="Y39" s="72"/>
      <c r="AA39" s="2"/>
      <c r="AB39" s="2"/>
      <c r="AC39" s="132"/>
      <c r="AD39" s="8" t="str">
        <f t="shared" si="3"/>
        <v/>
      </c>
    </row>
    <row r="40" spans="1:30" ht="15.75">
      <c r="A40" s="54" t="s">
        <v>124</v>
      </c>
      <c r="B40" s="3" t="s">
        <v>125</v>
      </c>
      <c r="C40" s="3" t="s">
        <v>126</v>
      </c>
      <c r="D40" s="3" t="s">
        <v>127</v>
      </c>
      <c r="E40" s="3" t="str">
        <f>IF(B40="","",IF(D40="Godfroy","Godfroy",(IF(LEFT(B40,1)="1","Hiwa","Direct"))))</f>
        <v>Direct</v>
      </c>
      <c r="F40" s="3" t="s">
        <v>128</v>
      </c>
      <c r="G40" s="3">
        <v>4</v>
      </c>
      <c r="H40" s="28">
        <v>880</v>
      </c>
      <c r="I40" s="82"/>
      <c r="J40" s="116">
        <f>IF(H40="","",+K40/H40)</f>
        <v>0.92045454545454541</v>
      </c>
      <c r="K40" s="119">
        <v>810</v>
      </c>
      <c r="L40" s="58">
        <v>294</v>
      </c>
      <c r="M40" s="58"/>
      <c r="N40" s="58"/>
      <c r="O40" s="58"/>
      <c r="P40" s="59"/>
      <c r="Q40" s="59"/>
      <c r="R40" s="59"/>
      <c r="S40" s="59"/>
      <c r="T40" s="59"/>
      <c r="U40" s="19">
        <f t="shared" si="5"/>
        <v>1104</v>
      </c>
      <c r="V40" s="128">
        <f>IF(J40="","",+U40/H40)</f>
        <v>1.2545454545454546</v>
      </c>
      <c r="X40" s="54"/>
      <c r="Y40" s="56"/>
      <c r="AA40" s="2"/>
      <c r="AB40" s="2"/>
      <c r="AC40" s="132"/>
      <c r="AD40" s="8" t="str">
        <f t="shared" si="3"/>
        <v/>
      </c>
    </row>
    <row r="41" spans="1:30" ht="15.75">
      <c r="A41" s="29" t="s">
        <v>129</v>
      </c>
      <c r="B41" s="3" t="s">
        <v>106</v>
      </c>
      <c r="C41" s="9" t="s">
        <v>62</v>
      </c>
      <c r="D41" s="3" t="s">
        <v>104</v>
      </c>
      <c r="E41" s="3" t="str">
        <f t="shared" ref="E41:E45" si="18">IF(B41="","",IF(D41="Godfroy","Godfroy",(IF(LEFT(B41,1)="1","Hiwa","Direct"))))</f>
        <v>Direct</v>
      </c>
      <c r="F41" s="10" t="s">
        <v>31</v>
      </c>
      <c r="G41" s="1">
        <f>6*112</f>
        <v>672</v>
      </c>
      <c r="H41" s="27">
        <f>G41*210</f>
        <v>141120</v>
      </c>
      <c r="I41" s="82"/>
      <c r="J41" s="116">
        <f>IF(H41="","",+K41/H41)</f>
        <v>1.32</v>
      </c>
      <c r="K41" s="119">
        <v>186278.39999999999</v>
      </c>
      <c r="L41" s="58"/>
      <c r="M41" s="22">
        <f>(34.69+63.45)*4</f>
        <v>392.56</v>
      </c>
      <c r="N41" s="58"/>
      <c r="O41" s="58"/>
      <c r="P41" s="59"/>
      <c r="Q41" s="59"/>
      <c r="R41" s="59"/>
      <c r="S41" s="59"/>
      <c r="T41" s="59"/>
      <c r="U41" s="19">
        <f t="shared" si="5"/>
        <v>186670.96</v>
      </c>
      <c r="V41" s="128">
        <f>IF(J41="","",+U41/H41)</f>
        <v>1.3227817460317459</v>
      </c>
      <c r="X41" s="79" t="s">
        <v>130</v>
      </c>
      <c r="Y41" s="42">
        <v>45672</v>
      </c>
      <c r="AA41" s="2"/>
      <c r="AB41" s="2"/>
      <c r="AC41" s="132"/>
      <c r="AD41" s="8" t="str">
        <f t="shared" si="3"/>
        <v/>
      </c>
    </row>
    <row r="42" spans="1:30" ht="15.75">
      <c r="A42" s="54" t="s">
        <v>131</v>
      </c>
      <c r="B42" s="3" t="s">
        <v>132</v>
      </c>
      <c r="C42" s="3" t="s">
        <v>133</v>
      </c>
      <c r="D42" s="13" t="s">
        <v>134</v>
      </c>
      <c r="E42" s="3" t="str">
        <f t="shared" si="18"/>
        <v>Direct</v>
      </c>
      <c r="F42" s="3" t="s">
        <v>121</v>
      </c>
      <c r="G42" s="65">
        <v>32</v>
      </c>
      <c r="H42" s="53">
        <f>G42*220</f>
        <v>7040</v>
      </c>
      <c r="I42" s="82"/>
      <c r="J42" s="116">
        <f t="shared" ref="J42:J105" si="19">IF(H42="","",+K42/H42)</f>
        <v>1.45</v>
      </c>
      <c r="K42" s="119">
        <v>10208</v>
      </c>
      <c r="L42" s="58">
        <v>704</v>
      </c>
      <c r="M42" s="58"/>
      <c r="N42" s="58"/>
      <c r="O42" s="58"/>
      <c r="P42" s="59"/>
      <c r="Q42" s="59"/>
      <c r="R42" s="59"/>
      <c r="S42" s="59"/>
      <c r="T42" s="59"/>
      <c r="U42" s="19">
        <f t="shared" si="5"/>
        <v>10912</v>
      </c>
      <c r="V42" s="128">
        <f t="shared" ref="V42:V48" si="20">IF(J42="","",+U42/H42)</f>
        <v>1.55</v>
      </c>
      <c r="X42" s="54"/>
      <c r="Y42" s="56"/>
      <c r="AA42" s="2"/>
      <c r="AB42" s="2"/>
      <c r="AC42" s="132"/>
    </row>
    <row r="43" spans="1:30" ht="15.75">
      <c r="A43" s="29" t="s">
        <v>135</v>
      </c>
      <c r="B43" s="3" t="s">
        <v>136</v>
      </c>
      <c r="C43" s="3" t="s">
        <v>133</v>
      </c>
      <c r="D43" s="13" t="s">
        <v>134</v>
      </c>
      <c r="E43" s="3" t="str">
        <f t="shared" si="18"/>
        <v>Direct</v>
      </c>
      <c r="F43" s="3" t="s">
        <v>121</v>
      </c>
      <c r="G43" s="65">
        <v>8</v>
      </c>
      <c r="H43" s="53">
        <f>G43*220</f>
        <v>1760</v>
      </c>
      <c r="I43" s="82"/>
      <c r="J43" s="116">
        <f t="shared" si="19"/>
        <v>1.24</v>
      </c>
      <c r="K43" s="119">
        <v>2182.4</v>
      </c>
      <c r="L43" s="58">
        <v>176</v>
      </c>
      <c r="M43" s="58"/>
      <c r="N43" s="58"/>
      <c r="O43" s="58"/>
      <c r="P43" s="59"/>
      <c r="Q43" s="59"/>
      <c r="R43" s="59"/>
      <c r="S43" s="59"/>
      <c r="T43" s="59"/>
      <c r="U43" s="19">
        <f t="shared" si="5"/>
        <v>2358.4</v>
      </c>
      <c r="V43" s="128">
        <f t="shared" si="20"/>
        <v>1.34</v>
      </c>
      <c r="X43" s="54"/>
      <c r="Y43" s="56"/>
      <c r="AA43" s="2"/>
      <c r="AB43" s="2"/>
      <c r="AC43" s="132"/>
    </row>
    <row r="44" spans="1:30" ht="15.75">
      <c r="A44" s="54" t="s">
        <v>137</v>
      </c>
      <c r="B44" s="3" t="s">
        <v>103</v>
      </c>
      <c r="C44" s="9" t="s">
        <v>62</v>
      </c>
      <c r="D44" s="3" t="s">
        <v>104</v>
      </c>
      <c r="E44" s="3" t="str">
        <f t="shared" si="18"/>
        <v>Direct</v>
      </c>
      <c r="F44" s="10" t="s">
        <v>31</v>
      </c>
      <c r="G44" s="1">
        <f>6*112</f>
        <v>672</v>
      </c>
      <c r="H44" s="27">
        <f>G44*210</f>
        <v>141120</v>
      </c>
      <c r="I44" s="82"/>
      <c r="J44" s="116">
        <f t="shared" si="19"/>
        <v>0</v>
      </c>
      <c r="K44" s="117"/>
      <c r="L44" s="22"/>
      <c r="M44" s="22"/>
      <c r="N44" s="22"/>
      <c r="O44" s="22"/>
      <c r="P44" s="23"/>
      <c r="Q44" s="23"/>
      <c r="R44" s="23"/>
      <c r="S44" s="23"/>
      <c r="T44" s="23"/>
      <c r="U44" s="19">
        <f t="shared" si="5"/>
        <v>0</v>
      </c>
      <c r="V44" s="128">
        <f t="shared" si="20"/>
        <v>0</v>
      </c>
      <c r="X44" s="54"/>
      <c r="Y44" s="56"/>
      <c r="AA44" s="2"/>
      <c r="AB44" s="2"/>
      <c r="AC44" s="132"/>
    </row>
    <row r="45" spans="1:30" ht="15.75">
      <c r="A45" s="29" t="s">
        <v>138</v>
      </c>
      <c r="B45" s="3" t="s">
        <v>106</v>
      </c>
      <c r="C45" s="3" t="s">
        <v>62</v>
      </c>
      <c r="D45" s="3" t="s">
        <v>104</v>
      </c>
      <c r="E45" s="3" t="str">
        <f t="shared" si="18"/>
        <v>Direct</v>
      </c>
      <c r="F45" s="3" t="s">
        <v>31</v>
      </c>
      <c r="G45" s="3">
        <f>12*112</f>
        <v>1344</v>
      </c>
      <c r="H45" s="28">
        <f>G45*210</f>
        <v>282240</v>
      </c>
      <c r="I45" s="82"/>
      <c r="J45" s="116">
        <f t="shared" si="19"/>
        <v>0</v>
      </c>
      <c r="K45" s="117"/>
      <c r="L45" s="22"/>
      <c r="M45" s="22"/>
      <c r="N45" s="22"/>
      <c r="O45" s="22"/>
      <c r="P45" s="23"/>
      <c r="Q45" s="23"/>
      <c r="R45" s="23"/>
      <c r="S45" s="23"/>
      <c r="T45" s="23"/>
      <c r="U45" s="19">
        <f t="shared" si="5"/>
        <v>0</v>
      </c>
      <c r="V45" s="128">
        <f t="shared" si="20"/>
        <v>0</v>
      </c>
      <c r="X45" s="54"/>
      <c r="Y45" s="56"/>
      <c r="AA45" s="2"/>
      <c r="AB45" s="2"/>
      <c r="AC45" s="132"/>
    </row>
    <row r="46" spans="1:30" ht="15.75">
      <c r="A46" s="29" t="s">
        <v>139</v>
      </c>
      <c r="B46" s="3" t="s">
        <v>140</v>
      </c>
      <c r="C46" s="3" t="s">
        <v>62</v>
      </c>
      <c r="D46" s="3" t="s">
        <v>104</v>
      </c>
      <c r="E46" s="3" t="str">
        <f t="shared" si="13"/>
        <v>Direct</v>
      </c>
      <c r="F46" s="3" t="s">
        <v>31</v>
      </c>
      <c r="G46" s="3">
        <v>896</v>
      </c>
      <c r="H46" s="28">
        <f>+G46*210</f>
        <v>188160</v>
      </c>
      <c r="I46" s="82"/>
      <c r="J46" s="116">
        <f t="shared" si="19"/>
        <v>0</v>
      </c>
      <c r="K46" s="117"/>
      <c r="L46" s="22"/>
      <c r="M46" s="22"/>
      <c r="N46" s="22"/>
      <c r="O46" s="22"/>
      <c r="P46" s="23"/>
      <c r="Q46" s="23"/>
      <c r="R46" s="23"/>
      <c r="S46" s="23"/>
      <c r="T46" s="23"/>
      <c r="U46" s="19">
        <f t="shared" si="5"/>
        <v>0</v>
      </c>
      <c r="V46" s="128">
        <f t="shared" si="20"/>
        <v>0</v>
      </c>
      <c r="X46" s="80"/>
      <c r="Y46" s="72"/>
      <c r="AA46" s="2"/>
      <c r="AB46" s="2"/>
      <c r="AC46" s="132"/>
      <c r="AD46" s="8" t="str">
        <f>IF(AC46&gt;0,(((H46/G46)*AC46)*V46),"")</f>
        <v/>
      </c>
    </row>
    <row r="47" spans="1:30" ht="15.75">
      <c r="A47" s="29" t="s">
        <v>142</v>
      </c>
      <c r="B47" s="3" t="s">
        <v>143</v>
      </c>
      <c r="C47" s="9" t="s">
        <v>119</v>
      </c>
      <c r="D47" s="3" t="s">
        <v>144</v>
      </c>
      <c r="E47" s="3" t="str">
        <f t="shared" ref="E47:E49" si="21">IF(B47="","",IF(D47="Godfroy","Godfroy",(IF(LEFT(B47,1)="1","Hiwa","Direct"))))</f>
        <v>Direct</v>
      </c>
      <c r="F47" s="10" t="s">
        <v>121</v>
      </c>
      <c r="G47" s="1">
        <v>110</v>
      </c>
      <c r="H47" s="27">
        <v>1100</v>
      </c>
      <c r="I47" s="82"/>
      <c r="J47" s="116">
        <f t="shared" si="19"/>
        <v>1.085</v>
      </c>
      <c r="K47" s="117">
        <v>1193.5</v>
      </c>
      <c r="L47" s="22"/>
      <c r="M47" s="22"/>
      <c r="N47" s="22"/>
      <c r="O47" s="22"/>
      <c r="P47" s="23"/>
      <c r="Q47" s="23"/>
      <c r="R47" s="23"/>
      <c r="S47" s="23"/>
      <c r="T47" s="23"/>
      <c r="U47" s="19">
        <f t="shared" si="5"/>
        <v>1193.5</v>
      </c>
      <c r="V47" s="128">
        <f t="shared" si="20"/>
        <v>1.085</v>
      </c>
      <c r="X47" s="54"/>
      <c r="Y47" s="56"/>
      <c r="AA47" s="2"/>
      <c r="AB47" s="2"/>
      <c r="AC47" s="132"/>
    </row>
    <row r="48" spans="1:30" ht="15.75">
      <c r="A48" s="29" t="s">
        <v>145</v>
      </c>
      <c r="B48" s="3" t="s">
        <v>93</v>
      </c>
      <c r="C48" s="3" t="s">
        <v>90</v>
      </c>
      <c r="D48" s="3" t="s">
        <v>112</v>
      </c>
      <c r="E48" s="3" t="str">
        <f t="shared" si="21"/>
        <v>Direct</v>
      </c>
      <c r="F48" s="3" t="s">
        <v>59</v>
      </c>
      <c r="G48" s="3">
        <v>112</v>
      </c>
      <c r="H48" s="28">
        <f>G48*205</f>
        <v>22960</v>
      </c>
      <c r="I48" s="82"/>
      <c r="J48" s="116">
        <f t="shared" si="19"/>
        <v>0</v>
      </c>
      <c r="K48" s="117"/>
      <c r="L48" s="22"/>
      <c r="M48" s="22"/>
      <c r="N48" s="22"/>
      <c r="O48" s="22"/>
      <c r="P48" s="23"/>
      <c r="Q48" s="23"/>
      <c r="R48" s="23"/>
      <c r="S48" s="23"/>
      <c r="T48" s="23"/>
      <c r="U48" s="19">
        <f t="shared" si="5"/>
        <v>0</v>
      </c>
      <c r="V48" s="128">
        <f t="shared" si="20"/>
        <v>0</v>
      </c>
      <c r="X48" s="54"/>
      <c r="Y48" s="56"/>
      <c r="AA48" s="2"/>
      <c r="AB48" s="2"/>
      <c r="AC48" s="132"/>
    </row>
    <row r="49" spans="1:29" ht="15.75">
      <c r="A49" s="29" t="s">
        <v>146</v>
      </c>
      <c r="B49" s="3" t="s">
        <v>147</v>
      </c>
      <c r="C49" s="3" t="s">
        <v>133</v>
      </c>
      <c r="D49" s="3" t="s">
        <v>148</v>
      </c>
      <c r="E49" s="3" t="str">
        <f t="shared" si="21"/>
        <v>Direct</v>
      </c>
      <c r="F49" s="3" t="s">
        <v>121</v>
      </c>
      <c r="G49" s="3">
        <v>12</v>
      </c>
      <c r="H49" s="28">
        <f>G49*220</f>
        <v>2640</v>
      </c>
      <c r="I49" s="82"/>
      <c r="J49" s="116">
        <f t="shared" si="19"/>
        <v>1.8099999999999998</v>
      </c>
      <c r="K49" s="117">
        <v>4778.3999999999996</v>
      </c>
      <c r="L49" s="22">
        <v>380</v>
      </c>
      <c r="M49" s="22"/>
      <c r="N49" s="22"/>
      <c r="O49" s="22"/>
      <c r="P49" s="23"/>
      <c r="Q49" s="23"/>
      <c r="R49" s="23"/>
      <c r="S49" s="23"/>
      <c r="T49" s="23"/>
      <c r="U49" s="19">
        <f t="shared" ref="U49:U112" si="22">IF(B49="","",K49+SUM(L49:Q49))</f>
        <v>5158.3999999999996</v>
      </c>
      <c r="V49" s="128">
        <f t="shared" ref="V49:V112" si="23">IF(J49="","",+U49/H49)</f>
        <v>1.9539393939393939</v>
      </c>
      <c r="X49" s="54"/>
      <c r="Y49" s="56"/>
      <c r="AA49" s="2"/>
      <c r="AB49" s="2"/>
      <c r="AC49" s="132"/>
    </row>
    <row r="50" spans="1:29" ht="15.75">
      <c r="A50" s="29" t="s">
        <v>149</v>
      </c>
      <c r="B50" s="3" t="s">
        <v>143</v>
      </c>
      <c r="C50" s="9" t="s">
        <v>119</v>
      </c>
      <c r="D50" s="3" t="s">
        <v>150</v>
      </c>
      <c r="E50" s="3" t="str">
        <f t="shared" ref="E50:E51" si="24">IF(B50="","",IF(D50="Godfroy","Godfroy",(IF(LEFT(B50,1)="1","Hiwa","Direct"))))</f>
        <v>Direct</v>
      </c>
      <c r="F50" s="10" t="s">
        <v>121</v>
      </c>
      <c r="G50" s="1">
        <v>110</v>
      </c>
      <c r="H50" s="27">
        <v>1100</v>
      </c>
      <c r="I50" s="82"/>
      <c r="J50" s="116">
        <f t="shared" si="19"/>
        <v>1.085</v>
      </c>
      <c r="K50" s="117">
        <v>1193.5</v>
      </c>
      <c r="L50" s="22"/>
      <c r="M50" s="22"/>
      <c r="N50" s="22"/>
      <c r="O50" s="22"/>
      <c r="P50" s="23"/>
      <c r="Q50" s="23"/>
      <c r="R50" s="23"/>
      <c r="S50" s="23"/>
      <c r="T50" s="23"/>
      <c r="U50" s="19">
        <f t="shared" si="22"/>
        <v>1193.5</v>
      </c>
      <c r="V50" s="128">
        <f t="shared" si="23"/>
        <v>1.085</v>
      </c>
      <c r="X50" s="54"/>
      <c r="Y50" s="56"/>
      <c r="AA50" s="2"/>
      <c r="AB50" s="2"/>
      <c r="AC50" s="132"/>
    </row>
    <row r="51" spans="1:29" ht="15.75">
      <c r="A51" s="29" t="s">
        <v>151</v>
      </c>
      <c r="B51" s="3" t="s">
        <v>143</v>
      </c>
      <c r="C51" s="9" t="s">
        <v>119</v>
      </c>
      <c r="D51" s="3" t="s">
        <v>144</v>
      </c>
      <c r="E51" s="3" t="str">
        <f t="shared" si="24"/>
        <v>Direct</v>
      </c>
      <c r="F51" s="10" t="s">
        <v>121</v>
      </c>
      <c r="G51" s="1">
        <v>110</v>
      </c>
      <c r="H51" s="27">
        <v>1100</v>
      </c>
      <c r="I51" s="82"/>
      <c r="J51" s="116">
        <f t="shared" si="19"/>
        <v>0</v>
      </c>
      <c r="K51" s="117"/>
      <c r="L51" s="22"/>
      <c r="M51" s="22"/>
      <c r="N51" s="22"/>
      <c r="O51" s="22"/>
      <c r="P51" s="23"/>
      <c r="Q51" s="23"/>
      <c r="R51" s="23"/>
      <c r="S51" s="23"/>
      <c r="T51" s="23"/>
      <c r="U51" s="19">
        <f t="shared" si="22"/>
        <v>0</v>
      </c>
      <c r="V51" s="128">
        <f t="shared" si="23"/>
        <v>0</v>
      </c>
      <c r="X51" s="54"/>
      <c r="Y51" s="56"/>
      <c r="AA51" s="2"/>
      <c r="AB51" s="2"/>
      <c r="AC51" s="132"/>
    </row>
    <row r="52" spans="1:29" ht="15.75">
      <c r="A52" s="29" t="s">
        <v>152</v>
      </c>
      <c r="B52" s="3" t="s">
        <v>125</v>
      </c>
      <c r="C52" s="3" t="s">
        <v>126</v>
      </c>
      <c r="D52" s="3" t="s">
        <v>127</v>
      </c>
      <c r="E52" s="3" t="str">
        <f>IF(B52="","",IF(D52="Godfroy","Godfroy",(IF(LEFT(B52,1)="1","Hiwa","Direct"))))</f>
        <v>Direct</v>
      </c>
      <c r="F52" s="3" t="s">
        <v>128</v>
      </c>
      <c r="G52" s="3">
        <v>4</v>
      </c>
      <c r="H52" s="28">
        <v>880</v>
      </c>
      <c r="I52" s="82"/>
      <c r="J52" s="116">
        <f t="shared" si="19"/>
        <v>0</v>
      </c>
      <c r="K52" s="117"/>
      <c r="L52" s="22"/>
      <c r="M52" s="22"/>
      <c r="N52" s="22"/>
      <c r="O52" s="22"/>
      <c r="P52" s="23"/>
      <c r="Q52" s="23"/>
      <c r="R52" s="23"/>
      <c r="S52" s="23"/>
      <c r="T52" s="23"/>
      <c r="U52" s="19">
        <f t="shared" si="22"/>
        <v>0</v>
      </c>
      <c r="V52" s="128">
        <f t="shared" si="23"/>
        <v>0</v>
      </c>
      <c r="X52" s="54"/>
      <c r="Y52" s="56"/>
      <c r="AA52" s="2"/>
      <c r="AB52" s="2"/>
      <c r="AC52" s="132"/>
    </row>
    <row r="53" spans="1:29" ht="15.75">
      <c r="A53" s="29" t="s">
        <v>154</v>
      </c>
      <c r="B53" s="3" t="s">
        <v>89</v>
      </c>
      <c r="C53" s="9" t="s">
        <v>90</v>
      </c>
      <c r="D53" s="3" t="s">
        <v>30</v>
      </c>
      <c r="E53" s="3" t="str">
        <f t="shared" ref="E53" si="25">IF(B53="","",IF(D53="Godfroy","Godfroy",(IF(LEFT(B53,1)="1","Hiwa","Direct"))))</f>
        <v>Hiwa</v>
      </c>
      <c r="F53" s="10" t="s">
        <v>59</v>
      </c>
      <c r="G53" s="1">
        <v>512</v>
      </c>
      <c r="H53" s="27">
        <f>G53*205</f>
        <v>104960</v>
      </c>
      <c r="I53" s="82"/>
      <c r="J53" s="116">
        <f t="shared" si="19"/>
        <v>0</v>
      </c>
      <c r="K53" s="117"/>
      <c r="L53" s="22"/>
      <c r="M53" s="22"/>
      <c r="N53" s="22"/>
      <c r="O53" s="22"/>
      <c r="P53" s="23"/>
      <c r="Q53" s="23"/>
      <c r="R53" s="23"/>
      <c r="S53" s="23"/>
      <c r="T53" s="23"/>
      <c r="U53" s="19">
        <f t="shared" si="22"/>
        <v>0</v>
      </c>
      <c r="V53" s="128">
        <f t="shared" si="23"/>
        <v>0</v>
      </c>
      <c r="X53" s="80"/>
      <c r="Y53" s="72"/>
      <c r="AA53" s="2"/>
      <c r="AB53" s="2"/>
      <c r="AC53" s="132"/>
    </row>
    <row r="54" spans="1:29" ht="15.75">
      <c r="A54" s="29" t="s">
        <v>156</v>
      </c>
      <c r="B54" s="3" t="s">
        <v>157</v>
      </c>
      <c r="C54" s="3" t="s">
        <v>126</v>
      </c>
      <c r="D54" s="3" t="s">
        <v>158</v>
      </c>
      <c r="E54" s="3" t="str">
        <f>IF(B54="","",IF(D54="Godfroy","Godfroy",(IF(LEFT(B54,1)="1","Hiwa","Direct"))))</f>
        <v>Direct</v>
      </c>
      <c r="F54" s="3" t="s">
        <v>128</v>
      </c>
      <c r="G54" s="3">
        <v>24</v>
      </c>
      <c r="H54" s="28">
        <f>G54*21</f>
        <v>504</v>
      </c>
      <c r="I54" s="82"/>
      <c r="J54" s="116">
        <f t="shared" si="19"/>
        <v>0</v>
      </c>
      <c r="K54" s="117"/>
      <c r="L54" s="22"/>
      <c r="M54" s="22"/>
      <c r="N54" s="22"/>
      <c r="O54" s="22"/>
      <c r="P54" s="23"/>
      <c r="Q54" s="23"/>
      <c r="R54" s="23"/>
      <c r="S54" s="23"/>
      <c r="T54" s="23"/>
      <c r="U54" s="19">
        <f t="shared" si="22"/>
        <v>0</v>
      </c>
      <c r="V54" s="128">
        <f t="shared" si="23"/>
        <v>0</v>
      </c>
      <c r="X54" s="54"/>
      <c r="Y54" s="56"/>
      <c r="AA54" s="2"/>
      <c r="AB54" s="2"/>
      <c r="AC54" s="132"/>
    </row>
    <row r="55" spans="1:29" ht="15.75">
      <c r="A55" s="29" t="s">
        <v>159</v>
      </c>
      <c r="B55" s="3" t="s">
        <v>157</v>
      </c>
      <c r="C55" s="3" t="s">
        <v>126</v>
      </c>
      <c r="D55" s="3" t="s">
        <v>158</v>
      </c>
      <c r="E55" s="3" t="str">
        <f>IF(B55="","",IF(D55="Godfroy","Godfroy",(IF(LEFT(B55,1)="1","Hiwa","Direct"))))</f>
        <v>Direct</v>
      </c>
      <c r="F55" s="3" t="s">
        <v>128</v>
      </c>
      <c r="G55" s="3">
        <v>24</v>
      </c>
      <c r="H55" s="28">
        <f>G55*21</f>
        <v>504</v>
      </c>
      <c r="I55" s="82"/>
      <c r="J55" s="116">
        <f t="shared" si="19"/>
        <v>0</v>
      </c>
      <c r="K55" s="117"/>
      <c r="L55" s="22"/>
      <c r="M55" s="22"/>
      <c r="N55" s="22"/>
      <c r="O55" s="22"/>
      <c r="P55" s="23"/>
      <c r="Q55" s="23"/>
      <c r="R55" s="23"/>
      <c r="S55" s="23"/>
      <c r="T55" s="23"/>
      <c r="U55" s="19">
        <f t="shared" si="22"/>
        <v>0</v>
      </c>
      <c r="V55" s="128">
        <f t="shared" si="23"/>
        <v>0</v>
      </c>
      <c r="X55" s="54"/>
      <c r="Y55" s="56"/>
      <c r="AA55" s="2"/>
      <c r="AB55" s="2"/>
      <c r="AC55" s="132"/>
    </row>
    <row r="56" spans="1:29" ht="15.75">
      <c r="A56" s="29" t="s">
        <v>160</v>
      </c>
      <c r="B56" s="3" t="s">
        <v>103</v>
      </c>
      <c r="C56" s="9" t="s">
        <v>62</v>
      </c>
      <c r="D56" s="3" t="s">
        <v>104</v>
      </c>
      <c r="E56" s="3" t="str">
        <f t="shared" ref="E56:E58" si="26">IF(B56="","",IF(D56="Godfroy","Godfroy",(IF(LEFT(B56,1)="1","Hiwa","Direct"))))</f>
        <v>Direct</v>
      </c>
      <c r="F56" s="10" t="s">
        <v>31</v>
      </c>
      <c r="G56" s="1">
        <f>3*112</f>
        <v>336</v>
      </c>
      <c r="H56" s="27">
        <f>G56*210</f>
        <v>70560</v>
      </c>
      <c r="I56" s="82"/>
      <c r="J56" s="116">
        <f t="shared" si="19"/>
        <v>0</v>
      </c>
      <c r="K56" s="117"/>
      <c r="L56" s="22"/>
      <c r="M56" s="22"/>
      <c r="N56" s="22"/>
      <c r="O56" s="22"/>
      <c r="P56" s="23"/>
      <c r="Q56" s="23"/>
      <c r="R56" s="23"/>
      <c r="S56" s="23"/>
      <c r="T56" s="23"/>
      <c r="U56" s="19">
        <f t="shared" si="22"/>
        <v>0</v>
      </c>
      <c r="V56" s="128">
        <f t="shared" si="23"/>
        <v>0</v>
      </c>
      <c r="X56" s="80"/>
      <c r="Y56" s="72"/>
      <c r="AA56" s="2"/>
      <c r="AB56" s="2"/>
      <c r="AC56" s="132"/>
    </row>
    <row r="57" spans="1:29" ht="15.75">
      <c r="A57" s="29" t="s">
        <v>163</v>
      </c>
      <c r="B57" s="3" t="s">
        <v>106</v>
      </c>
      <c r="C57" s="3" t="s">
        <v>62</v>
      </c>
      <c r="D57" s="3" t="s">
        <v>104</v>
      </c>
      <c r="E57" s="3" t="str">
        <f t="shared" si="26"/>
        <v>Direct</v>
      </c>
      <c r="F57" s="3" t="s">
        <v>31</v>
      </c>
      <c r="G57" s="3">
        <f>5*112</f>
        <v>560</v>
      </c>
      <c r="H57" s="28">
        <f>G57*210</f>
        <v>117600</v>
      </c>
      <c r="I57" s="82"/>
      <c r="J57" s="116">
        <f t="shared" si="19"/>
        <v>0</v>
      </c>
      <c r="K57" s="117"/>
      <c r="L57" s="22"/>
      <c r="M57" s="22"/>
      <c r="N57" s="22"/>
      <c r="O57" s="22"/>
      <c r="P57" s="23"/>
      <c r="Q57" s="23"/>
      <c r="R57" s="23"/>
      <c r="S57" s="23"/>
      <c r="T57" s="23"/>
      <c r="U57" s="19">
        <f t="shared" si="22"/>
        <v>0</v>
      </c>
      <c r="V57" s="128">
        <f t="shared" si="23"/>
        <v>0</v>
      </c>
      <c r="X57" s="80"/>
      <c r="Y57" s="72"/>
      <c r="AA57" s="2"/>
      <c r="AB57" s="2"/>
      <c r="AC57" s="132"/>
    </row>
    <row r="58" spans="1:29" ht="15.75">
      <c r="A58" s="29" t="s">
        <v>165</v>
      </c>
      <c r="B58" s="3" t="s">
        <v>86</v>
      </c>
      <c r="C58" s="3" t="s">
        <v>80</v>
      </c>
      <c r="D58" s="13" t="s">
        <v>87</v>
      </c>
      <c r="E58" s="3" t="str">
        <f t="shared" si="26"/>
        <v>Direct</v>
      </c>
      <c r="F58" s="3" t="s">
        <v>59</v>
      </c>
      <c r="G58" s="3">
        <v>112</v>
      </c>
      <c r="H58" s="28">
        <v>24080</v>
      </c>
      <c r="I58" s="82"/>
      <c r="J58" s="116">
        <f t="shared" si="19"/>
        <v>0</v>
      </c>
      <c r="K58" s="117"/>
      <c r="L58" s="22"/>
      <c r="M58" s="22"/>
      <c r="N58" s="22"/>
      <c r="O58" s="22"/>
      <c r="P58" s="23"/>
      <c r="Q58" s="23"/>
      <c r="R58" s="23"/>
      <c r="S58" s="23"/>
      <c r="T58" s="23"/>
      <c r="U58" s="19">
        <f t="shared" si="22"/>
        <v>0</v>
      </c>
      <c r="V58" s="128">
        <f t="shared" si="23"/>
        <v>0</v>
      </c>
      <c r="X58" s="54"/>
      <c r="Y58" s="56"/>
      <c r="AA58" s="2"/>
      <c r="AB58" s="2"/>
      <c r="AC58" s="132"/>
    </row>
    <row r="59" spans="1:29" ht="15.75">
      <c r="A59" s="29" t="s">
        <v>166</v>
      </c>
      <c r="B59" s="3"/>
      <c r="C59" s="9"/>
      <c r="D59" s="3"/>
      <c r="E59" s="3"/>
      <c r="F59" s="10"/>
      <c r="G59" s="1"/>
      <c r="H59" s="27"/>
      <c r="I59" s="82"/>
      <c r="J59" s="116" t="str">
        <f t="shared" si="19"/>
        <v/>
      </c>
      <c r="K59" s="117"/>
      <c r="L59" s="22"/>
      <c r="M59" s="22"/>
      <c r="N59" s="22"/>
      <c r="O59" s="22"/>
      <c r="P59" s="23"/>
      <c r="Q59" s="23"/>
      <c r="R59" s="23"/>
      <c r="S59" s="23"/>
      <c r="T59" s="23"/>
      <c r="U59" s="19" t="str">
        <f t="shared" si="22"/>
        <v/>
      </c>
      <c r="V59" s="128" t="str">
        <f t="shared" si="23"/>
        <v/>
      </c>
      <c r="X59" s="80"/>
      <c r="Y59" s="72"/>
      <c r="AA59" s="2"/>
      <c r="AB59" s="2"/>
      <c r="AC59" s="132"/>
    </row>
    <row r="60" spans="1:29" ht="15.75">
      <c r="A60" s="29" t="s">
        <v>168</v>
      </c>
      <c r="B60" s="3"/>
      <c r="C60" s="9"/>
      <c r="D60" s="3"/>
      <c r="E60" s="3"/>
      <c r="F60" s="10"/>
      <c r="G60" s="1"/>
      <c r="H60" s="27"/>
      <c r="I60" s="82"/>
      <c r="J60" s="116" t="str">
        <f t="shared" si="19"/>
        <v/>
      </c>
      <c r="K60" s="117"/>
      <c r="L60" s="22"/>
      <c r="M60" s="22"/>
      <c r="N60" s="22"/>
      <c r="O60" s="22"/>
      <c r="P60" s="23"/>
      <c r="Q60" s="23"/>
      <c r="R60" s="23"/>
      <c r="S60" s="23"/>
      <c r="T60" s="23"/>
      <c r="U60" s="19" t="str">
        <f t="shared" si="22"/>
        <v/>
      </c>
      <c r="V60" s="128" t="str">
        <f t="shared" si="23"/>
        <v/>
      </c>
      <c r="X60" s="80"/>
      <c r="Y60" s="72"/>
      <c r="AA60" s="2"/>
      <c r="AB60" s="2"/>
      <c r="AC60" s="132"/>
    </row>
    <row r="61" spans="1:29" ht="15.75">
      <c r="A61" s="29" t="s">
        <v>170</v>
      </c>
      <c r="B61" s="3"/>
      <c r="C61" s="3"/>
      <c r="D61" s="3"/>
      <c r="E61" s="3"/>
      <c r="F61" s="3"/>
      <c r="G61" s="3"/>
      <c r="H61" s="28"/>
      <c r="I61" s="82"/>
      <c r="J61" s="116" t="str">
        <f t="shared" si="19"/>
        <v/>
      </c>
      <c r="K61" s="117"/>
      <c r="L61" s="22"/>
      <c r="M61" s="22"/>
      <c r="N61" s="22"/>
      <c r="O61" s="22"/>
      <c r="P61" s="23"/>
      <c r="Q61" s="23"/>
      <c r="R61" s="23"/>
      <c r="S61" s="23"/>
      <c r="T61" s="23"/>
      <c r="U61" s="19" t="str">
        <f t="shared" si="22"/>
        <v/>
      </c>
      <c r="V61" s="128" t="str">
        <f t="shared" si="23"/>
        <v/>
      </c>
      <c r="X61" s="54"/>
      <c r="Y61" s="56"/>
      <c r="AA61" s="2"/>
      <c r="AB61" s="2"/>
      <c r="AC61" s="132"/>
    </row>
    <row r="62" spans="1:29" ht="15.75">
      <c r="A62" s="29" t="s">
        <v>174</v>
      </c>
      <c r="B62" s="3"/>
      <c r="C62" s="9"/>
      <c r="D62" s="3"/>
      <c r="E62" s="3"/>
      <c r="F62" s="10"/>
      <c r="G62" s="1"/>
      <c r="H62" s="27"/>
      <c r="I62" s="82"/>
      <c r="J62" s="116" t="str">
        <f t="shared" si="19"/>
        <v/>
      </c>
      <c r="K62" s="117"/>
      <c r="L62" s="22"/>
      <c r="M62" s="22"/>
      <c r="N62" s="22"/>
      <c r="O62" s="22"/>
      <c r="P62" s="23"/>
      <c r="Q62" s="23"/>
      <c r="R62" s="23"/>
      <c r="S62" s="23"/>
      <c r="T62" s="23"/>
      <c r="U62" s="19" t="str">
        <f t="shared" si="22"/>
        <v/>
      </c>
      <c r="V62" s="128" t="str">
        <f t="shared" si="23"/>
        <v/>
      </c>
      <c r="X62" s="54"/>
      <c r="Y62" s="56"/>
      <c r="AA62" s="2"/>
      <c r="AB62" s="2"/>
      <c r="AC62" s="132"/>
    </row>
    <row r="63" spans="1:29" ht="15.75">
      <c r="A63" s="29" t="s">
        <v>178</v>
      </c>
      <c r="B63" s="3"/>
      <c r="C63" s="9"/>
      <c r="D63" s="3"/>
      <c r="E63" s="3"/>
      <c r="F63" s="10"/>
      <c r="G63" s="1"/>
      <c r="H63" s="27"/>
      <c r="I63" s="82"/>
      <c r="J63" s="116" t="str">
        <f t="shared" si="19"/>
        <v/>
      </c>
      <c r="K63" s="117"/>
      <c r="L63" s="22"/>
      <c r="M63" s="22"/>
      <c r="N63" s="22"/>
      <c r="O63" s="22"/>
      <c r="P63" s="23"/>
      <c r="Q63" s="23"/>
      <c r="R63" s="23"/>
      <c r="S63" s="23"/>
      <c r="T63" s="23"/>
      <c r="U63" s="19" t="str">
        <f t="shared" si="22"/>
        <v/>
      </c>
      <c r="V63" s="128" t="str">
        <f t="shared" si="23"/>
        <v/>
      </c>
      <c r="X63" s="54"/>
      <c r="Y63" s="56"/>
      <c r="AA63" s="2"/>
      <c r="AB63" s="2"/>
      <c r="AC63" s="132"/>
    </row>
    <row r="64" spans="1:29" ht="15.75">
      <c r="A64" s="29" t="s">
        <v>180</v>
      </c>
      <c r="B64" s="3"/>
      <c r="C64" s="9"/>
      <c r="D64" s="3"/>
      <c r="E64" s="3"/>
      <c r="F64" s="10"/>
      <c r="G64" s="1"/>
      <c r="H64" s="27"/>
      <c r="I64" s="82"/>
      <c r="J64" s="116" t="str">
        <f t="shared" si="19"/>
        <v/>
      </c>
      <c r="K64" s="117"/>
      <c r="L64" s="22"/>
      <c r="M64" s="22"/>
      <c r="N64" s="22"/>
      <c r="O64" s="22"/>
      <c r="P64" s="23"/>
      <c r="Q64" s="23"/>
      <c r="R64" s="23"/>
      <c r="S64" s="23"/>
      <c r="T64" s="23"/>
      <c r="U64" s="19" t="str">
        <f t="shared" si="22"/>
        <v/>
      </c>
      <c r="V64" s="128" t="str">
        <f t="shared" si="23"/>
        <v/>
      </c>
      <c r="X64" s="54"/>
      <c r="Y64" s="56"/>
      <c r="AA64" s="2"/>
      <c r="AB64" s="2"/>
      <c r="AC64" s="132"/>
    </row>
    <row r="65" spans="1:29" ht="15.75">
      <c r="A65" s="29" t="s">
        <v>181</v>
      </c>
      <c r="B65" s="3"/>
      <c r="C65" s="9"/>
      <c r="D65" s="3"/>
      <c r="E65" s="3"/>
      <c r="F65" s="10"/>
      <c r="G65" s="1"/>
      <c r="H65" s="27"/>
      <c r="I65" s="82"/>
      <c r="J65" s="116" t="str">
        <f t="shared" si="19"/>
        <v/>
      </c>
      <c r="K65" s="117"/>
      <c r="L65" s="22"/>
      <c r="M65" s="22"/>
      <c r="N65" s="22"/>
      <c r="O65" s="22"/>
      <c r="P65" s="23"/>
      <c r="Q65" s="23"/>
      <c r="R65" s="23"/>
      <c r="S65" s="23"/>
      <c r="T65" s="23"/>
      <c r="U65" s="19" t="str">
        <f t="shared" si="22"/>
        <v/>
      </c>
      <c r="V65" s="128" t="str">
        <f t="shared" si="23"/>
        <v/>
      </c>
      <c r="X65" s="54"/>
      <c r="Y65" s="56"/>
      <c r="AA65" s="2"/>
      <c r="AB65" s="2"/>
      <c r="AC65" s="132"/>
    </row>
    <row r="66" spans="1:29" ht="15.75">
      <c r="A66" s="29" t="s">
        <v>182</v>
      </c>
      <c r="B66" s="3"/>
      <c r="C66" s="3"/>
      <c r="D66" s="13"/>
      <c r="E66" s="3"/>
      <c r="F66" s="3"/>
      <c r="G66" s="3"/>
      <c r="H66" s="28"/>
      <c r="I66" s="82"/>
      <c r="J66" s="116" t="str">
        <f t="shared" si="19"/>
        <v/>
      </c>
      <c r="K66" s="117"/>
      <c r="L66" s="22"/>
      <c r="M66" s="22"/>
      <c r="N66" s="22"/>
      <c r="O66" s="22"/>
      <c r="P66" s="23"/>
      <c r="Q66" s="23"/>
      <c r="R66" s="23"/>
      <c r="S66" s="23"/>
      <c r="T66" s="23"/>
      <c r="U66" s="19" t="str">
        <f t="shared" si="22"/>
        <v/>
      </c>
      <c r="V66" s="128" t="str">
        <f t="shared" si="23"/>
        <v/>
      </c>
      <c r="X66" s="54"/>
      <c r="Y66" s="56"/>
      <c r="AA66" s="2"/>
      <c r="AB66" s="2"/>
      <c r="AC66" s="132"/>
    </row>
    <row r="67" spans="1:29" s="98" customFormat="1" ht="15.75">
      <c r="A67" s="84" t="s">
        <v>185</v>
      </c>
      <c r="B67" s="85"/>
      <c r="C67" s="86"/>
      <c r="D67" s="87"/>
      <c r="E67" s="85"/>
      <c r="F67" s="88"/>
      <c r="G67" s="89"/>
      <c r="H67" s="90"/>
      <c r="I67" s="91"/>
      <c r="J67" s="120" t="str">
        <f t="shared" si="19"/>
        <v/>
      </c>
      <c r="K67" s="121"/>
      <c r="L67" s="94"/>
      <c r="M67" s="94"/>
      <c r="N67" s="94"/>
      <c r="O67" s="94"/>
      <c r="P67" s="95"/>
      <c r="Q67" s="95"/>
      <c r="R67" s="95"/>
      <c r="S67" s="95"/>
      <c r="T67" s="95"/>
      <c r="U67" s="96" t="str">
        <f t="shared" si="22"/>
        <v/>
      </c>
      <c r="V67" s="129" t="str">
        <f t="shared" si="23"/>
        <v/>
      </c>
      <c r="X67" s="99"/>
      <c r="Y67" s="100"/>
      <c r="AA67" s="101"/>
      <c r="AB67" s="101"/>
      <c r="AC67" s="133"/>
    </row>
    <row r="68" spans="1:29" ht="15.75">
      <c r="A68" s="29" t="s">
        <v>187</v>
      </c>
      <c r="B68" s="3"/>
      <c r="C68" s="9"/>
      <c r="D68" s="3"/>
      <c r="E68" s="3"/>
      <c r="F68" s="3"/>
      <c r="G68" s="3"/>
      <c r="H68" s="28"/>
      <c r="I68" s="82"/>
      <c r="J68" s="116" t="str">
        <f t="shared" si="19"/>
        <v/>
      </c>
      <c r="K68" s="117"/>
      <c r="L68" s="22"/>
      <c r="M68" s="22"/>
      <c r="N68" s="22"/>
      <c r="O68" s="22"/>
      <c r="P68" s="23"/>
      <c r="Q68" s="23"/>
      <c r="R68" s="23"/>
      <c r="S68" s="23"/>
      <c r="T68" s="23"/>
      <c r="U68" s="19" t="str">
        <f t="shared" si="22"/>
        <v/>
      </c>
      <c r="V68" s="128" t="str">
        <f t="shared" si="23"/>
        <v/>
      </c>
      <c r="X68" s="54"/>
      <c r="Y68" s="56"/>
      <c r="AA68" s="2"/>
      <c r="AB68" s="2"/>
      <c r="AC68" s="132"/>
    </row>
    <row r="69" spans="1:29" ht="15.75">
      <c r="A69" s="29" t="s">
        <v>189</v>
      </c>
      <c r="B69" s="3"/>
      <c r="C69" s="9"/>
      <c r="D69" s="3"/>
      <c r="E69" s="3"/>
      <c r="F69" s="3"/>
      <c r="G69" s="3"/>
      <c r="H69" s="28"/>
      <c r="I69" s="82"/>
      <c r="J69" s="116" t="str">
        <f t="shared" si="19"/>
        <v/>
      </c>
      <c r="K69" s="117"/>
      <c r="L69" s="106"/>
      <c r="M69" s="22"/>
      <c r="N69" s="22"/>
      <c r="O69" s="22"/>
      <c r="P69" s="23"/>
      <c r="Q69" s="23"/>
      <c r="R69" s="23"/>
      <c r="S69" s="23"/>
      <c r="T69" s="23"/>
      <c r="U69" s="19" t="str">
        <f t="shared" si="22"/>
        <v/>
      </c>
      <c r="V69" s="128" t="str">
        <f t="shared" si="23"/>
        <v/>
      </c>
      <c r="X69" s="54"/>
      <c r="Y69" s="56"/>
      <c r="AA69" s="2"/>
      <c r="AB69" s="2"/>
      <c r="AC69" s="132"/>
    </row>
    <row r="70" spans="1:29" ht="15.75">
      <c r="A70" s="29" t="s">
        <v>190</v>
      </c>
      <c r="B70" s="3"/>
      <c r="C70" s="3"/>
      <c r="D70" s="3"/>
      <c r="E70" s="3"/>
      <c r="F70" s="3"/>
      <c r="G70" s="3"/>
      <c r="H70" s="28"/>
      <c r="I70" s="82"/>
      <c r="J70" s="116" t="str">
        <f t="shared" si="19"/>
        <v/>
      </c>
      <c r="K70" s="117"/>
      <c r="L70" s="22"/>
      <c r="M70" s="22"/>
      <c r="N70" s="22"/>
      <c r="O70" s="22"/>
      <c r="P70" s="23"/>
      <c r="Q70" s="23"/>
      <c r="R70" s="23"/>
      <c r="S70" s="23"/>
      <c r="T70" s="23"/>
      <c r="U70" s="19" t="str">
        <f t="shared" si="22"/>
        <v/>
      </c>
      <c r="V70" s="128" t="str">
        <f t="shared" si="23"/>
        <v/>
      </c>
      <c r="X70" s="54"/>
      <c r="Y70" s="56"/>
      <c r="AA70" s="2"/>
      <c r="AB70" s="2"/>
      <c r="AC70" s="132"/>
    </row>
    <row r="71" spans="1:29" ht="15.75">
      <c r="A71" s="29" t="s">
        <v>191</v>
      </c>
      <c r="B71" s="3"/>
      <c r="C71" s="3"/>
      <c r="D71" s="3"/>
      <c r="E71" s="3"/>
      <c r="F71" s="3"/>
      <c r="G71" s="3"/>
      <c r="H71" s="28"/>
      <c r="I71" s="82"/>
      <c r="J71" s="116" t="str">
        <f t="shared" si="19"/>
        <v/>
      </c>
      <c r="K71" s="117"/>
      <c r="L71" s="22"/>
      <c r="M71" s="22"/>
      <c r="N71" s="22"/>
      <c r="O71" s="22"/>
      <c r="P71" s="23"/>
      <c r="Q71" s="23"/>
      <c r="R71" s="23"/>
      <c r="S71" s="23"/>
      <c r="T71" s="23"/>
      <c r="U71" s="19" t="str">
        <f t="shared" si="22"/>
        <v/>
      </c>
      <c r="V71" s="128" t="str">
        <f t="shared" si="23"/>
        <v/>
      </c>
      <c r="X71" s="54"/>
      <c r="Y71" s="56"/>
      <c r="AA71" s="2"/>
      <c r="AB71" s="2"/>
      <c r="AC71" s="132"/>
    </row>
    <row r="72" spans="1:29" ht="15.75">
      <c r="A72" s="29" t="s">
        <v>192</v>
      </c>
      <c r="B72" s="3"/>
      <c r="C72" s="3"/>
      <c r="D72" s="3"/>
      <c r="E72" s="3"/>
      <c r="F72" s="3"/>
      <c r="G72" s="3"/>
      <c r="H72" s="28"/>
      <c r="I72" s="82"/>
      <c r="J72" s="116" t="str">
        <f t="shared" si="19"/>
        <v/>
      </c>
      <c r="K72" s="117"/>
      <c r="L72" s="22"/>
      <c r="M72" s="22"/>
      <c r="N72" s="22"/>
      <c r="O72" s="22"/>
      <c r="P72" s="23"/>
      <c r="Q72" s="23"/>
      <c r="R72" s="23"/>
      <c r="S72" s="23"/>
      <c r="T72" s="23"/>
      <c r="U72" s="19" t="str">
        <f t="shared" si="22"/>
        <v/>
      </c>
      <c r="V72" s="128" t="str">
        <f t="shared" si="23"/>
        <v/>
      </c>
      <c r="X72" s="54"/>
      <c r="Y72" s="56"/>
      <c r="AA72" s="2"/>
      <c r="AB72" s="2"/>
      <c r="AC72" s="132"/>
    </row>
    <row r="73" spans="1:29" ht="15.75">
      <c r="A73" s="29" t="s">
        <v>195</v>
      </c>
      <c r="B73" s="3"/>
      <c r="C73" s="9"/>
      <c r="D73" s="3"/>
      <c r="E73" s="3"/>
      <c r="F73" s="10"/>
      <c r="G73" s="14"/>
      <c r="H73" s="81"/>
      <c r="I73" s="82"/>
      <c r="J73" s="116" t="str">
        <f t="shared" si="19"/>
        <v/>
      </c>
      <c r="K73" s="117"/>
      <c r="L73" s="22"/>
      <c r="M73" s="22"/>
      <c r="N73" s="22"/>
      <c r="O73" s="22"/>
      <c r="P73" s="23"/>
      <c r="Q73" s="23"/>
      <c r="R73" s="23"/>
      <c r="S73" s="23"/>
      <c r="T73" s="23"/>
      <c r="U73" s="19" t="str">
        <f t="shared" si="22"/>
        <v/>
      </c>
      <c r="V73" s="128" t="str">
        <f t="shared" si="23"/>
        <v/>
      </c>
      <c r="X73" s="54"/>
      <c r="Y73" s="56"/>
      <c r="AA73" s="2"/>
      <c r="AB73" s="2"/>
      <c r="AC73" s="132"/>
    </row>
    <row r="74" spans="1:29" ht="15.75">
      <c r="A74" s="29" t="s">
        <v>198</v>
      </c>
      <c r="B74" s="3"/>
      <c r="C74" s="3"/>
      <c r="D74" s="13"/>
      <c r="E74" s="3"/>
      <c r="F74" s="3"/>
      <c r="G74" s="65"/>
      <c r="H74" s="53"/>
      <c r="I74" s="82"/>
      <c r="J74" s="116" t="str">
        <f t="shared" si="19"/>
        <v/>
      </c>
      <c r="K74" s="117"/>
      <c r="L74" s="22"/>
      <c r="M74" s="22"/>
      <c r="N74" s="22"/>
      <c r="O74" s="22"/>
      <c r="P74" s="23"/>
      <c r="Q74" s="23"/>
      <c r="R74" s="23"/>
      <c r="S74" s="23"/>
      <c r="T74" s="23"/>
      <c r="U74" s="19" t="str">
        <f t="shared" si="22"/>
        <v/>
      </c>
      <c r="V74" s="128" t="str">
        <f t="shared" si="23"/>
        <v/>
      </c>
      <c r="X74" s="54"/>
      <c r="Y74" s="56"/>
      <c r="AA74" s="2"/>
      <c r="AB74" s="2"/>
      <c r="AC74" s="132"/>
    </row>
    <row r="75" spans="1:29" ht="15.75">
      <c r="A75" s="29" t="s">
        <v>199</v>
      </c>
      <c r="B75" s="3"/>
      <c r="C75" s="3"/>
      <c r="D75" s="13"/>
      <c r="E75" s="3"/>
      <c r="F75" s="3"/>
      <c r="G75" s="65"/>
      <c r="H75" s="53"/>
      <c r="I75" s="82"/>
      <c r="J75" s="116" t="str">
        <f t="shared" si="19"/>
        <v/>
      </c>
      <c r="K75" s="117"/>
      <c r="L75" s="22"/>
      <c r="M75" s="22"/>
      <c r="N75" s="22"/>
      <c r="O75" s="22"/>
      <c r="P75" s="23"/>
      <c r="Q75" s="23"/>
      <c r="R75" s="23"/>
      <c r="S75" s="23"/>
      <c r="T75" s="23"/>
      <c r="U75" s="19" t="str">
        <f t="shared" si="22"/>
        <v/>
      </c>
      <c r="V75" s="128" t="str">
        <f t="shared" si="23"/>
        <v/>
      </c>
      <c r="X75" s="54"/>
      <c r="Y75" s="56"/>
      <c r="AA75" s="2"/>
      <c r="AB75" s="2"/>
      <c r="AC75" s="132"/>
    </row>
    <row r="76" spans="1:29" ht="15.75">
      <c r="A76" s="29" t="s">
        <v>200</v>
      </c>
      <c r="B76" s="3"/>
      <c r="C76" s="9"/>
      <c r="D76" s="3"/>
      <c r="E76" s="3"/>
      <c r="F76" s="10"/>
      <c r="G76" s="1"/>
      <c r="H76" s="27"/>
      <c r="I76" s="82"/>
      <c r="J76" s="116" t="str">
        <f t="shared" si="19"/>
        <v/>
      </c>
      <c r="K76" s="117"/>
      <c r="L76" s="22"/>
      <c r="M76" s="22"/>
      <c r="N76" s="22"/>
      <c r="O76" s="22"/>
      <c r="P76" s="23"/>
      <c r="Q76" s="23"/>
      <c r="R76" s="23"/>
      <c r="S76" s="23"/>
      <c r="T76" s="23"/>
      <c r="U76" s="19" t="str">
        <f t="shared" si="22"/>
        <v/>
      </c>
      <c r="V76" s="128" t="str">
        <f t="shared" si="23"/>
        <v/>
      </c>
      <c r="X76" s="54"/>
      <c r="Y76" s="56"/>
      <c r="AA76" s="2"/>
      <c r="AB76" s="2"/>
      <c r="AC76" s="132"/>
    </row>
    <row r="77" spans="1:29" ht="15.75">
      <c r="A77" s="29" t="s">
        <v>201</v>
      </c>
      <c r="B77" s="3"/>
      <c r="C77" s="3"/>
      <c r="D77" s="3"/>
      <c r="E77" s="3"/>
      <c r="F77" s="3"/>
      <c r="G77" s="3"/>
      <c r="H77" s="28"/>
      <c r="I77" s="82"/>
      <c r="J77" s="116" t="str">
        <f t="shared" si="19"/>
        <v/>
      </c>
      <c r="K77" s="117"/>
      <c r="L77" s="22"/>
      <c r="M77" s="22"/>
      <c r="N77" s="22"/>
      <c r="O77" s="22"/>
      <c r="P77" s="23"/>
      <c r="Q77" s="23"/>
      <c r="R77" s="23"/>
      <c r="S77" s="23"/>
      <c r="T77" s="23"/>
      <c r="U77" s="19" t="str">
        <f t="shared" si="22"/>
        <v/>
      </c>
      <c r="V77" s="128" t="str">
        <f t="shared" si="23"/>
        <v/>
      </c>
      <c r="X77" s="54"/>
      <c r="Y77" s="56"/>
      <c r="AA77" s="2"/>
      <c r="AB77" s="2"/>
      <c r="AC77" s="132"/>
    </row>
    <row r="78" spans="1:29" ht="15.75">
      <c r="A78" s="29" t="s">
        <v>202</v>
      </c>
      <c r="B78" s="3"/>
      <c r="C78" s="3"/>
      <c r="D78" s="3"/>
      <c r="E78" s="3"/>
      <c r="F78" s="3"/>
      <c r="G78" s="3"/>
      <c r="H78" s="28"/>
      <c r="I78" s="82"/>
      <c r="J78" s="116" t="str">
        <f t="shared" si="19"/>
        <v/>
      </c>
      <c r="K78" s="117"/>
      <c r="L78" s="22"/>
      <c r="M78" s="22"/>
      <c r="N78" s="22"/>
      <c r="O78" s="22"/>
      <c r="P78" s="23"/>
      <c r="Q78" s="23"/>
      <c r="R78" s="23"/>
      <c r="S78" s="23"/>
      <c r="T78" s="23"/>
      <c r="U78" s="19" t="str">
        <f t="shared" si="22"/>
        <v/>
      </c>
      <c r="V78" s="128" t="str">
        <f t="shared" si="23"/>
        <v/>
      </c>
      <c r="X78" s="54"/>
      <c r="Y78" s="56"/>
      <c r="AA78" s="2"/>
      <c r="AB78" s="2"/>
      <c r="AC78" s="132"/>
    </row>
    <row r="79" spans="1:29" ht="15.75">
      <c r="A79" s="29" t="s">
        <v>203</v>
      </c>
      <c r="B79" s="3"/>
      <c r="C79" s="9"/>
      <c r="D79" s="13"/>
      <c r="E79" s="3"/>
      <c r="F79" s="3"/>
      <c r="G79" s="1"/>
      <c r="H79" s="27"/>
      <c r="I79" s="82"/>
      <c r="J79" s="116" t="str">
        <f t="shared" si="19"/>
        <v/>
      </c>
      <c r="K79" s="122"/>
      <c r="L79" s="22"/>
      <c r="M79" s="22"/>
      <c r="N79" s="22"/>
      <c r="O79" s="22"/>
      <c r="P79" s="23"/>
      <c r="Q79" s="23"/>
      <c r="R79" s="23"/>
      <c r="S79" s="23"/>
      <c r="T79" s="23"/>
      <c r="U79" s="19" t="str">
        <f t="shared" si="22"/>
        <v/>
      </c>
      <c r="V79" s="128" t="str">
        <f t="shared" si="23"/>
        <v/>
      </c>
      <c r="X79" s="54"/>
      <c r="Y79" s="56"/>
      <c r="AA79" s="2"/>
      <c r="AB79" s="2"/>
      <c r="AC79" s="132"/>
    </row>
    <row r="80" spans="1:29" ht="15.75">
      <c r="A80" s="29" t="s">
        <v>204</v>
      </c>
      <c r="B80" s="3"/>
      <c r="C80" s="9"/>
      <c r="D80" s="3"/>
      <c r="E80" s="3"/>
      <c r="F80" s="10"/>
      <c r="G80" s="1"/>
      <c r="H80" s="27"/>
      <c r="I80" s="82"/>
      <c r="J80" s="116" t="str">
        <f t="shared" si="19"/>
        <v/>
      </c>
      <c r="K80" s="123"/>
      <c r="L80" s="22"/>
      <c r="M80" s="22"/>
      <c r="N80" s="22"/>
      <c r="O80" s="22"/>
      <c r="P80" s="23"/>
      <c r="Q80" s="23"/>
      <c r="R80" s="23"/>
      <c r="S80" s="23"/>
      <c r="T80" s="23"/>
      <c r="U80" s="19" t="str">
        <f t="shared" si="22"/>
        <v/>
      </c>
      <c r="V80" s="128" t="str">
        <f t="shared" si="23"/>
        <v/>
      </c>
      <c r="X80" s="80"/>
      <c r="Y80" s="72"/>
      <c r="AA80" s="2"/>
      <c r="AB80" s="2"/>
      <c r="AC80" s="132"/>
    </row>
    <row r="81" spans="1:29" ht="15.75">
      <c r="A81" s="29" t="s">
        <v>206</v>
      </c>
      <c r="B81" s="3"/>
      <c r="C81" s="9"/>
      <c r="D81" s="3"/>
      <c r="E81" s="3"/>
      <c r="F81" s="10"/>
      <c r="G81" s="1"/>
      <c r="H81" s="27"/>
      <c r="I81" s="82"/>
      <c r="J81" s="116" t="str">
        <f t="shared" si="19"/>
        <v/>
      </c>
      <c r="K81" s="122"/>
      <c r="L81" s="17"/>
      <c r="M81" s="22"/>
      <c r="N81" s="22"/>
      <c r="O81" s="22"/>
      <c r="P81" s="22"/>
      <c r="Q81" s="23"/>
      <c r="R81" s="23"/>
      <c r="S81" s="23"/>
      <c r="T81" s="23"/>
      <c r="U81" s="19" t="str">
        <f t="shared" si="22"/>
        <v/>
      </c>
      <c r="V81" s="128" t="str">
        <f t="shared" si="23"/>
        <v/>
      </c>
      <c r="X81" s="80"/>
      <c r="Y81" s="72"/>
      <c r="AA81" s="2"/>
      <c r="AB81" s="2"/>
      <c r="AC81" s="132"/>
    </row>
    <row r="82" spans="1:29" ht="15.75">
      <c r="A82" s="29" t="s">
        <v>208</v>
      </c>
      <c r="B82" s="3"/>
      <c r="C82" s="3"/>
      <c r="D82" s="3"/>
      <c r="E82" s="3"/>
      <c r="F82" s="3"/>
      <c r="G82" s="3"/>
      <c r="H82" s="28"/>
      <c r="I82" s="82"/>
      <c r="J82" s="116" t="str">
        <f t="shared" si="19"/>
        <v/>
      </c>
      <c r="K82" s="123"/>
      <c r="L82" s="22"/>
      <c r="M82" s="22"/>
      <c r="N82" s="22"/>
      <c r="O82" s="22"/>
      <c r="P82" s="23"/>
      <c r="Q82" s="23"/>
      <c r="R82" s="23"/>
      <c r="S82" s="23"/>
      <c r="T82" s="23"/>
      <c r="U82" s="19" t="str">
        <f t="shared" si="22"/>
        <v/>
      </c>
      <c r="V82" s="128" t="str">
        <f t="shared" si="23"/>
        <v/>
      </c>
      <c r="X82" s="80"/>
      <c r="Y82" s="56"/>
      <c r="AA82" s="2"/>
      <c r="AB82" s="2"/>
      <c r="AC82" s="132"/>
    </row>
    <row r="83" spans="1:29" ht="15.75">
      <c r="A83" s="29" t="s">
        <v>210</v>
      </c>
      <c r="B83" s="3"/>
      <c r="C83" s="3"/>
      <c r="D83" s="3"/>
      <c r="E83" s="3"/>
      <c r="F83" s="3"/>
      <c r="G83" s="3"/>
      <c r="H83" s="28"/>
      <c r="I83" s="82"/>
      <c r="J83" s="116" t="str">
        <f t="shared" si="19"/>
        <v/>
      </c>
      <c r="K83" s="122"/>
      <c r="L83" s="22"/>
      <c r="M83" s="22"/>
      <c r="N83" s="22"/>
      <c r="O83" s="22"/>
      <c r="P83" s="23"/>
      <c r="Q83" s="23"/>
      <c r="R83" s="23"/>
      <c r="S83" s="23"/>
      <c r="T83" s="23"/>
      <c r="U83" s="19" t="str">
        <f t="shared" si="22"/>
        <v/>
      </c>
      <c r="V83" s="128" t="str">
        <f t="shared" si="23"/>
        <v/>
      </c>
      <c r="X83" s="54"/>
      <c r="Y83" s="56"/>
      <c r="AA83" s="2"/>
      <c r="AB83" s="2"/>
      <c r="AC83" s="132"/>
    </row>
    <row r="84" spans="1:29" ht="15.75">
      <c r="A84" s="29" t="s">
        <v>211</v>
      </c>
      <c r="B84" s="3"/>
      <c r="C84" s="3"/>
      <c r="D84" s="3"/>
      <c r="E84" s="3"/>
      <c r="F84" s="3"/>
      <c r="G84" s="3"/>
      <c r="H84" s="28"/>
      <c r="I84" s="82"/>
      <c r="J84" s="116" t="str">
        <f t="shared" si="19"/>
        <v/>
      </c>
      <c r="K84" s="122"/>
      <c r="L84" s="22"/>
      <c r="M84" s="22"/>
      <c r="N84" s="22"/>
      <c r="O84" s="22"/>
      <c r="P84" s="23"/>
      <c r="Q84" s="23"/>
      <c r="R84" s="23"/>
      <c r="S84" s="23"/>
      <c r="T84" s="23"/>
      <c r="U84" s="19" t="str">
        <f t="shared" si="22"/>
        <v/>
      </c>
      <c r="V84" s="128" t="str">
        <f t="shared" si="23"/>
        <v/>
      </c>
      <c r="X84" s="54"/>
      <c r="Y84" s="56"/>
      <c r="AA84" s="2"/>
      <c r="AB84" s="2"/>
      <c r="AC84" s="132"/>
    </row>
    <row r="85" spans="1:29" ht="15.75">
      <c r="A85" s="29" t="s">
        <v>212</v>
      </c>
      <c r="B85" s="3"/>
      <c r="C85" s="9"/>
      <c r="D85" s="3"/>
      <c r="E85" s="3"/>
      <c r="F85" s="10"/>
      <c r="G85" s="1"/>
      <c r="H85" s="27"/>
      <c r="I85" s="82"/>
      <c r="J85" s="116" t="str">
        <f t="shared" si="19"/>
        <v/>
      </c>
      <c r="K85" s="117"/>
      <c r="L85" s="22"/>
      <c r="M85" s="22"/>
      <c r="N85" s="22"/>
      <c r="O85" s="22"/>
      <c r="P85" s="23"/>
      <c r="Q85" s="23"/>
      <c r="R85" s="23"/>
      <c r="S85" s="23"/>
      <c r="T85" s="23"/>
      <c r="U85" s="19" t="str">
        <f t="shared" si="22"/>
        <v/>
      </c>
      <c r="V85" s="128" t="str">
        <f t="shared" si="23"/>
        <v/>
      </c>
      <c r="X85" s="54"/>
      <c r="Y85" s="56"/>
      <c r="AA85" s="2"/>
      <c r="AB85" s="2"/>
      <c r="AC85" s="132"/>
    </row>
    <row r="86" spans="1:29" ht="15.75">
      <c r="A86" s="29" t="s">
        <v>213</v>
      </c>
      <c r="B86" s="3"/>
      <c r="C86" s="9"/>
      <c r="D86" s="3"/>
      <c r="E86" s="3"/>
      <c r="F86" s="10"/>
      <c r="G86" s="1"/>
      <c r="H86" s="27"/>
      <c r="I86" s="82"/>
      <c r="J86" s="116" t="str">
        <f t="shared" si="19"/>
        <v/>
      </c>
      <c r="K86" s="117"/>
      <c r="L86" s="22"/>
      <c r="M86" s="22"/>
      <c r="N86" s="22"/>
      <c r="O86" s="22"/>
      <c r="P86" s="23"/>
      <c r="Q86" s="23"/>
      <c r="R86" s="23"/>
      <c r="S86" s="23"/>
      <c r="T86" s="23"/>
      <c r="U86" s="19" t="str">
        <f t="shared" si="22"/>
        <v/>
      </c>
      <c r="V86" s="128" t="str">
        <f t="shared" si="23"/>
        <v/>
      </c>
      <c r="X86" s="54"/>
      <c r="Y86" s="56"/>
      <c r="AA86" s="2"/>
      <c r="AB86" s="2"/>
      <c r="AC86" s="132"/>
    </row>
    <row r="87" spans="1:29" ht="15.75">
      <c r="A87" s="29" t="s">
        <v>216</v>
      </c>
      <c r="B87" s="3"/>
      <c r="C87" s="9"/>
      <c r="D87" s="3"/>
      <c r="E87" s="3"/>
      <c r="F87" s="10"/>
      <c r="G87" s="1"/>
      <c r="H87" s="27"/>
      <c r="I87" s="82"/>
      <c r="J87" s="116" t="str">
        <f t="shared" si="19"/>
        <v/>
      </c>
      <c r="K87" s="117"/>
      <c r="L87" s="22"/>
      <c r="M87" s="22"/>
      <c r="N87" s="22"/>
      <c r="O87" s="22"/>
      <c r="P87" s="23"/>
      <c r="Q87" s="23"/>
      <c r="R87" s="23"/>
      <c r="S87" s="23"/>
      <c r="T87" s="23"/>
      <c r="U87" s="19" t="str">
        <f t="shared" si="22"/>
        <v/>
      </c>
      <c r="V87" s="128" t="str">
        <f t="shared" si="23"/>
        <v/>
      </c>
      <c r="X87" s="54"/>
      <c r="Y87" s="56"/>
      <c r="AA87" s="2"/>
      <c r="AB87" s="2"/>
      <c r="AC87" s="132"/>
    </row>
    <row r="88" spans="1:29" ht="15.75">
      <c r="A88" s="29" t="s">
        <v>218</v>
      </c>
      <c r="B88" s="3"/>
      <c r="C88" s="3"/>
      <c r="D88" s="3"/>
      <c r="E88" s="3"/>
      <c r="F88" s="3"/>
      <c r="G88" s="3"/>
      <c r="H88" s="28"/>
      <c r="I88" s="82"/>
      <c r="J88" s="116" t="str">
        <f t="shared" si="19"/>
        <v/>
      </c>
      <c r="K88" s="117"/>
      <c r="L88" s="22"/>
      <c r="M88" s="22"/>
      <c r="N88" s="22"/>
      <c r="O88" s="22"/>
      <c r="P88" s="23"/>
      <c r="Q88" s="23"/>
      <c r="R88" s="23"/>
      <c r="S88" s="23"/>
      <c r="T88" s="23"/>
      <c r="U88" s="19" t="str">
        <f t="shared" si="22"/>
        <v/>
      </c>
      <c r="V88" s="128" t="str">
        <f t="shared" si="23"/>
        <v/>
      </c>
      <c r="X88" s="54"/>
      <c r="Y88" s="56"/>
      <c r="AA88" s="2"/>
      <c r="AB88" s="2"/>
      <c r="AC88" s="132"/>
    </row>
    <row r="89" spans="1:29" ht="15.75">
      <c r="A89" s="29" t="s">
        <v>219</v>
      </c>
      <c r="B89" s="3"/>
      <c r="C89" s="3"/>
      <c r="D89" s="3"/>
      <c r="E89" s="3"/>
      <c r="F89" s="3"/>
      <c r="G89" s="3"/>
      <c r="H89" s="28"/>
      <c r="I89" s="82"/>
      <c r="J89" s="116" t="str">
        <f t="shared" si="19"/>
        <v/>
      </c>
      <c r="K89" s="124"/>
      <c r="L89" s="22"/>
      <c r="M89" s="22"/>
      <c r="N89" s="22"/>
      <c r="O89" s="22"/>
      <c r="P89" s="23"/>
      <c r="Q89" s="23"/>
      <c r="R89" s="23"/>
      <c r="S89" s="23"/>
      <c r="T89" s="23"/>
      <c r="U89" s="19" t="str">
        <f t="shared" si="22"/>
        <v/>
      </c>
      <c r="V89" s="128" t="str">
        <f t="shared" si="23"/>
        <v/>
      </c>
      <c r="X89" s="54"/>
      <c r="Y89" s="56"/>
      <c r="AA89" s="2"/>
      <c r="AB89" s="2"/>
      <c r="AC89" s="132"/>
    </row>
    <row r="90" spans="1:29" ht="15.75">
      <c r="A90" s="29" t="s">
        <v>220</v>
      </c>
      <c r="B90" s="3"/>
      <c r="C90" s="9"/>
      <c r="D90" s="3"/>
      <c r="E90" s="3"/>
      <c r="F90" s="3"/>
      <c r="G90" s="3"/>
      <c r="H90" s="28"/>
      <c r="I90" s="82"/>
      <c r="J90" s="116" t="str">
        <f t="shared" si="19"/>
        <v/>
      </c>
      <c r="K90" s="124"/>
      <c r="L90" s="106"/>
      <c r="M90" s="22"/>
      <c r="N90" s="22"/>
      <c r="O90" s="22"/>
      <c r="P90" s="23"/>
      <c r="Q90" s="23"/>
      <c r="R90" s="23"/>
      <c r="S90" s="23"/>
      <c r="T90" s="23"/>
      <c r="U90" s="19" t="str">
        <f t="shared" si="22"/>
        <v/>
      </c>
      <c r="V90" s="128" t="str">
        <f t="shared" si="23"/>
        <v/>
      </c>
      <c r="X90" s="54"/>
      <c r="Y90" s="56"/>
      <c r="AA90" s="2"/>
      <c r="AB90" s="2"/>
      <c r="AC90" s="132"/>
    </row>
    <row r="91" spans="1:29" ht="15.75">
      <c r="A91" s="29" t="s">
        <v>221</v>
      </c>
      <c r="B91" s="3"/>
      <c r="C91" s="3"/>
      <c r="D91" s="3"/>
      <c r="E91" s="3"/>
      <c r="F91" s="3"/>
      <c r="G91" s="3"/>
      <c r="H91" s="28"/>
      <c r="I91" s="82"/>
      <c r="J91" s="116" t="str">
        <f t="shared" si="19"/>
        <v/>
      </c>
      <c r="K91" s="124"/>
      <c r="L91" s="22"/>
      <c r="M91" s="22"/>
      <c r="N91" s="22"/>
      <c r="O91" s="22"/>
      <c r="P91" s="23"/>
      <c r="Q91" s="23"/>
      <c r="R91" s="23"/>
      <c r="S91" s="23"/>
      <c r="T91" s="23"/>
      <c r="U91" s="19" t="str">
        <f t="shared" si="22"/>
        <v/>
      </c>
      <c r="V91" s="128" t="str">
        <f t="shared" si="23"/>
        <v/>
      </c>
      <c r="X91" s="54"/>
      <c r="Y91" s="56"/>
      <c r="AA91" s="2"/>
      <c r="AB91" s="2"/>
      <c r="AC91" s="132"/>
    </row>
    <row r="92" spans="1:29" ht="15.75">
      <c r="A92" s="29" t="s">
        <v>223</v>
      </c>
      <c r="B92" s="3"/>
      <c r="C92" s="3"/>
      <c r="D92" s="3"/>
      <c r="E92" s="3"/>
      <c r="F92" s="3"/>
      <c r="G92" s="3"/>
      <c r="H92" s="28"/>
      <c r="I92" s="82"/>
      <c r="J92" s="116" t="str">
        <f t="shared" si="19"/>
        <v/>
      </c>
      <c r="K92" s="124"/>
      <c r="L92" s="22"/>
      <c r="M92" s="22"/>
      <c r="N92" s="22"/>
      <c r="O92" s="22"/>
      <c r="P92" s="23"/>
      <c r="Q92" s="23"/>
      <c r="R92" s="23"/>
      <c r="S92" s="23"/>
      <c r="T92" s="23"/>
      <c r="U92" s="19" t="str">
        <f t="shared" si="22"/>
        <v/>
      </c>
      <c r="V92" s="128" t="str">
        <f t="shared" si="23"/>
        <v/>
      </c>
      <c r="X92" s="54"/>
      <c r="Y92" s="56"/>
      <c r="AA92" s="2"/>
      <c r="AB92" s="2"/>
      <c r="AC92" s="132"/>
    </row>
    <row r="93" spans="1:29" ht="15.75">
      <c r="A93" s="29" t="s">
        <v>225</v>
      </c>
      <c r="B93" s="3"/>
      <c r="C93" s="3"/>
      <c r="D93" s="3"/>
      <c r="E93" s="3"/>
      <c r="F93" s="3"/>
      <c r="G93" s="3"/>
      <c r="H93" s="28"/>
      <c r="I93" s="82"/>
      <c r="J93" s="116" t="str">
        <f t="shared" si="19"/>
        <v/>
      </c>
      <c r="K93" s="124"/>
      <c r="L93" s="22"/>
      <c r="M93" s="22"/>
      <c r="N93" s="22"/>
      <c r="O93" s="22"/>
      <c r="P93" s="23"/>
      <c r="Q93" s="23"/>
      <c r="R93" s="23"/>
      <c r="S93" s="23"/>
      <c r="T93" s="23"/>
      <c r="U93" s="19" t="str">
        <f t="shared" si="22"/>
        <v/>
      </c>
      <c r="V93" s="128" t="str">
        <f t="shared" si="23"/>
        <v/>
      </c>
      <c r="X93" s="54"/>
      <c r="Y93" s="56"/>
      <c r="AA93" s="2"/>
      <c r="AB93" s="2"/>
      <c r="AC93" s="132"/>
    </row>
    <row r="94" spans="1:29" ht="15.75">
      <c r="A94" s="29" t="s">
        <v>227</v>
      </c>
      <c r="B94" s="3"/>
      <c r="C94" s="3"/>
      <c r="D94" s="3"/>
      <c r="E94" s="3"/>
      <c r="F94" s="3"/>
      <c r="G94" s="3"/>
      <c r="H94" s="28"/>
      <c r="I94" s="82"/>
      <c r="J94" s="116" t="str">
        <f t="shared" si="19"/>
        <v/>
      </c>
      <c r="K94" s="124"/>
      <c r="L94" s="22"/>
      <c r="M94" s="22"/>
      <c r="N94" s="22"/>
      <c r="O94" s="22"/>
      <c r="P94" s="23"/>
      <c r="Q94" s="23"/>
      <c r="R94" s="23"/>
      <c r="S94" s="23"/>
      <c r="T94" s="23"/>
      <c r="U94" s="19" t="str">
        <f t="shared" si="22"/>
        <v/>
      </c>
      <c r="V94" s="128" t="str">
        <f t="shared" si="23"/>
        <v/>
      </c>
      <c r="X94" s="54"/>
      <c r="Y94" s="56"/>
      <c r="AA94" s="2"/>
      <c r="AB94" s="2"/>
      <c r="AC94" s="132"/>
    </row>
    <row r="95" spans="1:29" ht="15.75">
      <c r="A95" s="29" t="s">
        <v>228</v>
      </c>
      <c r="B95" s="3"/>
      <c r="C95" s="3"/>
      <c r="D95" s="3"/>
      <c r="E95" s="3"/>
      <c r="F95" s="3"/>
      <c r="G95" s="3"/>
      <c r="H95" s="28"/>
      <c r="I95" s="82"/>
      <c r="J95" s="116" t="str">
        <f t="shared" si="19"/>
        <v/>
      </c>
      <c r="K95" s="124"/>
      <c r="L95" s="22"/>
      <c r="M95" s="22"/>
      <c r="N95" s="22"/>
      <c r="O95" s="22"/>
      <c r="P95" s="23"/>
      <c r="Q95" s="23"/>
      <c r="R95" s="23"/>
      <c r="S95" s="23"/>
      <c r="T95" s="23"/>
      <c r="U95" s="19" t="str">
        <f t="shared" si="22"/>
        <v/>
      </c>
      <c r="V95" s="128" t="str">
        <f t="shared" si="23"/>
        <v/>
      </c>
      <c r="X95" s="54"/>
      <c r="Y95" s="56"/>
      <c r="AA95" s="2"/>
      <c r="AB95" s="2"/>
      <c r="AC95" s="132"/>
    </row>
    <row r="96" spans="1:29" ht="15.75">
      <c r="A96" s="29" t="s">
        <v>230</v>
      </c>
      <c r="B96" s="3"/>
      <c r="C96" s="3"/>
      <c r="D96" s="3"/>
      <c r="E96" s="3"/>
      <c r="F96" s="3"/>
      <c r="G96" s="3"/>
      <c r="H96" s="28"/>
      <c r="I96" s="82"/>
      <c r="J96" s="116" t="str">
        <f t="shared" si="19"/>
        <v/>
      </c>
      <c r="K96" s="124"/>
      <c r="L96" s="22"/>
      <c r="M96" s="22"/>
      <c r="N96" s="22"/>
      <c r="O96" s="22"/>
      <c r="P96" s="23"/>
      <c r="Q96" s="23"/>
      <c r="R96" s="23"/>
      <c r="S96" s="23"/>
      <c r="T96" s="23"/>
      <c r="U96" s="19" t="str">
        <f t="shared" si="22"/>
        <v/>
      </c>
      <c r="V96" s="128" t="str">
        <f t="shared" si="23"/>
        <v/>
      </c>
      <c r="X96" s="54"/>
      <c r="Y96" s="72"/>
      <c r="AA96" s="2"/>
      <c r="AB96" s="2"/>
      <c r="AC96" s="132"/>
    </row>
    <row r="97" spans="1:29" ht="15.75">
      <c r="A97" s="29" t="s">
        <v>231</v>
      </c>
      <c r="B97" s="3"/>
      <c r="C97" s="3"/>
      <c r="D97" s="3"/>
      <c r="E97" s="3"/>
      <c r="F97" s="3"/>
      <c r="G97" s="3"/>
      <c r="H97" s="28"/>
      <c r="I97" s="82"/>
      <c r="J97" s="116" t="str">
        <f t="shared" si="19"/>
        <v/>
      </c>
      <c r="K97" s="124"/>
      <c r="L97" s="22"/>
      <c r="M97" s="22"/>
      <c r="N97" s="22"/>
      <c r="O97" s="22"/>
      <c r="P97" s="23"/>
      <c r="Q97" s="23"/>
      <c r="R97" s="23"/>
      <c r="S97" s="23"/>
      <c r="T97" s="23"/>
      <c r="U97" s="19" t="str">
        <f t="shared" si="22"/>
        <v/>
      </c>
      <c r="V97" s="128" t="str">
        <f t="shared" si="23"/>
        <v/>
      </c>
      <c r="X97" s="54"/>
      <c r="Y97" s="56"/>
      <c r="AA97" s="2"/>
      <c r="AB97" s="2"/>
      <c r="AC97" s="132"/>
    </row>
    <row r="98" spans="1:29" ht="15.75">
      <c r="A98" s="29" t="s">
        <v>232</v>
      </c>
      <c r="B98" s="3"/>
      <c r="C98" s="9"/>
      <c r="D98" s="3"/>
      <c r="E98" s="3"/>
      <c r="F98" s="10"/>
      <c r="G98" s="1"/>
      <c r="H98" s="27"/>
      <c r="I98" s="82"/>
      <c r="J98" s="116" t="str">
        <f t="shared" si="19"/>
        <v/>
      </c>
      <c r="K98" s="124"/>
      <c r="L98" s="22"/>
      <c r="M98" s="22"/>
      <c r="N98" s="22"/>
      <c r="O98" s="22"/>
      <c r="P98" s="23"/>
      <c r="Q98" s="23"/>
      <c r="R98" s="23"/>
      <c r="S98" s="23"/>
      <c r="T98" s="23"/>
      <c r="U98" s="19" t="str">
        <f t="shared" si="22"/>
        <v/>
      </c>
      <c r="V98" s="128" t="str">
        <f t="shared" si="23"/>
        <v/>
      </c>
      <c r="X98" s="54"/>
      <c r="Y98" s="56"/>
      <c r="AA98" s="2"/>
      <c r="AB98" s="2"/>
      <c r="AC98" s="132"/>
    </row>
    <row r="99" spans="1:29" ht="15.75">
      <c r="A99" s="29" t="s">
        <v>233</v>
      </c>
      <c r="B99" s="3"/>
      <c r="C99" s="3"/>
      <c r="D99" s="3"/>
      <c r="E99" s="3"/>
      <c r="F99" s="3"/>
      <c r="G99" s="3"/>
      <c r="H99" s="28"/>
      <c r="I99" s="82"/>
      <c r="J99" s="116" t="str">
        <f t="shared" si="19"/>
        <v/>
      </c>
      <c r="K99" s="124"/>
      <c r="L99" s="22"/>
      <c r="M99" s="22"/>
      <c r="N99" s="22"/>
      <c r="O99" s="22"/>
      <c r="P99" s="23"/>
      <c r="Q99" s="23"/>
      <c r="R99" s="23"/>
      <c r="S99" s="23"/>
      <c r="T99" s="23"/>
      <c r="U99" s="19" t="str">
        <f t="shared" si="22"/>
        <v/>
      </c>
      <c r="V99" s="128" t="str">
        <f t="shared" si="23"/>
        <v/>
      </c>
      <c r="X99" s="54"/>
      <c r="Y99" s="56"/>
      <c r="AA99" s="2"/>
      <c r="AB99" s="2"/>
      <c r="AC99" s="132"/>
    </row>
    <row r="100" spans="1:29" ht="15.75">
      <c r="A100" s="29" t="s">
        <v>236</v>
      </c>
      <c r="B100" s="3"/>
      <c r="C100" s="3"/>
      <c r="D100" s="3"/>
      <c r="E100" s="3"/>
      <c r="F100" s="3"/>
      <c r="G100" s="3"/>
      <c r="H100" s="28"/>
      <c r="I100" s="82"/>
      <c r="J100" s="116" t="str">
        <f t="shared" si="19"/>
        <v/>
      </c>
      <c r="K100" s="124"/>
      <c r="L100" s="22"/>
      <c r="M100" s="22"/>
      <c r="N100" s="22"/>
      <c r="O100" s="22"/>
      <c r="P100" s="23"/>
      <c r="Q100" s="23"/>
      <c r="R100" s="23"/>
      <c r="S100" s="23"/>
      <c r="T100" s="23"/>
      <c r="U100" s="19" t="str">
        <f t="shared" si="22"/>
        <v/>
      </c>
      <c r="V100" s="128" t="str">
        <f t="shared" si="23"/>
        <v/>
      </c>
      <c r="X100" s="54"/>
      <c r="Y100" s="56"/>
      <c r="AA100" s="2"/>
      <c r="AB100" s="2"/>
      <c r="AC100" s="132"/>
    </row>
    <row r="101" spans="1:29" ht="16.5" customHeight="1">
      <c r="A101" s="29" t="s">
        <v>237</v>
      </c>
      <c r="B101" s="3"/>
      <c r="C101" s="3"/>
      <c r="D101" s="3"/>
      <c r="E101" s="3"/>
      <c r="F101" s="3"/>
      <c r="G101" s="3"/>
      <c r="H101" s="28"/>
      <c r="I101" s="82"/>
      <c r="J101" s="116" t="str">
        <f t="shared" si="19"/>
        <v/>
      </c>
      <c r="K101" s="124"/>
      <c r="L101" s="22"/>
      <c r="M101" s="22"/>
      <c r="N101" s="22"/>
      <c r="O101" s="22"/>
      <c r="P101" s="23"/>
      <c r="Q101" s="23"/>
      <c r="R101" s="23"/>
      <c r="S101" s="23"/>
      <c r="T101" s="23"/>
      <c r="U101" s="19" t="str">
        <f t="shared" si="22"/>
        <v/>
      </c>
      <c r="V101" s="128" t="str">
        <f t="shared" si="23"/>
        <v/>
      </c>
      <c r="X101" s="54"/>
      <c r="Y101" s="56"/>
      <c r="AA101" s="2"/>
      <c r="AB101" s="2"/>
      <c r="AC101" s="132"/>
    </row>
    <row r="102" spans="1:29" ht="15.75">
      <c r="A102" s="29" t="s">
        <v>238</v>
      </c>
      <c r="B102" s="3"/>
      <c r="C102" s="3"/>
      <c r="D102" s="3"/>
      <c r="E102" s="3"/>
      <c r="F102" s="3"/>
      <c r="G102" s="3"/>
      <c r="H102" s="28"/>
      <c r="I102" s="82"/>
      <c r="J102" s="116" t="str">
        <f t="shared" si="19"/>
        <v/>
      </c>
      <c r="K102" s="124"/>
      <c r="L102" s="22"/>
      <c r="M102" s="22"/>
      <c r="N102" s="22"/>
      <c r="O102" s="22"/>
      <c r="P102" s="23"/>
      <c r="Q102" s="23"/>
      <c r="R102" s="23"/>
      <c r="S102" s="23"/>
      <c r="T102" s="23"/>
      <c r="U102" s="19" t="str">
        <f t="shared" si="22"/>
        <v/>
      </c>
      <c r="V102" s="128" t="str">
        <f t="shared" si="23"/>
        <v/>
      </c>
      <c r="X102" s="54"/>
      <c r="Y102" s="56"/>
      <c r="AA102" s="2"/>
      <c r="AB102" s="2"/>
      <c r="AC102" s="132"/>
    </row>
    <row r="103" spans="1:29" ht="15.75">
      <c r="A103" s="29" t="s">
        <v>242</v>
      </c>
      <c r="B103" s="3"/>
      <c r="C103" s="9"/>
      <c r="D103" s="3"/>
      <c r="E103" s="3"/>
      <c r="F103" s="3"/>
      <c r="G103" s="3"/>
      <c r="H103" s="28"/>
      <c r="I103" s="82"/>
      <c r="J103" s="116" t="str">
        <f t="shared" si="19"/>
        <v/>
      </c>
      <c r="K103" s="124"/>
      <c r="L103" s="106"/>
      <c r="M103" s="22"/>
      <c r="N103" s="22"/>
      <c r="O103" s="22"/>
      <c r="P103" s="23"/>
      <c r="Q103" s="23"/>
      <c r="R103" s="23"/>
      <c r="S103" s="23"/>
      <c r="T103" s="23"/>
      <c r="U103" s="19" t="str">
        <f t="shared" si="22"/>
        <v/>
      </c>
      <c r="V103" s="128" t="str">
        <f t="shared" si="23"/>
        <v/>
      </c>
      <c r="X103" s="54"/>
      <c r="Y103" s="56"/>
      <c r="AA103" s="2"/>
      <c r="AB103" s="2"/>
      <c r="AC103" s="132"/>
    </row>
    <row r="104" spans="1:29" ht="15.75">
      <c r="A104" s="29" t="s">
        <v>243</v>
      </c>
      <c r="B104" s="3"/>
      <c r="C104" s="9"/>
      <c r="D104" s="3"/>
      <c r="E104" s="3"/>
      <c r="F104" s="10"/>
      <c r="G104" s="1"/>
      <c r="H104" s="27"/>
      <c r="I104" s="82"/>
      <c r="J104" s="116" t="str">
        <f t="shared" si="19"/>
        <v/>
      </c>
      <c r="K104" s="124"/>
      <c r="L104" s="22"/>
      <c r="M104" s="22"/>
      <c r="N104" s="22"/>
      <c r="O104" s="22"/>
      <c r="P104" s="23"/>
      <c r="Q104" s="23"/>
      <c r="R104" s="23"/>
      <c r="S104" s="23"/>
      <c r="T104" s="23"/>
      <c r="U104" s="19" t="str">
        <f t="shared" si="22"/>
        <v/>
      </c>
      <c r="V104" s="128" t="str">
        <f t="shared" si="23"/>
        <v/>
      </c>
      <c r="X104" s="54"/>
      <c r="Y104" s="56"/>
      <c r="AA104" s="2"/>
      <c r="AB104" s="2"/>
      <c r="AC104" s="132"/>
    </row>
    <row r="105" spans="1:29" ht="15.75">
      <c r="A105" s="29" t="s">
        <v>244</v>
      </c>
      <c r="B105" s="3"/>
      <c r="C105" s="9"/>
      <c r="D105" s="3"/>
      <c r="E105" s="3"/>
      <c r="F105" s="3"/>
      <c r="G105" s="3"/>
      <c r="H105" s="28"/>
      <c r="I105" s="82"/>
      <c r="J105" s="116" t="str">
        <f t="shared" si="19"/>
        <v/>
      </c>
      <c r="K105" s="124"/>
      <c r="L105" s="22"/>
      <c r="M105" s="22"/>
      <c r="N105" s="22"/>
      <c r="O105" s="22"/>
      <c r="P105" s="23"/>
      <c r="Q105" s="23"/>
      <c r="R105" s="23"/>
      <c r="S105" s="23"/>
      <c r="T105" s="23"/>
      <c r="U105" s="19" t="str">
        <f t="shared" si="22"/>
        <v/>
      </c>
      <c r="V105" s="128" t="str">
        <f t="shared" si="23"/>
        <v/>
      </c>
      <c r="X105" s="54"/>
      <c r="Y105" s="56"/>
      <c r="AA105" s="2"/>
      <c r="AB105" s="2"/>
      <c r="AC105" s="132"/>
    </row>
    <row r="106" spans="1:29" ht="15.75">
      <c r="A106" s="29" t="s">
        <v>245</v>
      </c>
      <c r="B106" s="3"/>
      <c r="C106" s="3"/>
      <c r="D106" s="3"/>
      <c r="E106" s="3"/>
      <c r="F106" s="3"/>
      <c r="G106" s="3"/>
      <c r="H106" s="28"/>
      <c r="I106" s="82"/>
      <c r="J106" s="116" t="str">
        <f t="shared" ref="J106:J145" si="27">IF(H106="","",+K106/H106)</f>
        <v/>
      </c>
      <c r="K106" s="124"/>
      <c r="L106" s="22"/>
      <c r="M106" s="22"/>
      <c r="N106" s="22"/>
      <c r="O106" s="22"/>
      <c r="P106" s="23"/>
      <c r="Q106" s="23"/>
      <c r="R106" s="23"/>
      <c r="S106" s="23"/>
      <c r="T106" s="23"/>
      <c r="U106" s="19" t="str">
        <f t="shared" si="22"/>
        <v/>
      </c>
      <c r="V106" s="128" t="str">
        <f t="shared" si="23"/>
        <v/>
      </c>
      <c r="X106" s="54"/>
      <c r="Y106" s="56"/>
      <c r="AA106" s="2"/>
      <c r="AB106" s="2"/>
      <c r="AC106" s="132"/>
    </row>
    <row r="107" spans="1:29" ht="15.75">
      <c r="A107" s="29" t="s">
        <v>248</v>
      </c>
      <c r="B107" s="3"/>
      <c r="C107" s="9"/>
      <c r="D107" s="3"/>
      <c r="E107" s="3"/>
      <c r="F107" s="3"/>
      <c r="G107" s="3"/>
      <c r="H107" s="28"/>
      <c r="I107" s="82"/>
      <c r="J107" s="116" t="str">
        <f t="shared" si="27"/>
        <v/>
      </c>
      <c r="K107" s="124"/>
      <c r="L107" s="22"/>
      <c r="M107" s="22"/>
      <c r="N107" s="22"/>
      <c r="O107" s="22"/>
      <c r="P107" s="23"/>
      <c r="Q107" s="23"/>
      <c r="R107" s="23"/>
      <c r="S107" s="23"/>
      <c r="T107" s="23"/>
      <c r="U107" s="19" t="str">
        <f t="shared" si="22"/>
        <v/>
      </c>
      <c r="V107" s="128" t="str">
        <f t="shared" si="23"/>
        <v/>
      </c>
      <c r="X107" s="54"/>
      <c r="Y107" s="56"/>
      <c r="AA107" s="2"/>
      <c r="AB107" s="2"/>
      <c r="AC107" s="132"/>
    </row>
    <row r="108" spans="1:29" ht="15.75">
      <c r="A108" s="29" t="s">
        <v>249</v>
      </c>
      <c r="B108" s="3"/>
      <c r="C108" s="3"/>
      <c r="D108" s="3"/>
      <c r="E108" s="3"/>
      <c r="F108" s="3"/>
      <c r="G108" s="3"/>
      <c r="H108" s="28"/>
      <c r="I108" s="82"/>
      <c r="J108" s="116" t="str">
        <f t="shared" si="27"/>
        <v/>
      </c>
      <c r="K108" s="124"/>
      <c r="L108" s="22"/>
      <c r="M108" s="22"/>
      <c r="N108" s="22"/>
      <c r="O108" s="22"/>
      <c r="P108" s="23"/>
      <c r="Q108" s="23"/>
      <c r="R108" s="23"/>
      <c r="S108" s="23"/>
      <c r="T108" s="23"/>
      <c r="U108" s="19" t="str">
        <f t="shared" si="22"/>
        <v/>
      </c>
      <c r="V108" s="128" t="str">
        <f t="shared" si="23"/>
        <v/>
      </c>
      <c r="X108" s="54"/>
      <c r="Y108" s="56"/>
      <c r="AA108" s="2"/>
      <c r="AB108" s="2"/>
      <c r="AC108" s="132"/>
    </row>
    <row r="109" spans="1:29" ht="15.75">
      <c r="A109" s="29" t="s">
        <v>250</v>
      </c>
      <c r="B109" s="3"/>
      <c r="C109" s="9"/>
      <c r="D109" s="3"/>
      <c r="E109" s="3"/>
      <c r="F109" s="10"/>
      <c r="G109" s="1"/>
      <c r="H109" s="27"/>
      <c r="I109" s="82"/>
      <c r="J109" s="116" t="str">
        <f t="shared" si="27"/>
        <v/>
      </c>
      <c r="K109" s="124"/>
      <c r="L109" s="22"/>
      <c r="M109" s="22"/>
      <c r="N109" s="22"/>
      <c r="O109" s="22"/>
      <c r="P109" s="23"/>
      <c r="Q109" s="23"/>
      <c r="R109" s="23"/>
      <c r="S109" s="23"/>
      <c r="T109" s="23"/>
      <c r="U109" s="19" t="str">
        <f t="shared" si="22"/>
        <v/>
      </c>
      <c r="V109" s="128" t="str">
        <f t="shared" si="23"/>
        <v/>
      </c>
      <c r="X109" s="54"/>
      <c r="Y109" s="56"/>
      <c r="AA109" s="2"/>
      <c r="AB109" s="2"/>
      <c r="AC109" s="132"/>
    </row>
    <row r="110" spans="1:29" ht="15.75">
      <c r="A110" s="29" t="s">
        <v>251</v>
      </c>
      <c r="B110" s="3"/>
      <c r="C110" s="9"/>
      <c r="D110" s="3"/>
      <c r="E110" s="3"/>
      <c r="F110" s="10"/>
      <c r="G110" s="1"/>
      <c r="H110" s="27"/>
      <c r="I110" s="82"/>
      <c r="J110" s="116" t="str">
        <f t="shared" si="27"/>
        <v/>
      </c>
      <c r="K110" s="124"/>
      <c r="L110" s="22"/>
      <c r="M110" s="22"/>
      <c r="N110" s="22"/>
      <c r="O110" s="22"/>
      <c r="P110" s="23"/>
      <c r="Q110" s="23"/>
      <c r="R110" s="23"/>
      <c r="S110" s="23"/>
      <c r="T110" s="23"/>
      <c r="U110" s="19" t="str">
        <f t="shared" si="22"/>
        <v/>
      </c>
      <c r="V110" s="128" t="str">
        <f t="shared" si="23"/>
        <v/>
      </c>
      <c r="X110" s="54"/>
      <c r="Y110" s="56"/>
      <c r="AA110" s="2"/>
      <c r="AB110" s="2"/>
      <c r="AC110" s="132"/>
    </row>
    <row r="111" spans="1:29" ht="15.75">
      <c r="A111" s="29" t="s">
        <v>253</v>
      </c>
      <c r="B111" s="3"/>
      <c r="C111" s="9"/>
      <c r="D111" s="3"/>
      <c r="E111" s="3"/>
      <c r="F111" s="10"/>
      <c r="G111" s="1"/>
      <c r="H111" s="27"/>
      <c r="I111" s="82"/>
      <c r="J111" s="116" t="str">
        <f t="shared" si="27"/>
        <v/>
      </c>
      <c r="K111" s="124"/>
      <c r="L111" s="22"/>
      <c r="M111" s="22"/>
      <c r="N111" s="22"/>
      <c r="O111" s="22"/>
      <c r="P111" s="23"/>
      <c r="Q111" s="23"/>
      <c r="R111" s="23"/>
      <c r="S111" s="23"/>
      <c r="T111" s="23"/>
      <c r="U111" s="19" t="str">
        <f t="shared" si="22"/>
        <v/>
      </c>
      <c r="V111" s="128" t="str">
        <f t="shared" si="23"/>
        <v/>
      </c>
      <c r="X111" s="54"/>
      <c r="Y111" s="56"/>
      <c r="AA111" s="2"/>
      <c r="AB111" s="2"/>
      <c r="AC111" s="132"/>
    </row>
    <row r="112" spans="1:29" ht="15.75">
      <c r="A112" s="29" t="s">
        <v>256</v>
      </c>
      <c r="B112" s="3"/>
      <c r="C112" s="9"/>
      <c r="D112" s="3"/>
      <c r="E112" s="3"/>
      <c r="F112" s="10"/>
      <c r="G112" s="1"/>
      <c r="H112" s="27"/>
      <c r="I112" s="82"/>
      <c r="J112" s="116" t="str">
        <f t="shared" si="27"/>
        <v/>
      </c>
      <c r="K112" s="124"/>
      <c r="L112" s="22"/>
      <c r="M112" s="22"/>
      <c r="N112" s="22"/>
      <c r="O112" s="22"/>
      <c r="P112" s="23"/>
      <c r="Q112" s="23"/>
      <c r="R112" s="23"/>
      <c r="S112" s="23"/>
      <c r="T112" s="23"/>
      <c r="U112" s="19" t="str">
        <f t="shared" si="22"/>
        <v/>
      </c>
      <c r="V112" s="128" t="str">
        <f t="shared" si="23"/>
        <v/>
      </c>
      <c r="X112" s="54"/>
      <c r="Y112" s="56"/>
      <c r="AA112" s="2"/>
      <c r="AB112" s="2"/>
      <c r="AC112" s="132"/>
    </row>
    <row r="113" spans="1:29" ht="15.75">
      <c r="A113" s="29" t="s">
        <v>257</v>
      </c>
      <c r="B113" s="3"/>
      <c r="C113" s="9"/>
      <c r="D113" s="3"/>
      <c r="E113" s="3"/>
      <c r="F113" s="10"/>
      <c r="G113" s="1"/>
      <c r="H113" s="27"/>
      <c r="I113" s="82"/>
      <c r="J113" s="116" t="str">
        <f t="shared" si="27"/>
        <v/>
      </c>
      <c r="K113" s="124"/>
      <c r="L113" s="22"/>
      <c r="M113" s="22"/>
      <c r="N113" s="22"/>
      <c r="O113" s="22"/>
      <c r="P113" s="23"/>
      <c r="Q113" s="23"/>
      <c r="R113" s="23"/>
      <c r="S113" s="23"/>
      <c r="T113" s="23"/>
      <c r="U113" s="19" t="str">
        <f t="shared" ref="U113:U145" si="28">IF(B113="","",K113+SUM(L113:Q113))</f>
        <v/>
      </c>
      <c r="V113" s="128" t="str">
        <f t="shared" ref="V113:V145" si="29">IF(J113="","",+U113/H113)</f>
        <v/>
      </c>
      <c r="X113" s="54"/>
      <c r="Y113" s="56"/>
      <c r="AA113" s="2"/>
      <c r="AB113" s="2"/>
      <c r="AC113" s="132"/>
    </row>
    <row r="114" spans="1:29" ht="15.75">
      <c r="A114" s="29" t="s">
        <v>258</v>
      </c>
      <c r="B114" s="3"/>
      <c r="C114" s="9"/>
      <c r="D114" s="3"/>
      <c r="E114" s="3"/>
      <c r="F114" s="10"/>
      <c r="G114" s="1"/>
      <c r="H114" s="27"/>
      <c r="I114" s="82"/>
      <c r="J114" s="116" t="str">
        <f t="shared" si="27"/>
        <v/>
      </c>
      <c r="K114" s="124"/>
      <c r="L114" s="106"/>
      <c r="M114" s="22"/>
      <c r="N114" s="22"/>
      <c r="O114" s="22"/>
      <c r="P114" s="23"/>
      <c r="Q114" s="23"/>
      <c r="R114" s="23"/>
      <c r="S114" s="23"/>
      <c r="T114" s="23"/>
      <c r="U114" s="19" t="str">
        <f t="shared" si="28"/>
        <v/>
      </c>
      <c r="V114" s="128" t="str">
        <f t="shared" si="29"/>
        <v/>
      </c>
      <c r="X114" s="54"/>
      <c r="Y114" s="56"/>
      <c r="AA114" s="2"/>
      <c r="AB114" s="2"/>
      <c r="AC114" s="132"/>
    </row>
    <row r="115" spans="1:29" ht="15.75">
      <c r="A115" s="29" t="s">
        <v>259</v>
      </c>
      <c r="B115" s="3"/>
      <c r="C115" s="9"/>
      <c r="D115" s="3"/>
      <c r="E115" s="3"/>
      <c r="F115" s="10"/>
      <c r="G115" s="1"/>
      <c r="H115" s="27"/>
      <c r="I115" s="82"/>
      <c r="J115" s="116" t="str">
        <f t="shared" si="27"/>
        <v/>
      </c>
      <c r="K115" s="124"/>
      <c r="L115" s="22"/>
      <c r="M115" s="22"/>
      <c r="N115" s="22"/>
      <c r="O115" s="22"/>
      <c r="P115" s="23"/>
      <c r="Q115" s="23"/>
      <c r="R115" s="23"/>
      <c r="S115" s="23"/>
      <c r="T115" s="23"/>
      <c r="U115" s="19" t="str">
        <f t="shared" si="28"/>
        <v/>
      </c>
      <c r="V115" s="128" t="str">
        <f t="shared" si="29"/>
        <v/>
      </c>
      <c r="X115" s="80"/>
      <c r="Y115" s="72"/>
      <c r="AA115" s="2"/>
      <c r="AB115" s="2"/>
      <c r="AC115" s="132"/>
    </row>
    <row r="116" spans="1:29" ht="15.75">
      <c r="A116" s="29" t="s">
        <v>261</v>
      </c>
      <c r="B116" s="3"/>
      <c r="C116" s="3"/>
      <c r="D116" s="3"/>
      <c r="E116" s="3"/>
      <c r="F116" s="3"/>
      <c r="G116" s="3"/>
      <c r="H116" s="28"/>
      <c r="I116" s="82"/>
      <c r="J116" s="116" t="str">
        <f t="shared" si="27"/>
        <v/>
      </c>
      <c r="K116" s="124"/>
      <c r="L116" s="22"/>
      <c r="M116" s="22"/>
      <c r="N116" s="22"/>
      <c r="O116" s="22"/>
      <c r="P116" s="23"/>
      <c r="Q116" s="23"/>
      <c r="R116" s="23"/>
      <c r="S116" s="23"/>
      <c r="T116" s="23"/>
      <c r="U116" s="19" t="str">
        <f t="shared" si="28"/>
        <v/>
      </c>
      <c r="V116" s="128" t="str">
        <f t="shared" si="29"/>
        <v/>
      </c>
      <c r="X116" s="54"/>
      <c r="Y116" s="56"/>
      <c r="AA116" s="2"/>
      <c r="AB116" s="2"/>
      <c r="AC116" s="132"/>
    </row>
    <row r="117" spans="1:29" ht="15.75">
      <c r="A117" s="29" t="s">
        <v>262</v>
      </c>
      <c r="B117" s="3"/>
      <c r="C117" s="3"/>
      <c r="D117" s="3"/>
      <c r="E117" s="3"/>
      <c r="F117" s="3"/>
      <c r="G117" s="3"/>
      <c r="H117" s="28"/>
      <c r="I117" s="82"/>
      <c r="J117" s="116" t="str">
        <f t="shared" si="27"/>
        <v/>
      </c>
      <c r="K117" s="124"/>
      <c r="L117" s="22"/>
      <c r="M117" s="22"/>
      <c r="N117" s="22"/>
      <c r="O117" s="22"/>
      <c r="P117" s="23"/>
      <c r="Q117" s="23"/>
      <c r="R117" s="23"/>
      <c r="S117" s="23"/>
      <c r="T117" s="23"/>
      <c r="U117" s="19" t="str">
        <f t="shared" si="28"/>
        <v/>
      </c>
      <c r="V117" s="128" t="str">
        <f t="shared" si="29"/>
        <v/>
      </c>
      <c r="X117" s="54"/>
      <c r="Y117" s="56"/>
      <c r="AA117" s="2"/>
      <c r="AB117" s="2"/>
      <c r="AC117" s="132"/>
    </row>
    <row r="118" spans="1:29" ht="15.75">
      <c r="A118" s="29" t="s">
        <v>264</v>
      </c>
      <c r="B118" s="3"/>
      <c r="C118" s="3"/>
      <c r="D118" s="3"/>
      <c r="E118" s="3"/>
      <c r="F118" s="3"/>
      <c r="G118" s="3"/>
      <c r="H118" s="28"/>
      <c r="I118" s="82"/>
      <c r="J118" s="116" t="str">
        <f t="shared" si="27"/>
        <v/>
      </c>
      <c r="K118" s="124"/>
      <c r="L118" s="22"/>
      <c r="M118" s="22"/>
      <c r="N118" s="22"/>
      <c r="O118" s="22"/>
      <c r="P118" s="23"/>
      <c r="Q118" s="23"/>
      <c r="R118" s="23"/>
      <c r="S118" s="23"/>
      <c r="T118" s="23"/>
      <c r="U118" s="19" t="str">
        <f t="shared" si="28"/>
        <v/>
      </c>
      <c r="V118" s="128" t="str">
        <f t="shared" si="29"/>
        <v/>
      </c>
      <c r="X118" s="54"/>
      <c r="Y118" s="56"/>
      <c r="AA118" s="2"/>
      <c r="AB118" s="2"/>
      <c r="AC118" s="132"/>
    </row>
    <row r="119" spans="1:29" ht="15.75">
      <c r="A119" s="29" t="s">
        <v>265</v>
      </c>
      <c r="B119" s="3"/>
      <c r="C119" s="3"/>
      <c r="D119" s="3"/>
      <c r="E119" s="3"/>
      <c r="F119" s="3"/>
      <c r="G119" s="3"/>
      <c r="H119" s="28"/>
      <c r="I119" s="82"/>
      <c r="J119" s="116" t="str">
        <f t="shared" si="27"/>
        <v/>
      </c>
      <c r="K119" s="124"/>
      <c r="L119" s="22"/>
      <c r="M119" s="22"/>
      <c r="N119" s="22"/>
      <c r="O119" s="22"/>
      <c r="P119" s="23"/>
      <c r="Q119" s="23"/>
      <c r="R119" s="23"/>
      <c r="S119" s="23"/>
      <c r="T119" s="23"/>
      <c r="U119" s="19" t="str">
        <f t="shared" si="28"/>
        <v/>
      </c>
      <c r="V119" s="128" t="str">
        <f t="shared" si="29"/>
        <v/>
      </c>
      <c r="X119" s="54"/>
      <c r="Y119" s="56"/>
      <c r="AA119" s="2"/>
      <c r="AB119" s="2"/>
      <c r="AC119" s="132"/>
    </row>
    <row r="120" spans="1:29" ht="15.75">
      <c r="A120" s="29" t="s">
        <v>268</v>
      </c>
      <c r="B120" s="3"/>
      <c r="C120" s="3"/>
      <c r="D120" s="3"/>
      <c r="E120" s="3"/>
      <c r="F120" s="3"/>
      <c r="G120" s="3"/>
      <c r="H120" s="28"/>
      <c r="I120" s="82"/>
      <c r="J120" s="116" t="str">
        <f t="shared" si="27"/>
        <v/>
      </c>
      <c r="K120" s="124"/>
      <c r="L120" s="22"/>
      <c r="M120" s="22"/>
      <c r="N120" s="22"/>
      <c r="O120" s="22"/>
      <c r="P120" s="23"/>
      <c r="Q120" s="23"/>
      <c r="R120" s="23"/>
      <c r="S120" s="23"/>
      <c r="T120" s="23"/>
      <c r="U120" s="19" t="str">
        <f t="shared" si="28"/>
        <v/>
      </c>
      <c r="V120" s="128" t="str">
        <f t="shared" si="29"/>
        <v/>
      </c>
      <c r="X120" s="54"/>
      <c r="Y120" s="56"/>
      <c r="AA120" s="2"/>
      <c r="AB120" s="2"/>
      <c r="AC120" s="132"/>
    </row>
    <row r="121" spans="1:29" ht="15.75">
      <c r="A121" s="29" t="s">
        <v>270</v>
      </c>
      <c r="B121" s="3"/>
      <c r="C121" s="9"/>
      <c r="D121" s="3"/>
      <c r="E121" s="3"/>
      <c r="F121" s="10"/>
      <c r="G121" s="1"/>
      <c r="H121" s="27"/>
      <c r="I121" s="82"/>
      <c r="J121" s="116" t="str">
        <f t="shared" si="27"/>
        <v/>
      </c>
      <c r="K121" s="124"/>
      <c r="L121" s="22"/>
      <c r="M121" s="22"/>
      <c r="N121" s="22"/>
      <c r="O121" s="22"/>
      <c r="P121" s="23"/>
      <c r="Q121" s="23"/>
      <c r="R121" s="23"/>
      <c r="S121" s="23"/>
      <c r="T121" s="23"/>
      <c r="U121" s="19" t="str">
        <f t="shared" si="28"/>
        <v/>
      </c>
      <c r="V121" s="128" t="str">
        <f t="shared" si="29"/>
        <v/>
      </c>
      <c r="X121" s="54"/>
      <c r="Y121" s="56"/>
      <c r="AA121" s="2"/>
      <c r="AB121" s="2"/>
      <c r="AC121" s="132"/>
    </row>
    <row r="122" spans="1:29" ht="15.75">
      <c r="A122" s="29" t="s">
        <v>271</v>
      </c>
      <c r="B122" s="3"/>
      <c r="C122" s="9"/>
      <c r="D122" s="3"/>
      <c r="E122" s="3"/>
      <c r="F122" s="10"/>
      <c r="G122" s="1"/>
      <c r="H122" s="27"/>
      <c r="I122" s="82"/>
      <c r="J122" s="116" t="str">
        <f t="shared" si="27"/>
        <v/>
      </c>
      <c r="K122" s="124"/>
      <c r="L122" s="22"/>
      <c r="M122" s="22"/>
      <c r="N122" s="22"/>
      <c r="O122" s="22"/>
      <c r="P122" s="23"/>
      <c r="Q122" s="23"/>
      <c r="R122" s="23"/>
      <c r="S122" s="23"/>
      <c r="T122" s="23"/>
      <c r="U122" s="19" t="str">
        <f t="shared" si="28"/>
        <v/>
      </c>
      <c r="V122" s="128" t="str">
        <f t="shared" si="29"/>
        <v/>
      </c>
      <c r="X122" s="54"/>
      <c r="Y122" s="56"/>
      <c r="AA122" s="2"/>
      <c r="AB122" s="2"/>
      <c r="AC122" s="132"/>
    </row>
    <row r="123" spans="1:29" ht="15.75">
      <c r="A123" s="29" t="s">
        <v>272</v>
      </c>
      <c r="B123" s="3"/>
      <c r="C123" s="9"/>
      <c r="D123" s="3"/>
      <c r="E123" s="3"/>
      <c r="F123" s="10"/>
      <c r="G123" s="1"/>
      <c r="H123" s="27"/>
      <c r="I123" s="82"/>
      <c r="J123" s="116" t="str">
        <f t="shared" si="27"/>
        <v/>
      </c>
      <c r="K123" s="124"/>
      <c r="L123" s="22"/>
      <c r="M123" s="22"/>
      <c r="N123" s="22"/>
      <c r="O123" s="22"/>
      <c r="P123" s="23"/>
      <c r="Q123" s="23"/>
      <c r="R123" s="23"/>
      <c r="S123" s="23"/>
      <c r="T123" s="23"/>
      <c r="U123" s="19" t="str">
        <f t="shared" si="28"/>
        <v/>
      </c>
      <c r="V123" s="128" t="str">
        <f t="shared" si="29"/>
        <v/>
      </c>
      <c r="X123" s="54"/>
      <c r="Y123" s="56"/>
      <c r="AA123" s="2"/>
      <c r="AB123" s="2"/>
      <c r="AC123" s="132"/>
    </row>
    <row r="124" spans="1:29" ht="15.75">
      <c r="A124" s="29" t="s">
        <v>273</v>
      </c>
      <c r="B124" s="3"/>
      <c r="C124" s="3"/>
      <c r="D124" s="3"/>
      <c r="E124" s="3"/>
      <c r="F124" s="3"/>
      <c r="G124" s="3"/>
      <c r="H124" s="28"/>
      <c r="I124" s="82"/>
      <c r="J124" s="116" t="str">
        <f t="shared" si="27"/>
        <v/>
      </c>
      <c r="K124" s="124"/>
      <c r="L124" s="22"/>
      <c r="M124" s="22"/>
      <c r="N124" s="22"/>
      <c r="O124" s="22"/>
      <c r="P124" s="23"/>
      <c r="Q124" s="23"/>
      <c r="R124" s="23"/>
      <c r="S124" s="23"/>
      <c r="T124" s="23"/>
      <c r="U124" s="19" t="str">
        <f t="shared" si="28"/>
        <v/>
      </c>
      <c r="V124" s="128" t="str">
        <f t="shared" si="29"/>
        <v/>
      </c>
      <c r="X124" s="54"/>
      <c r="Y124" s="56"/>
      <c r="AA124" s="2"/>
      <c r="AB124" s="2"/>
      <c r="AC124" s="132"/>
    </row>
    <row r="125" spans="1:29" ht="15.75">
      <c r="A125" s="29" t="s">
        <v>274</v>
      </c>
      <c r="B125" s="3"/>
      <c r="C125" s="3"/>
      <c r="D125" s="13"/>
      <c r="E125" s="3"/>
      <c r="F125" s="3"/>
      <c r="G125" s="65"/>
      <c r="H125" s="53"/>
      <c r="I125" s="82"/>
      <c r="J125" s="116" t="str">
        <f t="shared" si="27"/>
        <v/>
      </c>
      <c r="K125" s="124"/>
      <c r="L125" s="22"/>
      <c r="M125" s="22"/>
      <c r="N125" s="22"/>
      <c r="O125" s="22"/>
      <c r="P125" s="23"/>
      <c r="Q125" s="23"/>
      <c r="R125" s="23"/>
      <c r="S125" s="23"/>
      <c r="T125" s="23"/>
      <c r="U125" s="19" t="str">
        <f t="shared" si="28"/>
        <v/>
      </c>
      <c r="V125" s="128" t="str">
        <f t="shared" si="29"/>
        <v/>
      </c>
      <c r="X125" s="54"/>
      <c r="Y125" s="56"/>
      <c r="AA125" s="2"/>
      <c r="AB125" s="2"/>
      <c r="AC125" s="132"/>
    </row>
    <row r="126" spans="1:29" ht="15.75">
      <c r="A126" s="29" t="s">
        <v>275</v>
      </c>
      <c r="B126" s="3"/>
      <c r="C126" s="3"/>
      <c r="D126" s="13"/>
      <c r="E126" s="3"/>
      <c r="F126" s="3"/>
      <c r="G126" s="65"/>
      <c r="H126" s="53"/>
      <c r="I126" s="82"/>
      <c r="J126" s="116" t="str">
        <f t="shared" si="27"/>
        <v/>
      </c>
      <c r="K126" s="124"/>
      <c r="L126" s="22"/>
      <c r="M126" s="22"/>
      <c r="N126" s="22"/>
      <c r="O126" s="22"/>
      <c r="P126" s="23"/>
      <c r="Q126" s="23"/>
      <c r="R126" s="23"/>
      <c r="S126" s="23"/>
      <c r="T126" s="23"/>
      <c r="U126" s="19" t="str">
        <f t="shared" si="28"/>
        <v/>
      </c>
      <c r="V126" s="128" t="str">
        <f t="shared" si="29"/>
        <v/>
      </c>
      <c r="X126" s="54"/>
      <c r="Y126" s="56"/>
      <c r="AA126" s="2"/>
      <c r="AB126" s="2"/>
      <c r="AC126" s="132"/>
    </row>
    <row r="127" spans="1:29" ht="15.75">
      <c r="A127" s="29" t="s">
        <v>276</v>
      </c>
      <c r="B127" s="3"/>
      <c r="C127" s="9"/>
      <c r="D127" s="13"/>
      <c r="E127" s="3"/>
      <c r="F127" s="10"/>
      <c r="G127" s="1"/>
      <c r="H127" s="27"/>
      <c r="I127" s="82"/>
      <c r="J127" s="116" t="str">
        <f t="shared" si="27"/>
        <v/>
      </c>
      <c r="K127" s="124"/>
      <c r="L127" s="22"/>
      <c r="M127" s="22"/>
      <c r="N127" s="22"/>
      <c r="O127" s="22"/>
      <c r="P127" s="23"/>
      <c r="Q127" s="23"/>
      <c r="R127" s="23"/>
      <c r="S127" s="23"/>
      <c r="T127" s="23"/>
      <c r="U127" s="19" t="str">
        <f t="shared" si="28"/>
        <v/>
      </c>
      <c r="V127" s="128" t="str">
        <f t="shared" si="29"/>
        <v/>
      </c>
      <c r="X127" s="54"/>
      <c r="Y127" s="56"/>
      <c r="AA127" s="2"/>
      <c r="AB127" s="2"/>
      <c r="AC127" s="132"/>
    </row>
    <row r="128" spans="1:29" ht="15.75">
      <c r="A128" s="29" t="s">
        <v>279</v>
      </c>
      <c r="B128" s="3"/>
      <c r="C128" s="9"/>
      <c r="D128" s="13"/>
      <c r="E128" s="3"/>
      <c r="F128" s="10"/>
      <c r="G128" s="1"/>
      <c r="H128" s="27"/>
      <c r="I128" s="82"/>
      <c r="J128" s="116" t="str">
        <f t="shared" si="27"/>
        <v/>
      </c>
      <c r="K128" s="124"/>
      <c r="L128" s="22"/>
      <c r="M128" s="22"/>
      <c r="N128" s="22"/>
      <c r="O128" s="22"/>
      <c r="P128" s="23"/>
      <c r="Q128" s="23"/>
      <c r="R128" s="23"/>
      <c r="S128" s="23"/>
      <c r="T128" s="23"/>
      <c r="U128" s="19" t="str">
        <f t="shared" si="28"/>
        <v/>
      </c>
      <c r="V128" s="128" t="str">
        <f t="shared" si="29"/>
        <v/>
      </c>
      <c r="X128" s="54"/>
      <c r="Y128" s="56"/>
      <c r="AA128" s="2"/>
      <c r="AB128" s="2"/>
      <c r="AC128" s="132"/>
    </row>
    <row r="129" spans="1:29" ht="15.75">
      <c r="A129" s="29" t="s">
        <v>281</v>
      </c>
      <c r="B129" s="3"/>
      <c r="C129" s="9"/>
      <c r="D129" s="3"/>
      <c r="E129" s="3"/>
      <c r="F129" s="10"/>
      <c r="G129" s="1"/>
      <c r="H129" s="27"/>
      <c r="I129" s="82"/>
      <c r="J129" s="116" t="str">
        <f t="shared" si="27"/>
        <v/>
      </c>
      <c r="K129" s="124"/>
      <c r="L129" s="22"/>
      <c r="M129" s="22"/>
      <c r="N129" s="22"/>
      <c r="O129" s="22"/>
      <c r="P129" s="23"/>
      <c r="Q129" s="23"/>
      <c r="R129" s="23"/>
      <c r="S129" s="23"/>
      <c r="T129" s="23"/>
      <c r="U129" s="19" t="str">
        <f t="shared" si="28"/>
        <v/>
      </c>
      <c r="V129" s="128" t="str">
        <f t="shared" si="29"/>
        <v/>
      </c>
      <c r="X129" s="54"/>
      <c r="Y129" s="56"/>
      <c r="AA129" s="2"/>
      <c r="AB129" s="2"/>
      <c r="AC129" s="132"/>
    </row>
    <row r="130" spans="1:29" ht="15.75">
      <c r="A130" s="29" t="s">
        <v>282</v>
      </c>
      <c r="B130" s="3"/>
      <c r="C130" s="9"/>
      <c r="D130" s="3"/>
      <c r="E130" s="3"/>
      <c r="F130" s="10"/>
      <c r="G130" s="14"/>
      <c r="H130" s="81"/>
      <c r="I130" s="82"/>
      <c r="J130" s="116" t="str">
        <f t="shared" si="27"/>
        <v/>
      </c>
      <c r="K130" s="124"/>
      <c r="L130" s="22"/>
      <c r="M130" s="22"/>
      <c r="N130" s="22"/>
      <c r="O130" s="22"/>
      <c r="P130" s="23"/>
      <c r="Q130" s="23"/>
      <c r="R130" s="23"/>
      <c r="S130" s="23"/>
      <c r="T130" s="23"/>
      <c r="U130" s="19" t="str">
        <f t="shared" si="28"/>
        <v/>
      </c>
      <c r="V130" s="128" t="str">
        <f t="shared" si="29"/>
        <v/>
      </c>
      <c r="X130" s="54"/>
      <c r="Y130" s="56"/>
      <c r="AA130" s="2"/>
      <c r="AB130" s="2"/>
      <c r="AC130" s="132"/>
    </row>
    <row r="131" spans="1:29" ht="15.75">
      <c r="A131" s="29" t="s">
        <v>283</v>
      </c>
      <c r="B131" s="3"/>
      <c r="C131" s="3"/>
      <c r="D131" s="13"/>
      <c r="E131" s="3"/>
      <c r="F131" s="3"/>
      <c r="G131" s="3"/>
      <c r="H131" s="28"/>
      <c r="I131" s="82"/>
      <c r="J131" s="116" t="str">
        <f t="shared" si="27"/>
        <v/>
      </c>
      <c r="K131" s="124"/>
      <c r="L131" s="106"/>
      <c r="M131" s="22"/>
      <c r="N131" s="22"/>
      <c r="O131" s="22"/>
      <c r="P131" s="23"/>
      <c r="Q131" s="23"/>
      <c r="R131" s="23"/>
      <c r="S131" s="23"/>
      <c r="T131" s="23"/>
      <c r="U131" s="19" t="str">
        <f t="shared" si="28"/>
        <v/>
      </c>
      <c r="V131" s="128" t="str">
        <f t="shared" si="29"/>
        <v/>
      </c>
      <c r="X131" s="54"/>
      <c r="Y131" s="56"/>
      <c r="AA131" s="2"/>
      <c r="AB131" s="2"/>
      <c r="AC131" s="132"/>
    </row>
    <row r="132" spans="1:29" ht="15.75">
      <c r="A132" s="29" t="s">
        <v>284</v>
      </c>
      <c r="B132" s="3"/>
      <c r="C132" s="9"/>
      <c r="D132" s="13"/>
      <c r="E132" s="3"/>
      <c r="F132" s="10"/>
      <c r="G132" s="1"/>
      <c r="H132" s="27"/>
      <c r="I132" s="82"/>
      <c r="J132" s="116" t="str">
        <f t="shared" si="27"/>
        <v/>
      </c>
      <c r="K132" s="124"/>
      <c r="L132" s="22"/>
      <c r="M132" s="22"/>
      <c r="N132" s="22"/>
      <c r="O132" s="22"/>
      <c r="P132" s="23"/>
      <c r="Q132" s="23"/>
      <c r="R132" s="23"/>
      <c r="S132" s="23"/>
      <c r="T132" s="23"/>
      <c r="U132" s="19" t="str">
        <f t="shared" si="28"/>
        <v/>
      </c>
      <c r="V132" s="128" t="str">
        <f t="shared" si="29"/>
        <v/>
      </c>
      <c r="X132" s="54"/>
      <c r="Y132" s="56"/>
      <c r="AA132" s="2"/>
      <c r="AB132" s="2"/>
      <c r="AC132" s="132"/>
    </row>
    <row r="133" spans="1:29" ht="15.75">
      <c r="A133" s="29" t="s">
        <v>286</v>
      </c>
      <c r="B133" s="3"/>
      <c r="C133" s="3"/>
      <c r="D133" s="13"/>
      <c r="E133" s="3"/>
      <c r="F133" s="3"/>
      <c r="G133" s="3"/>
      <c r="H133" s="28"/>
      <c r="I133" s="82"/>
      <c r="J133" s="116" t="str">
        <f t="shared" si="27"/>
        <v/>
      </c>
      <c r="K133" s="124"/>
      <c r="L133" s="22"/>
      <c r="M133" s="22"/>
      <c r="N133" s="22"/>
      <c r="O133" s="22"/>
      <c r="P133" s="23"/>
      <c r="Q133" s="23"/>
      <c r="R133" s="23"/>
      <c r="S133" s="23"/>
      <c r="T133" s="23"/>
      <c r="U133" s="19" t="str">
        <f t="shared" si="28"/>
        <v/>
      </c>
      <c r="V133" s="128" t="str">
        <f t="shared" si="29"/>
        <v/>
      </c>
      <c r="X133" s="54"/>
      <c r="Y133" s="56"/>
      <c r="AA133" s="2"/>
      <c r="AB133" s="2"/>
      <c r="AC133" s="132"/>
    </row>
    <row r="134" spans="1:29" ht="15.75">
      <c r="A134" s="29" t="s">
        <v>287</v>
      </c>
      <c r="B134" s="3"/>
      <c r="C134" s="3"/>
      <c r="D134" s="3"/>
      <c r="E134" s="3"/>
      <c r="F134" s="3"/>
      <c r="G134" s="3"/>
      <c r="H134" s="28"/>
      <c r="I134" s="82"/>
      <c r="J134" s="116" t="str">
        <f t="shared" si="27"/>
        <v/>
      </c>
      <c r="K134" s="124"/>
      <c r="L134" s="106"/>
      <c r="M134" s="22"/>
      <c r="N134" s="22"/>
      <c r="O134" s="22"/>
      <c r="P134" s="23"/>
      <c r="Q134" s="23"/>
      <c r="R134" s="23"/>
      <c r="S134" s="23"/>
      <c r="T134" s="23"/>
      <c r="U134" s="19" t="str">
        <f t="shared" si="28"/>
        <v/>
      </c>
      <c r="V134" s="128" t="str">
        <f t="shared" si="29"/>
        <v/>
      </c>
      <c r="X134" s="54"/>
      <c r="Y134" s="56"/>
      <c r="AA134" s="2"/>
      <c r="AB134" s="2"/>
      <c r="AC134" s="132"/>
    </row>
    <row r="135" spans="1:29" ht="15.75">
      <c r="A135" s="29" t="s">
        <v>290</v>
      </c>
      <c r="B135" s="3"/>
      <c r="C135" s="9"/>
      <c r="D135" s="3"/>
      <c r="E135" s="3"/>
      <c r="F135" s="10"/>
      <c r="G135" s="1"/>
      <c r="H135" s="27"/>
      <c r="I135" s="82"/>
      <c r="J135" s="116" t="str">
        <f t="shared" si="27"/>
        <v/>
      </c>
      <c r="K135" s="124"/>
      <c r="L135" s="22"/>
      <c r="M135" s="22"/>
      <c r="N135" s="22"/>
      <c r="O135" s="22"/>
      <c r="P135" s="23"/>
      <c r="Q135" s="23"/>
      <c r="R135" s="23"/>
      <c r="S135" s="23"/>
      <c r="T135" s="23"/>
      <c r="U135" s="19" t="str">
        <f t="shared" si="28"/>
        <v/>
      </c>
      <c r="V135" s="128" t="str">
        <f t="shared" si="29"/>
        <v/>
      </c>
      <c r="X135" s="54"/>
      <c r="Y135" s="56"/>
      <c r="AA135" s="2"/>
      <c r="AB135" s="2"/>
      <c r="AC135" s="132"/>
    </row>
    <row r="136" spans="1:29" ht="15.75">
      <c r="A136" s="29" t="s">
        <v>291</v>
      </c>
      <c r="B136" s="3"/>
      <c r="C136" s="9"/>
      <c r="D136" s="3"/>
      <c r="E136" s="3"/>
      <c r="F136" s="10"/>
      <c r="G136" s="1"/>
      <c r="H136" s="27"/>
      <c r="I136" s="82"/>
      <c r="J136" s="116" t="str">
        <f t="shared" si="27"/>
        <v/>
      </c>
      <c r="K136" s="124"/>
      <c r="L136" s="22"/>
      <c r="M136" s="22"/>
      <c r="N136" s="22"/>
      <c r="O136" s="22"/>
      <c r="P136" s="23"/>
      <c r="Q136" s="23"/>
      <c r="R136" s="23"/>
      <c r="S136" s="23"/>
      <c r="T136" s="23"/>
      <c r="U136" s="19" t="str">
        <f t="shared" si="28"/>
        <v/>
      </c>
      <c r="V136" s="128" t="str">
        <f t="shared" si="29"/>
        <v/>
      </c>
      <c r="X136" s="54"/>
      <c r="Y136" s="56"/>
      <c r="AA136" s="2"/>
      <c r="AB136" s="2"/>
      <c r="AC136" s="132"/>
    </row>
    <row r="137" spans="1:29" ht="15.75">
      <c r="A137" s="29" t="s">
        <v>293</v>
      </c>
      <c r="B137" s="3"/>
      <c r="C137" s="3"/>
      <c r="D137" s="3"/>
      <c r="E137" s="3"/>
      <c r="F137" s="3"/>
      <c r="G137" s="3"/>
      <c r="H137" s="28"/>
      <c r="I137" s="82"/>
      <c r="J137" s="116" t="str">
        <f t="shared" si="27"/>
        <v/>
      </c>
      <c r="K137" s="124"/>
      <c r="L137" s="22"/>
      <c r="M137" s="22"/>
      <c r="N137" s="22"/>
      <c r="O137" s="22"/>
      <c r="P137" s="23"/>
      <c r="Q137" s="23"/>
      <c r="R137" s="23"/>
      <c r="S137" s="23"/>
      <c r="T137" s="23"/>
      <c r="U137" s="19" t="str">
        <f t="shared" si="28"/>
        <v/>
      </c>
      <c r="V137" s="128" t="str">
        <f t="shared" si="29"/>
        <v/>
      </c>
      <c r="X137" s="54"/>
      <c r="Y137" s="56"/>
      <c r="AA137" s="2"/>
      <c r="AB137" s="2"/>
      <c r="AC137" s="132"/>
    </row>
    <row r="138" spans="1:29" ht="15.75">
      <c r="A138" s="29" t="s">
        <v>294</v>
      </c>
      <c r="B138" s="3"/>
      <c r="C138" s="3"/>
      <c r="D138" s="3"/>
      <c r="E138" s="3"/>
      <c r="F138" s="3"/>
      <c r="G138" s="3"/>
      <c r="H138" s="28"/>
      <c r="I138" s="82"/>
      <c r="J138" s="116" t="str">
        <f t="shared" si="27"/>
        <v/>
      </c>
      <c r="K138" s="124"/>
      <c r="L138" s="22"/>
      <c r="M138" s="22"/>
      <c r="N138" s="22"/>
      <c r="O138" s="22"/>
      <c r="P138" s="23"/>
      <c r="Q138" s="23"/>
      <c r="R138" s="23"/>
      <c r="S138" s="23"/>
      <c r="T138" s="23"/>
      <c r="U138" s="19" t="str">
        <f t="shared" si="28"/>
        <v/>
      </c>
      <c r="V138" s="128" t="str">
        <f t="shared" si="29"/>
        <v/>
      </c>
      <c r="X138" s="54"/>
      <c r="Y138" s="56"/>
      <c r="AA138" s="2"/>
      <c r="AB138" s="2"/>
      <c r="AC138" s="132"/>
    </row>
    <row r="139" spans="1:29" ht="15.75">
      <c r="A139" s="29" t="s">
        <v>295</v>
      </c>
      <c r="B139" s="3"/>
      <c r="C139" s="3"/>
      <c r="D139" s="3"/>
      <c r="E139" s="3"/>
      <c r="F139" s="3"/>
      <c r="G139" s="3"/>
      <c r="H139" s="28"/>
      <c r="I139" s="82"/>
      <c r="J139" s="116" t="str">
        <f t="shared" si="27"/>
        <v/>
      </c>
      <c r="K139" s="124"/>
      <c r="L139" s="22"/>
      <c r="M139" s="22"/>
      <c r="N139" s="22"/>
      <c r="O139" s="22"/>
      <c r="P139" s="23"/>
      <c r="Q139" s="23"/>
      <c r="R139" s="23"/>
      <c r="S139" s="23"/>
      <c r="T139" s="23"/>
      <c r="U139" s="19" t="str">
        <f t="shared" si="28"/>
        <v/>
      </c>
      <c r="V139" s="128" t="str">
        <f t="shared" si="29"/>
        <v/>
      </c>
      <c r="X139" s="54"/>
      <c r="Y139" s="56"/>
      <c r="AA139" s="2"/>
      <c r="AB139" s="2"/>
      <c r="AC139" s="132"/>
    </row>
    <row r="140" spans="1:29" ht="15.75">
      <c r="A140" s="29" t="s">
        <v>297</v>
      </c>
      <c r="B140" s="3"/>
      <c r="C140" s="3"/>
      <c r="D140" s="3"/>
      <c r="E140" s="3"/>
      <c r="F140" s="3"/>
      <c r="G140" s="3"/>
      <c r="H140" s="28"/>
      <c r="I140" s="82"/>
      <c r="J140" s="116" t="str">
        <f t="shared" si="27"/>
        <v/>
      </c>
      <c r="K140" s="124"/>
      <c r="L140" s="22"/>
      <c r="M140" s="22"/>
      <c r="N140" s="22"/>
      <c r="O140" s="22"/>
      <c r="P140" s="23"/>
      <c r="Q140" s="23"/>
      <c r="R140" s="23"/>
      <c r="S140" s="23"/>
      <c r="T140" s="23"/>
      <c r="U140" s="19" t="str">
        <f t="shared" si="28"/>
        <v/>
      </c>
      <c r="V140" s="128" t="str">
        <f t="shared" si="29"/>
        <v/>
      </c>
      <c r="X140" s="54"/>
      <c r="Y140" s="56"/>
      <c r="AA140" s="2"/>
      <c r="AB140" s="2"/>
      <c r="AC140" s="132"/>
    </row>
    <row r="141" spans="1:29" ht="15.75">
      <c r="A141" s="29" t="s">
        <v>298</v>
      </c>
      <c r="B141" s="3"/>
      <c r="C141" s="9"/>
      <c r="D141" s="3"/>
      <c r="E141" s="3"/>
      <c r="F141" s="3"/>
      <c r="G141" s="3"/>
      <c r="H141" s="28"/>
      <c r="I141" s="82"/>
      <c r="J141" s="116" t="str">
        <f t="shared" si="27"/>
        <v/>
      </c>
      <c r="K141" s="124"/>
      <c r="L141" s="22"/>
      <c r="M141" s="22"/>
      <c r="N141" s="22"/>
      <c r="O141" s="22"/>
      <c r="P141" s="23"/>
      <c r="Q141" s="23"/>
      <c r="R141" s="23"/>
      <c r="S141" s="23"/>
      <c r="T141" s="23"/>
      <c r="U141" s="19" t="str">
        <f t="shared" si="28"/>
        <v/>
      </c>
      <c r="V141" s="128" t="str">
        <f t="shared" si="29"/>
        <v/>
      </c>
      <c r="X141" s="54"/>
      <c r="Y141" s="56"/>
      <c r="AA141" s="2"/>
      <c r="AB141" s="2"/>
      <c r="AC141" s="132"/>
    </row>
    <row r="142" spans="1:29" ht="15.75">
      <c r="A142" s="29" t="s">
        <v>299</v>
      </c>
      <c r="B142" s="3"/>
      <c r="C142" s="9"/>
      <c r="D142" s="13"/>
      <c r="E142" s="3"/>
      <c r="F142" s="10"/>
      <c r="G142" s="1"/>
      <c r="H142" s="27"/>
      <c r="I142" s="82"/>
      <c r="J142" s="116" t="str">
        <f t="shared" si="27"/>
        <v/>
      </c>
      <c r="K142" s="124"/>
      <c r="L142" s="22"/>
      <c r="M142" s="22"/>
      <c r="N142" s="22"/>
      <c r="O142" s="22"/>
      <c r="P142" s="23"/>
      <c r="Q142" s="23"/>
      <c r="R142" s="23"/>
      <c r="S142" s="23"/>
      <c r="T142" s="23"/>
      <c r="U142" s="19" t="str">
        <f t="shared" si="28"/>
        <v/>
      </c>
      <c r="V142" s="128" t="str">
        <f t="shared" si="29"/>
        <v/>
      </c>
      <c r="X142" s="54"/>
      <c r="Y142" s="56"/>
      <c r="AA142" s="2"/>
      <c r="AB142" s="2"/>
      <c r="AC142" s="132"/>
    </row>
    <row r="143" spans="1:29" ht="15.75">
      <c r="A143" s="29" t="s">
        <v>302</v>
      </c>
      <c r="B143" s="3"/>
      <c r="C143" s="9"/>
      <c r="D143" s="13"/>
      <c r="E143" s="3"/>
      <c r="F143" s="10"/>
      <c r="G143" s="1"/>
      <c r="H143" s="27"/>
      <c r="I143" s="82"/>
      <c r="J143" s="116" t="str">
        <f t="shared" si="27"/>
        <v/>
      </c>
      <c r="K143" s="124"/>
      <c r="L143" s="22"/>
      <c r="M143" s="22"/>
      <c r="N143" s="22"/>
      <c r="O143" s="22"/>
      <c r="P143" s="23"/>
      <c r="Q143" s="23"/>
      <c r="R143" s="23"/>
      <c r="S143" s="23"/>
      <c r="T143" s="23"/>
      <c r="U143" s="19" t="str">
        <f t="shared" si="28"/>
        <v/>
      </c>
      <c r="V143" s="128" t="str">
        <f t="shared" si="29"/>
        <v/>
      </c>
      <c r="X143" s="54"/>
      <c r="Y143" s="56"/>
      <c r="AA143" s="2"/>
      <c r="AB143" s="2"/>
      <c r="AC143" s="132"/>
    </row>
    <row r="144" spans="1:29" ht="15.75">
      <c r="A144" s="29" t="s">
        <v>304</v>
      </c>
      <c r="B144" s="3"/>
      <c r="C144" s="9"/>
      <c r="D144" s="3"/>
      <c r="E144" s="3"/>
      <c r="F144" s="10"/>
      <c r="G144" s="1"/>
      <c r="H144" s="27"/>
      <c r="I144" s="82"/>
      <c r="J144" s="116" t="str">
        <f t="shared" si="27"/>
        <v/>
      </c>
      <c r="K144" s="124"/>
      <c r="L144" s="22"/>
      <c r="M144" s="22"/>
      <c r="N144" s="22"/>
      <c r="O144" s="22"/>
      <c r="P144" s="23"/>
      <c r="Q144" s="23"/>
      <c r="R144" s="23"/>
      <c r="S144" s="23"/>
      <c r="T144" s="23"/>
      <c r="U144" s="19" t="str">
        <f t="shared" si="28"/>
        <v/>
      </c>
      <c r="V144" s="128" t="str">
        <f t="shared" si="29"/>
        <v/>
      </c>
      <c r="X144" s="54"/>
      <c r="Y144" s="56"/>
      <c r="AA144" s="61"/>
      <c r="AB144" s="61"/>
      <c r="AC144" s="132"/>
    </row>
    <row r="145" spans="1:29" ht="15.75">
      <c r="A145" s="29" t="s">
        <v>305</v>
      </c>
      <c r="B145" s="3"/>
      <c r="C145" s="3"/>
      <c r="D145" s="3"/>
      <c r="E145" s="3"/>
      <c r="F145" s="3"/>
      <c r="G145" s="3"/>
      <c r="H145" s="28"/>
      <c r="I145" s="82"/>
      <c r="J145" s="116" t="str">
        <f t="shared" si="27"/>
        <v/>
      </c>
      <c r="K145" s="124"/>
      <c r="L145" s="22"/>
      <c r="M145" s="22"/>
      <c r="N145" s="22"/>
      <c r="O145" s="22"/>
      <c r="P145" s="23"/>
      <c r="Q145" s="23"/>
      <c r="R145" s="23"/>
      <c r="S145" s="23"/>
      <c r="T145" s="23"/>
      <c r="U145" s="19" t="str">
        <f t="shared" si="28"/>
        <v/>
      </c>
      <c r="V145" s="128" t="str">
        <f t="shared" si="29"/>
        <v/>
      </c>
      <c r="X145" s="54"/>
      <c r="Y145" s="56"/>
      <c r="AA145" s="61"/>
      <c r="AB145" s="61"/>
      <c r="AC145" s="132"/>
    </row>
    <row r="146" spans="1:29" ht="15.75">
      <c r="A146" s="29" t="s">
        <v>309</v>
      </c>
      <c r="B146" s="3"/>
      <c r="C146" s="3"/>
      <c r="D146" s="3"/>
      <c r="E146" s="3"/>
      <c r="F146" s="3"/>
      <c r="G146" s="3"/>
      <c r="H146" s="28"/>
      <c r="I146" s="82"/>
      <c r="J146" s="116"/>
      <c r="K146" s="125"/>
      <c r="L146" s="58"/>
      <c r="M146" s="58"/>
      <c r="N146" s="58"/>
      <c r="O146" s="58"/>
      <c r="P146" s="59"/>
      <c r="Q146" s="59"/>
      <c r="R146" s="59"/>
      <c r="S146" s="59"/>
      <c r="T146" s="59"/>
      <c r="U146" s="104" t="str">
        <f t="shared" ref="U146" si="30">IF(B146="","",K146+SUM(L146:Q146))</f>
        <v/>
      </c>
      <c r="V146" s="130" t="str">
        <f t="shared" ref="V146" si="31">IF(J146="","",+U146/H146)</f>
        <v/>
      </c>
      <c r="X146" s="54"/>
      <c r="Y146" s="56"/>
      <c r="AA146" s="105"/>
      <c r="AB146" s="105"/>
      <c r="AC146" s="134"/>
    </row>
    <row r="147" spans="1:29" ht="15.75">
      <c r="A147" s="29"/>
      <c r="B147" s="3"/>
      <c r="C147" s="3"/>
      <c r="D147" s="3"/>
      <c r="E147" s="3"/>
      <c r="F147" s="3"/>
      <c r="G147" s="3"/>
      <c r="H147" s="28"/>
      <c r="I147" s="82"/>
      <c r="J147" s="116"/>
      <c r="K147" s="125"/>
      <c r="L147" s="58"/>
      <c r="M147" s="58"/>
      <c r="N147" s="58"/>
      <c r="O147" s="58"/>
      <c r="P147" s="59"/>
      <c r="Q147" s="59"/>
      <c r="R147" s="59"/>
      <c r="S147" s="59"/>
      <c r="T147" s="59"/>
      <c r="U147" s="104"/>
      <c r="V147" s="130"/>
      <c r="X147" s="54"/>
      <c r="Y147" s="56"/>
      <c r="AA147" s="105"/>
      <c r="AB147" s="105"/>
      <c r="AC147" s="134"/>
    </row>
    <row r="148" spans="1:29" ht="15.75">
      <c r="A148" s="29"/>
      <c r="B148" s="3"/>
      <c r="C148" s="9"/>
      <c r="D148" s="3"/>
      <c r="E148" s="3"/>
      <c r="F148" s="10"/>
      <c r="G148" s="1"/>
      <c r="H148" s="27"/>
      <c r="I148" s="82"/>
      <c r="J148" s="116"/>
      <c r="K148" s="125"/>
      <c r="L148" s="58"/>
      <c r="M148" s="58"/>
      <c r="N148" s="58"/>
      <c r="O148" s="58"/>
      <c r="P148" s="59"/>
      <c r="Q148" s="59"/>
      <c r="R148" s="59"/>
      <c r="S148" s="59"/>
      <c r="T148" s="59"/>
      <c r="U148" s="104"/>
      <c r="V148" s="130"/>
      <c r="X148" s="54"/>
      <c r="Y148" s="56"/>
      <c r="AA148" s="105"/>
      <c r="AB148" s="105"/>
      <c r="AC148" s="134"/>
    </row>
    <row r="149" spans="1:29" ht="15.75">
      <c r="A149" s="29"/>
      <c r="B149" s="55"/>
      <c r="C149" s="9"/>
      <c r="D149" s="3"/>
      <c r="E149" s="3"/>
      <c r="F149" s="3"/>
      <c r="G149" s="3"/>
      <c r="H149" s="28"/>
      <c r="I149" s="82"/>
      <c r="J149" s="116"/>
      <c r="K149" s="125"/>
      <c r="L149" s="106"/>
      <c r="M149" s="58"/>
      <c r="N149" s="58"/>
      <c r="O149" s="58"/>
      <c r="P149" s="59"/>
      <c r="Q149" s="59"/>
      <c r="R149" s="59"/>
      <c r="S149" s="59"/>
      <c r="T149" s="59"/>
      <c r="U149" s="104"/>
      <c r="V149" s="130"/>
      <c r="X149" s="54"/>
      <c r="Y149" s="56"/>
      <c r="AA149" s="105"/>
      <c r="AB149" s="105"/>
      <c r="AC149" s="134"/>
    </row>
    <row r="150" spans="1:29" ht="15.75">
      <c r="A150" s="29"/>
      <c r="B150" s="3"/>
      <c r="C150" s="9"/>
      <c r="D150" s="3"/>
      <c r="E150" s="3"/>
      <c r="F150" s="10"/>
      <c r="G150" s="1"/>
      <c r="H150" s="27"/>
      <c r="I150" s="82"/>
      <c r="J150" s="116"/>
      <c r="K150" s="125"/>
      <c r="L150" s="58"/>
      <c r="M150" s="58"/>
      <c r="N150" s="58"/>
      <c r="O150" s="58"/>
      <c r="P150" s="59"/>
      <c r="Q150" s="59"/>
      <c r="R150" s="59"/>
      <c r="S150" s="59"/>
      <c r="T150" s="59"/>
      <c r="U150" s="104"/>
      <c r="V150" s="130"/>
      <c r="X150" s="54"/>
      <c r="Y150" s="56"/>
      <c r="AA150" s="105"/>
      <c r="AB150" s="105"/>
      <c r="AC150" s="134"/>
    </row>
    <row r="151" spans="1:29" ht="15.75">
      <c r="A151" s="29"/>
      <c r="B151" s="3"/>
      <c r="C151" s="9"/>
      <c r="D151" s="3"/>
      <c r="E151" s="3"/>
      <c r="F151" s="10"/>
      <c r="G151" s="1"/>
      <c r="H151" s="27"/>
      <c r="I151" s="82"/>
      <c r="J151" s="116"/>
      <c r="K151" s="125"/>
      <c r="L151" s="58"/>
      <c r="M151" s="58"/>
      <c r="N151" s="58"/>
      <c r="O151" s="58"/>
      <c r="P151" s="59"/>
      <c r="Q151" s="59"/>
      <c r="R151" s="59"/>
      <c r="S151" s="59"/>
      <c r="T151" s="59"/>
      <c r="U151" s="104"/>
      <c r="V151" s="130"/>
      <c r="X151" s="54"/>
      <c r="Y151" s="56"/>
      <c r="AA151" s="105"/>
      <c r="AB151" s="105"/>
      <c r="AC151" s="134"/>
    </row>
    <row r="152" spans="1:29" ht="15.75">
      <c r="A152" s="29"/>
      <c r="B152" s="55"/>
      <c r="C152" s="55"/>
      <c r="D152" s="55"/>
      <c r="E152" s="55"/>
      <c r="F152" s="55"/>
      <c r="G152" s="55"/>
      <c r="H152" s="56"/>
      <c r="I152" s="82"/>
      <c r="J152" s="116"/>
      <c r="K152" s="125"/>
      <c r="L152" s="58"/>
      <c r="M152" s="58"/>
      <c r="N152" s="58"/>
      <c r="O152" s="58"/>
      <c r="P152" s="59"/>
      <c r="Q152" s="59"/>
      <c r="R152" s="59"/>
      <c r="S152" s="59"/>
      <c r="T152" s="59"/>
      <c r="U152" s="104"/>
      <c r="V152" s="130"/>
      <c r="X152" s="54"/>
      <c r="Y152" s="56"/>
      <c r="AA152" s="105"/>
      <c r="AB152" s="105"/>
      <c r="AC152" s="134"/>
    </row>
    <row r="153" spans="1:29" ht="15.75">
      <c r="A153" s="29"/>
      <c r="B153" s="55"/>
      <c r="C153" s="55"/>
      <c r="D153" s="55"/>
      <c r="E153" s="55"/>
      <c r="F153" s="55"/>
      <c r="G153" s="55"/>
      <c r="H153" s="56"/>
      <c r="I153" s="82"/>
      <c r="J153" s="116"/>
      <c r="K153" s="125"/>
      <c r="L153" s="58"/>
      <c r="M153" s="58"/>
      <c r="N153" s="58"/>
      <c r="O153" s="58"/>
      <c r="P153" s="59"/>
      <c r="Q153" s="59"/>
      <c r="R153" s="59"/>
      <c r="S153" s="59"/>
      <c r="T153" s="59"/>
      <c r="U153" s="104"/>
      <c r="V153" s="130"/>
      <c r="X153" s="54"/>
      <c r="Y153" s="56"/>
      <c r="AA153" s="105"/>
      <c r="AB153" s="105"/>
      <c r="AC153" s="134"/>
    </row>
    <row r="154" spans="1:29" ht="15.75">
      <c r="A154" s="29"/>
      <c r="B154" s="55"/>
      <c r="C154" s="55"/>
      <c r="D154" s="55"/>
      <c r="E154" s="55"/>
      <c r="F154" s="55"/>
      <c r="G154" s="55"/>
      <c r="H154" s="56"/>
      <c r="I154" s="82"/>
      <c r="J154" s="116"/>
      <c r="K154" s="125"/>
      <c r="L154" s="58"/>
      <c r="M154" s="58"/>
      <c r="N154" s="58"/>
      <c r="O154" s="58"/>
      <c r="P154" s="59"/>
      <c r="Q154" s="59"/>
      <c r="R154" s="59"/>
      <c r="S154" s="59"/>
      <c r="T154" s="59"/>
      <c r="U154" s="104"/>
      <c r="V154" s="130"/>
      <c r="X154" s="54"/>
      <c r="Y154" s="56"/>
      <c r="AA154" s="105"/>
      <c r="AB154" s="105"/>
      <c r="AC154" s="134"/>
    </row>
    <row r="155" spans="1:29" ht="15.75">
      <c r="A155" s="29"/>
      <c r="B155" s="55"/>
      <c r="C155" s="55"/>
      <c r="D155" s="55"/>
      <c r="E155" s="55"/>
      <c r="F155" s="55"/>
      <c r="G155" s="55"/>
      <c r="H155" s="56"/>
      <c r="I155" s="82"/>
      <c r="J155" s="116"/>
      <c r="K155" s="125"/>
      <c r="L155" s="58"/>
      <c r="M155" s="58"/>
      <c r="N155" s="58"/>
      <c r="O155" s="58"/>
      <c r="P155" s="59"/>
      <c r="Q155" s="59"/>
      <c r="R155" s="59"/>
      <c r="S155" s="59"/>
      <c r="T155" s="59"/>
      <c r="U155" s="104"/>
      <c r="V155" s="130"/>
      <c r="X155" s="54"/>
      <c r="Y155" s="56"/>
      <c r="AA155" s="105"/>
      <c r="AB155" s="105"/>
      <c r="AC155" s="134"/>
    </row>
    <row r="156" spans="1:29" ht="15.75">
      <c r="A156" s="29"/>
      <c r="B156" s="55"/>
      <c r="C156" s="55"/>
      <c r="D156" s="55"/>
      <c r="E156" s="55"/>
      <c r="F156" s="55"/>
      <c r="G156" s="55"/>
      <c r="H156" s="56"/>
      <c r="I156" s="82"/>
      <c r="J156" s="116"/>
      <c r="K156" s="125"/>
      <c r="L156" s="58"/>
      <c r="M156" s="58"/>
      <c r="N156" s="58"/>
      <c r="O156" s="58"/>
      <c r="P156" s="59"/>
      <c r="Q156" s="59"/>
      <c r="R156" s="59"/>
      <c r="S156" s="59"/>
      <c r="T156" s="59"/>
      <c r="U156" s="104"/>
      <c r="V156" s="130"/>
      <c r="X156" s="54"/>
      <c r="Y156" s="56"/>
      <c r="AA156" s="105"/>
      <c r="AB156" s="105"/>
      <c r="AC156" s="134"/>
    </row>
    <row r="157" spans="1:29" ht="15.75">
      <c r="A157" s="29"/>
      <c r="B157" s="55"/>
      <c r="C157" s="55"/>
      <c r="D157" s="55"/>
      <c r="E157" s="55"/>
      <c r="F157" s="55"/>
      <c r="G157" s="55"/>
      <c r="H157" s="56"/>
      <c r="I157" s="82"/>
      <c r="J157" s="116"/>
      <c r="K157" s="125"/>
      <c r="L157" s="58"/>
      <c r="M157" s="58"/>
      <c r="N157" s="58"/>
      <c r="O157" s="58"/>
      <c r="P157" s="59"/>
      <c r="Q157" s="59"/>
      <c r="R157" s="59"/>
      <c r="S157" s="59"/>
      <c r="T157" s="59"/>
      <c r="U157" s="104"/>
      <c r="V157" s="130"/>
      <c r="X157" s="54"/>
      <c r="Y157" s="56"/>
      <c r="AA157" s="105"/>
      <c r="AB157" s="105"/>
      <c r="AC157" s="134"/>
    </row>
    <row r="158" spans="1:29" ht="15.75">
      <c r="A158" s="29"/>
      <c r="B158" s="3"/>
      <c r="C158" s="9"/>
      <c r="D158" s="3"/>
      <c r="E158" s="3"/>
      <c r="F158" s="10"/>
      <c r="G158" s="1"/>
      <c r="H158" s="27"/>
      <c r="I158" s="82"/>
      <c r="J158" s="116"/>
      <c r="K158" s="125"/>
      <c r="L158" s="58"/>
      <c r="M158" s="58"/>
      <c r="N158" s="58"/>
      <c r="O158" s="58"/>
      <c r="P158" s="59"/>
      <c r="Q158" s="59"/>
      <c r="R158" s="59"/>
      <c r="S158" s="59"/>
      <c r="T158" s="59"/>
      <c r="U158" s="104"/>
      <c r="V158" s="130"/>
      <c r="X158" s="54"/>
      <c r="Y158" s="56"/>
      <c r="AA158" s="105"/>
      <c r="AB158" s="105"/>
      <c r="AC158" s="134"/>
    </row>
    <row r="159" spans="1:29" ht="15.75">
      <c r="A159" s="29"/>
      <c r="B159" s="3"/>
      <c r="C159" s="3"/>
      <c r="D159" s="3"/>
      <c r="E159" s="3"/>
      <c r="F159" s="3"/>
      <c r="G159" s="3"/>
      <c r="H159" s="28"/>
      <c r="I159" s="82"/>
      <c r="J159" s="116"/>
      <c r="K159" s="125"/>
      <c r="L159" s="58"/>
      <c r="M159" s="58"/>
      <c r="N159" s="58"/>
      <c r="O159" s="58"/>
      <c r="P159" s="59"/>
      <c r="Q159" s="59"/>
      <c r="R159" s="59"/>
      <c r="S159" s="59"/>
      <c r="T159" s="59"/>
      <c r="U159" s="104"/>
      <c r="V159" s="130"/>
      <c r="X159" s="54"/>
      <c r="Y159" s="56"/>
      <c r="AA159" s="105"/>
      <c r="AB159" s="105"/>
      <c r="AC159" s="134"/>
    </row>
    <row r="160" spans="1:29" ht="15.75">
      <c r="A160" s="29"/>
      <c r="B160" s="3"/>
      <c r="C160" s="3"/>
      <c r="D160" s="3"/>
      <c r="E160" s="3"/>
      <c r="F160" s="3"/>
      <c r="G160" s="3"/>
      <c r="H160" s="28"/>
      <c r="I160" s="82"/>
      <c r="J160" s="116"/>
      <c r="K160" s="125"/>
      <c r="L160" s="58"/>
      <c r="M160" s="58"/>
      <c r="N160" s="58"/>
      <c r="O160" s="58"/>
      <c r="P160" s="59"/>
      <c r="Q160" s="59"/>
      <c r="R160" s="59"/>
      <c r="S160" s="59"/>
      <c r="T160" s="59"/>
      <c r="U160" s="104"/>
      <c r="V160" s="130"/>
      <c r="X160" s="54"/>
      <c r="Y160" s="56"/>
      <c r="AA160" s="105"/>
      <c r="AB160" s="105"/>
      <c r="AC160" s="134"/>
    </row>
    <row r="161" spans="1:29" ht="15.75">
      <c r="A161" s="29"/>
      <c r="B161" s="55"/>
      <c r="C161" s="55"/>
      <c r="D161" s="55"/>
      <c r="E161" s="55"/>
      <c r="F161" s="55"/>
      <c r="G161" s="55"/>
      <c r="H161" s="56"/>
      <c r="I161" s="82"/>
      <c r="J161" s="116"/>
      <c r="K161" s="125"/>
      <c r="L161" s="58"/>
      <c r="M161" s="58"/>
      <c r="N161" s="58"/>
      <c r="O161" s="58"/>
      <c r="P161" s="59"/>
      <c r="Q161" s="59"/>
      <c r="R161" s="59"/>
      <c r="S161" s="59"/>
      <c r="T161" s="59"/>
      <c r="U161" s="104"/>
      <c r="V161" s="130"/>
      <c r="X161" s="54"/>
      <c r="Y161" s="56"/>
      <c r="AA161" s="105"/>
      <c r="AB161" s="105"/>
      <c r="AC161" s="134"/>
    </row>
    <row r="162" spans="1:29" ht="15.75">
      <c r="A162" s="29"/>
      <c r="B162" s="55"/>
      <c r="C162" s="55"/>
      <c r="D162" s="55"/>
      <c r="E162" s="55"/>
      <c r="F162" s="55"/>
      <c r="G162" s="55"/>
      <c r="H162" s="56"/>
      <c r="I162" s="82"/>
      <c r="J162" s="116"/>
      <c r="K162" s="125"/>
      <c r="L162" s="58"/>
      <c r="M162" s="58"/>
      <c r="N162" s="58"/>
      <c r="O162" s="58"/>
      <c r="P162" s="59"/>
      <c r="Q162" s="59"/>
      <c r="R162" s="59"/>
      <c r="S162" s="59"/>
      <c r="T162" s="59"/>
      <c r="U162" s="104"/>
      <c r="V162" s="130"/>
      <c r="X162" s="54"/>
      <c r="Y162" s="56"/>
      <c r="AA162" s="105"/>
      <c r="AB162" s="105"/>
      <c r="AC162" s="134"/>
    </row>
    <row r="163" spans="1:29" ht="15.75">
      <c r="A163" s="29"/>
      <c r="B163" s="55"/>
      <c r="C163" s="55"/>
      <c r="D163" s="55"/>
      <c r="E163" s="55"/>
      <c r="F163" s="55"/>
      <c r="G163" s="55"/>
      <c r="H163" s="56"/>
      <c r="I163" s="82"/>
      <c r="J163" s="116"/>
      <c r="K163" s="125"/>
      <c r="L163" s="58"/>
      <c r="M163" s="58"/>
      <c r="N163" s="58"/>
      <c r="O163" s="58"/>
      <c r="P163" s="59"/>
      <c r="Q163" s="59"/>
      <c r="R163" s="59"/>
      <c r="S163" s="59"/>
      <c r="T163" s="59"/>
      <c r="U163" s="104"/>
      <c r="V163" s="130"/>
      <c r="X163" s="54"/>
      <c r="Y163" s="56"/>
      <c r="AA163" s="105"/>
      <c r="AB163" s="105"/>
      <c r="AC163" s="134"/>
    </row>
    <row r="164" spans="1:29" ht="15.75">
      <c r="A164" s="29"/>
      <c r="B164" s="55"/>
      <c r="C164" s="55"/>
      <c r="D164" s="55"/>
      <c r="E164" s="55"/>
      <c r="F164" s="55"/>
      <c r="G164" s="55"/>
      <c r="H164" s="56"/>
      <c r="I164" s="82"/>
      <c r="J164" s="116"/>
      <c r="K164" s="125"/>
      <c r="L164" s="58"/>
      <c r="M164" s="58"/>
      <c r="N164" s="58"/>
      <c r="O164" s="58"/>
      <c r="P164" s="59"/>
      <c r="Q164" s="59"/>
      <c r="R164" s="59"/>
      <c r="S164" s="59"/>
      <c r="T164" s="59"/>
      <c r="U164" s="104"/>
      <c r="V164" s="130"/>
      <c r="X164" s="54"/>
      <c r="Y164" s="56"/>
      <c r="AA164" s="105"/>
      <c r="AB164" s="105"/>
      <c r="AC164" s="134"/>
    </row>
    <row r="165" spans="1:29" ht="15.75">
      <c r="A165" s="29"/>
      <c r="B165" s="55"/>
      <c r="C165" s="55"/>
      <c r="D165" s="55"/>
      <c r="E165" s="55"/>
      <c r="F165" s="55"/>
      <c r="G165" s="55"/>
      <c r="H165" s="56"/>
      <c r="I165" s="82"/>
      <c r="J165" s="116"/>
      <c r="K165" s="125"/>
      <c r="L165" s="58"/>
      <c r="M165" s="58"/>
      <c r="N165" s="58"/>
      <c r="O165" s="58"/>
      <c r="P165" s="59"/>
      <c r="Q165" s="59"/>
      <c r="R165" s="59"/>
      <c r="S165" s="59"/>
      <c r="T165" s="59"/>
      <c r="U165" s="104"/>
      <c r="V165" s="130"/>
      <c r="X165" s="54"/>
      <c r="Y165" s="56"/>
      <c r="AA165" s="105"/>
      <c r="AB165" s="105"/>
      <c r="AC165" s="134"/>
    </row>
    <row r="166" spans="1:29" ht="15.75">
      <c r="A166" s="29"/>
      <c r="B166" s="55"/>
      <c r="C166" s="55"/>
      <c r="D166" s="55"/>
      <c r="E166" s="55"/>
      <c r="F166" s="55"/>
      <c r="G166" s="55"/>
      <c r="H166" s="56"/>
      <c r="I166" s="82"/>
      <c r="J166" s="116"/>
      <c r="K166" s="125"/>
      <c r="L166" s="58"/>
      <c r="M166" s="58"/>
      <c r="N166" s="58"/>
      <c r="O166" s="58"/>
      <c r="P166" s="59"/>
      <c r="Q166" s="59"/>
      <c r="R166" s="59"/>
      <c r="S166" s="59"/>
      <c r="T166" s="59"/>
      <c r="U166" s="104"/>
      <c r="V166" s="130"/>
      <c r="X166" s="54"/>
      <c r="Y166" s="56"/>
      <c r="AA166" s="105"/>
      <c r="AB166" s="105"/>
      <c r="AC166" s="134"/>
    </row>
    <row r="167" spans="1:29" ht="15.75">
      <c r="A167" s="29"/>
      <c r="B167" s="55"/>
      <c r="C167" s="55"/>
      <c r="D167" s="55"/>
      <c r="E167" s="55"/>
      <c r="F167" s="55"/>
      <c r="G167" s="55"/>
      <c r="H167" s="56"/>
      <c r="I167" s="82"/>
      <c r="J167" s="116"/>
      <c r="K167" s="125"/>
      <c r="L167" s="58"/>
      <c r="M167" s="58"/>
      <c r="N167" s="58"/>
      <c r="O167" s="58"/>
      <c r="P167" s="59"/>
      <c r="Q167" s="59"/>
      <c r="R167" s="59"/>
      <c r="S167" s="59"/>
      <c r="T167" s="59"/>
      <c r="U167" s="104"/>
      <c r="V167" s="130"/>
      <c r="X167" s="54"/>
      <c r="Y167" s="56"/>
      <c r="AA167" s="105"/>
      <c r="AB167" s="105"/>
      <c r="AC167" s="134"/>
    </row>
    <row r="168" spans="1:29" ht="15.75">
      <c r="A168" s="29"/>
      <c r="B168" s="55"/>
      <c r="C168" s="55"/>
      <c r="D168" s="55"/>
      <c r="E168" s="55"/>
      <c r="F168" s="55"/>
      <c r="G168" s="55"/>
      <c r="H168" s="56"/>
      <c r="I168" s="82"/>
      <c r="J168" s="116"/>
      <c r="K168" s="125"/>
      <c r="L168" s="58"/>
      <c r="M168" s="58"/>
      <c r="N168" s="58"/>
      <c r="O168" s="58"/>
      <c r="P168" s="59"/>
      <c r="Q168" s="59"/>
      <c r="R168" s="59"/>
      <c r="S168" s="59"/>
      <c r="T168" s="59"/>
      <c r="U168" s="104"/>
      <c r="V168" s="130"/>
      <c r="X168" s="54"/>
      <c r="Y168" s="56"/>
      <c r="AA168" s="105"/>
      <c r="AB168" s="105"/>
      <c r="AC168" s="134"/>
    </row>
    <row r="169" spans="1:29" ht="15.75">
      <c r="A169" s="29"/>
      <c r="B169" s="55"/>
      <c r="C169" s="55"/>
      <c r="D169" s="55"/>
      <c r="E169" s="55"/>
      <c r="F169" s="55"/>
      <c r="G169" s="55"/>
      <c r="H169" s="56"/>
      <c r="I169" s="82"/>
      <c r="J169" s="116"/>
      <c r="K169" s="125"/>
      <c r="L169" s="58"/>
      <c r="M169" s="58"/>
      <c r="N169" s="58"/>
      <c r="O169" s="58"/>
      <c r="P169" s="59"/>
      <c r="Q169" s="59"/>
      <c r="R169" s="59"/>
      <c r="S169" s="59"/>
      <c r="T169" s="59"/>
      <c r="U169" s="104"/>
      <c r="V169" s="130"/>
      <c r="X169" s="54"/>
      <c r="Y169" s="56"/>
      <c r="AA169" s="105"/>
      <c r="AB169" s="105"/>
      <c r="AC169" s="134"/>
    </row>
    <row r="170" spans="1:29" ht="15.75">
      <c r="A170" s="29"/>
      <c r="B170" s="55"/>
      <c r="C170" s="55"/>
      <c r="D170" s="55"/>
      <c r="E170" s="55"/>
      <c r="F170" s="55"/>
      <c r="G170" s="55"/>
      <c r="H170" s="56"/>
      <c r="I170" s="82"/>
      <c r="J170" s="116"/>
      <c r="K170" s="125"/>
      <c r="L170" s="58"/>
      <c r="M170" s="58"/>
      <c r="N170" s="58"/>
      <c r="O170" s="58"/>
      <c r="P170" s="59"/>
      <c r="Q170" s="59"/>
      <c r="R170" s="59"/>
      <c r="S170" s="59"/>
      <c r="T170" s="59"/>
      <c r="U170" s="104"/>
      <c r="V170" s="130"/>
      <c r="X170" s="54"/>
      <c r="Y170" s="56"/>
      <c r="AA170" s="105"/>
      <c r="AB170" s="105"/>
      <c r="AC170" s="134"/>
    </row>
    <row r="171" spans="1:29" ht="15.75">
      <c r="A171" s="29"/>
      <c r="B171" s="55"/>
      <c r="C171" s="55"/>
      <c r="D171" s="55"/>
      <c r="E171" s="55"/>
      <c r="F171" s="55"/>
      <c r="G171" s="55"/>
      <c r="H171" s="56"/>
      <c r="I171" s="82"/>
      <c r="J171" s="116"/>
      <c r="K171" s="125"/>
      <c r="L171" s="58"/>
      <c r="M171" s="58"/>
      <c r="N171" s="58"/>
      <c r="O171" s="58"/>
      <c r="P171" s="59"/>
      <c r="Q171" s="59"/>
      <c r="R171" s="59"/>
      <c r="S171" s="59"/>
      <c r="T171" s="59"/>
      <c r="U171" s="104"/>
      <c r="V171" s="130"/>
      <c r="X171" s="54"/>
      <c r="Y171" s="56"/>
      <c r="AA171" s="105"/>
      <c r="AB171" s="105"/>
      <c r="AC171" s="134"/>
    </row>
    <row r="172" spans="1:29" ht="15.75">
      <c r="A172" s="29"/>
      <c r="B172" s="55"/>
      <c r="C172" s="55"/>
      <c r="D172" s="55"/>
      <c r="E172" s="55"/>
      <c r="F172" s="55"/>
      <c r="G172" s="55"/>
      <c r="H172" s="56"/>
      <c r="I172" s="82"/>
      <c r="J172" s="116"/>
      <c r="K172" s="125"/>
      <c r="L172" s="58"/>
      <c r="M172" s="58"/>
      <c r="N172" s="58"/>
      <c r="O172" s="58"/>
      <c r="P172" s="59"/>
      <c r="Q172" s="59"/>
      <c r="R172" s="59"/>
      <c r="S172" s="59"/>
      <c r="T172" s="59"/>
      <c r="U172" s="104"/>
      <c r="V172" s="130"/>
      <c r="X172" s="54"/>
      <c r="Y172" s="56"/>
      <c r="AA172" s="105"/>
      <c r="AB172" s="105"/>
      <c r="AC172" s="134"/>
    </row>
    <row r="173" spans="1:29" ht="15.75">
      <c r="A173" s="29"/>
      <c r="B173" s="55"/>
      <c r="C173" s="55"/>
      <c r="D173" s="55"/>
      <c r="E173" s="55"/>
      <c r="F173" s="55"/>
      <c r="G173" s="55"/>
      <c r="H173" s="56"/>
      <c r="I173" s="82"/>
      <c r="J173" s="116"/>
      <c r="K173" s="125"/>
      <c r="L173" s="58"/>
      <c r="M173" s="58"/>
      <c r="N173" s="58"/>
      <c r="O173" s="58"/>
      <c r="P173" s="59"/>
      <c r="Q173" s="59"/>
      <c r="R173" s="59"/>
      <c r="S173" s="59"/>
      <c r="T173" s="59"/>
      <c r="U173" s="104"/>
      <c r="V173" s="130"/>
      <c r="X173" s="54"/>
      <c r="Y173" s="56"/>
      <c r="AA173" s="105"/>
      <c r="AB173" s="105"/>
      <c r="AC173" s="134"/>
    </row>
    <row r="174" spans="1:29" ht="15.75">
      <c r="A174" s="29"/>
      <c r="B174" s="55"/>
      <c r="C174" s="55"/>
      <c r="D174" s="55"/>
      <c r="E174" s="55"/>
      <c r="F174" s="55"/>
      <c r="G174" s="55"/>
      <c r="H174" s="56"/>
      <c r="I174" s="82"/>
      <c r="J174" s="116"/>
      <c r="K174" s="125"/>
      <c r="L174" s="58"/>
      <c r="M174" s="58"/>
      <c r="N174" s="58"/>
      <c r="O174" s="58"/>
      <c r="P174" s="59"/>
      <c r="Q174" s="59"/>
      <c r="R174" s="59"/>
      <c r="S174" s="59"/>
      <c r="T174" s="59"/>
      <c r="U174" s="104"/>
      <c r="V174" s="130"/>
      <c r="X174" s="54"/>
      <c r="Y174" s="56"/>
      <c r="AA174" s="105"/>
      <c r="AB174" s="105"/>
      <c r="AC174" s="134"/>
    </row>
    <row r="175" spans="1:29" ht="15.75">
      <c r="A175" s="29"/>
      <c r="B175" s="55"/>
      <c r="C175" s="55"/>
      <c r="D175" s="55"/>
      <c r="E175" s="55"/>
      <c r="F175" s="55"/>
      <c r="G175" s="55"/>
      <c r="H175" s="56"/>
      <c r="I175" s="82"/>
      <c r="J175" s="116"/>
      <c r="K175" s="125"/>
      <c r="L175" s="58"/>
      <c r="M175" s="58"/>
      <c r="N175" s="58"/>
      <c r="O175" s="58"/>
      <c r="P175" s="59"/>
      <c r="Q175" s="59"/>
      <c r="R175" s="59"/>
      <c r="S175" s="59"/>
      <c r="T175" s="59"/>
      <c r="U175" s="104"/>
      <c r="V175" s="130"/>
      <c r="X175" s="54"/>
      <c r="Y175" s="56"/>
      <c r="AA175" s="105"/>
      <c r="AB175" s="105"/>
      <c r="AC175" s="134"/>
    </row>
    <row r="176" spans="1:29" ht="15.75">
      <c r="A176" s="29"/>
      <c r="B176" s="55"/>
      <c r="C176" s="55"/>
      <c r="D176" s="55"/>
      <c r="E176" s="55"/>
      <c r="F176" s="55"/>
      <c r="G176" s="55"/>
      <c r="H176" s="56"/>
      <c r="I176" s="82"/>
      <c r="J176" s="116"/>
      <c r="K176" s="125"/>
      <c r="L176" s="58"/>
      <c r="M176" s="58"/>
      <c r="N176" s="58"/>
      <c r="O176" s="58"/>
      <c r="P176" s="59"/>
      <c r="Q176" s="59"/>
      <c r="R176" s="59"/>
      <c r="S176" s="59"/>
      <c r="T176" s="59"/>
      <c r="U176" s="104"/>
      <c r="V176" s="130"/>
      <c r="X176" s="54"/>
      <c r="Y176" s="56"/>
      <c r="AA176" s="105"/>
      <c r="AB176" s="105"/>
      <c r="AC176" s="134"/>
    </row>
    <row r="177" spans="1:29" ht="15.75">
      <c r="A177" s="29"/>
      <c r="B177" s="55"/>
      <c r="C177" s="55"/>
      <c r="D177" s="55"/>
      <c r="E177" s="55"/>
      <c r="F177" s="55"/>
      <c r="G177" s="55"/>
      <c r="H177" s="56"/>
      <c r="I177" s="82"/>
      <c r="J177" s="116"/>
      <c r="K177" s="125"/>
      <c r="L177" s="58"/>
      <c r="M177" s="58"/>
      <c r="N177" s="58"/>
      <c r="O177" s="58"/>
      <c r="P177" s="59"/>
      <c r="Q177" s="59"/>
      <c r="R177" s="59"/>
      <c r="S177" s="59"/>
      <c r="T177" s="59"/>
      <c r="U177" s="104"/>
      <c r="V177" s="130"/>
      <c r="X177" s="54"/>
      <c r="Y177" s="56"/>
      <c r="AA177" s="105"/>
      <c r="AB177" s="105"/>
      <c r="AC177" s="134"/>
    </row>
    <row r="178" spans="1:29" ht="15.75">
      <c r="A178" s="29"/>
      <c r="B178" s="55"/>
      <c r="C178" s="55"/>
      <c r="D178" s="55"/>
      <c r="E178" s="55"/>
      <c r="F178" s="55"/>
      <c r="G178" s="55"/>
      <c r="H178" s="56"/>
      <c r="I178" s="82"/>
      <c r="J178" s="116"/>
      <c r="K178" s="125"/>
      <c r="L178" s="58"/>
      <c r="M178" s="58"/>
      <c r="N178" s="58"/>
      <c r="O178" s="58"/>
      <c r="P178" s="59"/>
      <c r="Q178" s="59"/>
      <c r="R178" s="59"/>
      <c r="S178" s="59"/>
      <c r="T178" s="59"/>
      <c r="U178" s="104"/>
      <c r="V178" s="130"/>
      <c r="X178" s="54"/>
      <c r="Y178" s="56"/>
      <c r="AA178" s="105"/>
      <c r="AB178" s="105"/>
      <c r="AC178" s="134"/>
    </row>
    <row r="179" spans="1:29" ht="15.75">
      <c r="A179" s="29"/>
      <c r="B179" s="55"/>
      <c r="C179" s="55"/>
      <c r="D179" s="55"/>
      <c r="E179" s="55"/>
      <c r="F179" s="55"/>
      <c r="G179" s="55"/>
      <c r="H179" s="56"/>
      <c r="I179" s="82"/>
      <c r="J179" s="116"/>
      <c r="K179" s="125"/>
      <c r="L179" s="58"/>
      <c r="M179" s="58"/>
      <c r="N179" s="58"/>
      <c r="O179" s="58"/>
      <c r="P179" s="59"/>
      <c r="Q179" s="59"/>
      <c r="R179" s="59"/>
      <c r="S179" s="59"/>
      <c r="T179" s="59"/>
      <c r="U179" s="104"/>
      <c r="V179" s="130"/>
      <c r="X179" s="54"/>
      <c r="Y179" s="56"/>
      <c r="AA179" s="105"/>
      <c r="AB179" s="105"/>
      <c r="AC179" s="134"/>
    </row>
    <row r="180" spans="1:29" ht="15.75">
      <c r="A180" s="29"/>
      <c r="B180" s="55"/>
      <c r="C180" s="55"/>
      <c r="D180" s="55"/>
      <c r="E180" s="55"/>
      <c r="F180" s="55"/>
      <c r="G180" s="55"/>
      <c r="H180" s="56"/>
      <c r="I180" s="82"/>
      <c r="J180" s="116"/>
      <c r="K180" s="125"/>
      <c r="L180" s="58"/>
      <c r="M180" s="58"/>
      <c r="N180" s="58"/>
      <c r="O180" s="58"/>
      <c r="P180" s="59"/>
      <c r="Q180" s="59"/>
      <c r="R180" s="59"/>
      <c r="S180" s="59"/>
      <c r="T180" s="59"/>
      <c r="U180" s="104"/>
      <c r="V180" s="130"/>
      <c r="X180" s="54"/>
      <c r="Y180" s="56"/>
      <c r="AA180" s="105"/>
      <c r="AB180" s="105"/>
      <c r="AC180" s="134"/>
    </row>
    <row r="181" spans="1:29" ht="15.75">
      <c r="A181" s="29"/>
      <c r="B181" s="55"/>
      <c r="C181" s="55"/>
      <c r="D181" s="55"/>
      <c r="E181" s="55"/>
      <c r="F181" s="55"/>
      <c r="G181" s="55"/>
      <c r="H181" s="56"/>
      <c r="I181" s="82"/>
      <c r="J181" s="116"/>
      <c r="K181" s="125"/>
      <c r="L181" s="58"/>
      <c r="M181" s="58"/>
      <c r="N181" s="58"/>
      <c r="O181" s="58"/>
      <c r="P181" s="59"/>
      <c r="Q181" s="59"/>
      <c r="R181" s="59"/>
      <c r="S181" s="59"/>
      <c r="T181" s="59"/>
      <c r="U181" s="104"/>
      <c r="V181" s="130"/>
      <c r="X181" s="54"/>
      <c r="Y181" s="56"/>
      <c r="AA181" s="105"/>
      <c r="AB181" s="105"/>
      <c r="AC181" s="134"/>
    </row>
    <row r="182" spans="1:29" ht="15.75">
      <c r="A182" s="29"/>
      <c r="B182" s="55"/>
      <c r="C182" s="55"/>
      <c r="D182" s="55"/>
      <c r="E182" s="55"/>
      <c r="F182" s="55"/>
      <c r="G182" s="55"/>
      <c r="H182" s="56"/>
      <c r="I182" s="82"/>
      <c r="J182" s="116"/>
      <c r="K182" s="125"/>
      <c r="L182" s="58"/>
      <c r="M182" s="58"/>
      <c r="N182" s="58"/>
      <c r="O182" s="58"/>
      <c r="P182" s="59"/>
      <c r="Q182" s="59"/>
      <c r="R182" s="59"/>
      <c r="S182" s="59"/>
      <c r="T182" s="59"/>
      <c r="U182" s="104"/>
      <c r="V182" s="130"/>
      <c r="X182" s="54"/>
      <c r="Y182" s="56"/>
      <c r="AA182" s="105"/>
      <c r="AB182" s="105"/>
      <c r="AC182" s="134"/>
    </row>
    <row r="183" spans="1:29" ht="15.75">
      <c r="A183" s="29"/>
      <c r="B183" s="55"/>
      <c r="C183" s="55"/>
      <c r="D183" s="55"/>
      <c r="E183" s="55"/>
      <c r="F183" s="55"/>
      <c r="G183" s="55"/>
      <c r="H183" s="56"/>
      <c r="I183" s="82"/>
      <c r="J183" s="116"/>
      <c r="K183" s="125"/>
      <c r="L183" s="58"/>
      <c r="M183" s="58"/>
      <c r="N183" s="58"/>
      <c r="O183" s="58"/>
      <c r="P183" s="59"/>
      <c r="Q183" s="59"/>
      <c r="R183" s="59"/>
      <c r="S183" s="59"/>
      <c r="T183" s="59"/>
      <c r="U183" s="104"/>
      <c r="V183" s="130"/>
      <c r="X183" s="54"/>
      <c r="Y183" s="56"/>
      <c r="AA183" s="105"/>
      <c r="AB183" s="105"/>
      <c r="AC183" s="134"/>
    </row>
    <row r="184" spans="1:29" ht="15.75">
      <c r="A184" s="29"/>
      <c r="B184" s="55"/>
      <c r="C184" s="55"/>
      <c r="D184" s="55"/>
      <c r="E184" s="55"/>
      <c r="F184" s="55"/>
      <c r="G184" s="55"/>
      <c r="H184" s="56"/>
      <c r="I184" s="82"/>
      <c r="J184" s="116"/>
      <c r="K184" s="125"/>
      <c r="L184" s="58"/>
      <c r="M184" s="58"/>
      <c r="N184" s="58"/>
      <c r="O184" s="58"/>
      <c r="P184" s="59"/>
      <c r="Q184" s="59"/>
      <c r="R184" s="59"/>
      <c r="S184" s="59"/>
      <c r="T184" s="59"/>
      <c r="U184" s="104"/>
      <c r="V184" s="130"/>
      <c r="X184" s="54"/>
      <c r="Y184" s="56"/>
      <c r="AA184" s="105"/>
      <c r="AB184" s="105"/>
      <c r="AC184" s="134"/>
    </row>
    <row r="185" spans="1:29" ht="15.75">
      <c r="A185" s="29"/>
      <c r="B185" s="55"/>
      <c r="C185" s="55"/>
      <c r="D185" s="55"/>
      <c r="E185" s="55"/>
      <c r="F185" s="55"/>
      <c r="G185" s="55"/>
      <c r="H185" s="56"/>
      <c r="I185" s="82"/>
      <c r="J185" s="116"/>
      <c r="K185" s="125"/>
      <c r="L185" s="58"/>
      <c r="M185" s="58"/>
      <c r="N185" s="58"/>
      <c r="O185" s="58"/>
      <c r="P185" s="59"/>
      <c r="Q185" s="59"/>
      <c r="R185" s="59"/>
      <c r="S185" s="59"/>
      <c r="T185" s="59"/>
      <c r="U185" s="104"/>
      <c r="V185" s="130"/>
      <c r="X185" s="54"/>
      <c r="Y185" s="56"/>
      <c r="AA185" s="105"/>
      <c r="AB185" s="105"/>
      <c r="AC185" s="134"/>
    </row>
    <row r="186" spans="1:29" ht="15.75">
      <c r="A186" s="29"/>
      <c r="B186" s="55"/>
      <c r="C186" s="55"/>
      <c r="D186" s="55"/>
      <c r="E186" s="55"/>
      <c r="F186" s="55"/>
      <c r="G186" s="55"/>
      <c r="H186" s="56"/>
      <c r="I186" s="82"/>
      <c r="J186" s="116"/>
      <c r="K186" s="125"/>
      <c r="L186" s="58"/>
      <c r="M186" s="58"/>
      <c r="N186" s="58"/>
      <c r="O186" s="58"/>
      <c r="P186" s="59"/>
      <c r="Q186" s="59"/>
      <c r="R186" s="59"/>
      <c r="S186" s="59"/>
      <c r="T186" s="59"/>
      <c r="U186" s="104"/>
      <c r="V186" s="130"/>
      <c r="X186" s="54"/>
      <c r="Y186" s="56"/>
      <c r="AA186" s="105"/>
      <c r="AB186" s="105"/>
      <c r="AC186" s="134"/>
    </row>
    <row r="187" spans="1:29" ht="15.75">
      <c r="A187" s="29"/>
      <c r="B187" s="55"/>
      <c r="C187" s="55"/>
      <c r="D187" s="55"/>
      <c r="E187" s="55"/>
      <c r="F187" s="55"/>
      <c r="G187" s="55"/>
      <c r="H187" s="56"/>
      <c r="I187" s="82"/>
      <c r="J187" s="116"/>
      <c r="K187" s="125"/>
      <c r="L187" s="58"/>
      <c r="M187" s="58"/>
      <c r="N187" s="58"/>
      <c r="O187" s="58"/>
      <c r="P187" s="59"/>
      <c r="Q187" s="59"/>
      <c r="R187" s="59"/>
      <c r="S187" s="59"/>
      <c r="T187" s="59"/>
      <c r="U187" s="104"/>
      <c r="V187" s="130"/>
      <c r="X187" s="54"/>
      <c r="Y187" s="56"/>
      <c r="AA187" s="105"/>
      <c r="AB187" s="105"/>
      <c r="AC187" s="134"/>
    </row>
    <row r="188" spans="1:29" ht="15.75">
      <c r="A188" s="29"/>
      <c r="B188" s="55"/>
      <c r="C188" s="55"/>
      <c r="D188" s="55"/>
      <c r="E188" s="55"/>
      <c r="F188" s="55"/>
      <c r="G188" s="55"/>
      <c r="H188" s="56"/>
      <c r="I188" s="82"/>
      <c r="J188" s="116"/>
      <c r="K188" s="125"/>
      <c r="L188" s="58"/>
      <c r="M188" s="58"/>
      <c r="N188" s="58"/>
      <c r="O188" s="58"/>
      <c r="P188" s="59"/>
      <c r="Q188" s="59"/>
      <c r="R188" s="59"/>
      <c r="S188" s="59"/>
      <c r="T188" s="59"/>
      <c r="U188" s="104"/>
      <c r="V188" s="130"/>
      <c r="X188" s="54"/>
      <c r="Y188" s="56"/>
      <c r="AA188" s="105"/>
      <c r="AB188" s="105"/>
      <c r="AC188" s="134"/>
    </row>
    <row r="189" spans="1:29" ht="15.75">
      <c r="A189" s="29"/>
      <c r="B189" s="55"/>
      <c r="C189" s="55"/>
      <c r="D189" s="55"/>
      <c r="E189" s="55"/>
      <c r="F189" s="55"/>
      <c r="G189" s="55"/>
      <c r="H189" s="56"/>
      <c r="I189" s="82"/>
      <c r="J189" s="116"/>
      <c r="K189" s="125"/>
      <c r="L189" s="58"/>
      <c r="M189" s="58"/>
      <c r="N189" s="58"/>
      <c r="O189" s="58"/>
      <c r="P189" s="59"/>
      <c r="Q189" s="59"/>
      <c r="R189" s="59"/>
      <c r="S189" s="59"/>
      <c r="T189" s="59"/>
      <c r="U189" s="104"/>
      <c r="V189" s="130"/>
      <c r="X189" s="54"/>
      <c r="Y189" s="56"/>
      <c r="AA189" s="105"/>
      <c r="AB189" s="105"/>
      <c r="AC189" s="134"/>
    </row>
    <row r="190" spans="1:29" ht="15.75">
      <c r="A190" s="29"/>
      <c r="B190" s="55"/>
      <c r="C190" s="55"/>
      <c r="D190" s="55"/>
      <c r="E190" s="55"/>
      <c r="F190" s="55"/>
      <c r="G190" s="55"/>
      <c r="H190" s="56"/>
      <c r="I190" s="82"/>
      <c r="J190" s="116"/>
      <c r="K190" s="125"/>
      <c r="L190" s="58"/>
      <c r="M190" s="58"/>
      <c r="N190" s="58"/>
      <c r="O190" s="58"/>
      <c r="P190" s="59"/>
      <c r="Q190" s="59"/>
      <c r="R190" s="59"/>
      <c r="S190" s="59"/>
      <c r="T190" s="59"/>
      <c r="U190" s="104"/>
      <c r="V190" s="130"/>
      <c r="X190" s="54"/>
      <c r="Y190" s="56"/>
      <c r="AA190" s="105"/>
      <c r="AB190" s="105"/>
      <c r="AC190" s="134"/>
    </row>
    <row r="191" spans="1:29" ht="15.75">
      <c r="A191" s="29"/>
      <c r="B191" s="55"/>
      <c r="C191" s="55"/>
      <c r="D191" s="55"/>
      <c r="E191" s="55"/>
      <c r="F191" s="55"/>
      <c r="G191" s="55"/>
      <c r="H191" s="56"/>
      <c r="I191" s="82"/>
      <c r="J191" s="116"/>
      <c r="K191" s="125"/>
      <c r="L191" s="58"/>
      <c r="M191" s="58"/>
      <c r="N191" s="58"/>
      <c r="O191" s="58"/>
      <c r="P191" s="59"/>
      <c r="Q191" s="59"/>
      <c r="R191" s="59"/>
      <c r="S191" s="59"/>
      <c r="T191" s="59"/>
      <c r="U191" s="104"/>
      <c r="V191" s="130"/>
      <c r="X191" s="54"/>
      <c r="Y191" s="56"/>
      <c r="AA191" s="105"/>
      <c r="AB191" s="105"/>
      <c r="AC191" s="134"/>
    </row>
    <row r="192" spans="1:29" ht="15.75">
      <c r="A192" s="29"/>
      <c r="B192" s="55"/>
      <c r="C192" s="55"/>
      <c r="D192" s="55"/>
      <c r="E192" s="55"/>
      <c r="F192" s="55"/>
      <c r="G192" s="55"/>
      <c r="H192" s="56"/>
      <c r="I192" s="82"/>
      <c r="J192" s="116"/>
      <c r="K192" s="125"/>
      <c r="L192" s="58"/>
      <c r="M192" s="58"/>
      <c r="N192" s="58"/>
      <c r="O192" s="58"/>
      <c r="P192" s="59"/>
      <c r="Q192" s="59"/>
      <c r="R192" s="59"/>
      <c r="S192" s="59"/>
      <c r="T192" s="59"/>
      <c r="U192" s="104"/>
      <c r="V192" s="130"/>
      <c r="X192" s="54"/>
      <c r="Y192" s="56"/>
      <c r="AA192" s="105"/>
      <c r="AB192" s="105"/>
      <c r="AC192" s="134"/>
    </row>
    <row r="193" spans="1:29" ht="15.75">
      <c r="A193" s="29"/>
      <c r="B193" s="55"/>
      <c r="C193" s="55"/>
      <c r="D193" s="55"/>
      <c r="E193" s="55"/>
      <c r="F193" s="55"/>
      <c r="G193" s="55"/>
      <c r="H193" s="56"/>
      <c r="I193" s="82"/>
      <c r="J193" s="116"/>
      <c r="K193" s="125"/>
      <c r="L193" s="58"/>
      <c r="M193" s="58"/>
      <c r="N193" s="58"/>
      <c r="O193" s="58"/>
      <c r="P193" s="59"/>
      <c r="Q193" s="59"/>
      <c r="R193" s="59"/>
      <c r="S193" s="59"/>
      <c r="T193" s="59"/>
      <c r="U193" s="104"/>
      <c r="V193" s="130"/>
      <c r="X193" s="54"/>
      <c r="Y193" s="56"/>
      <c r="AA193" s="105"/>
      <c r="AB193" s="105"/>
      <c r="AC193" s="134"/>
    </row>
    <row r="194" spans="1:29" ht="15.75">
      <c r="A194" s="29"/>
      <c r="B194" s="55"/>
      <c r="C194" s="55"/>
      <c r="D194" s="55"/>
      <c r="E194" s="55"/>
      <c r="F194" s="55"/>
      <c r="G194" s="55"/>
      <c r="H194" s="56"/>
      <c r="I194" s="82"/>
      <c r="J194" s="116"/>
      <c r="K194" s="125"/>
      <c r="L194" s="58"/>
      <c r="M194" s="58"/>
      <c r="N194" s="58"/>
      <c r="O194" s="58"/>
      <c r="P194" s="59"/>
      <c r="Q194" s="59"/>
      <c r="R194" s="59"/>
      <c r="S194" s="59"/>
      <c r="T194" s="59"/>
      <c r="U194" s="104"/>
      <c r="V194" s="130"/>
      <c r="X194" s="54"/>
      <c r="Y194" s="56"/>
      <c r="AA194" s="105"/>
      <c r="AB194" s="105"/>
      <c r="AC194" s="134"/>
    </row>
    <row r="195" spans="1:29" ht="15.75">
      <c r="A195" s="29"/>
      <c r="B195" s="55"/>
      <c r="C195" s="55"/>
      <c r="D195" s="55"/>
      <c r="E195" s="55"/>
      <c r="F195" s="55"/>
      <c r="G195" s="55"/>
      <c r="H195" s="56"/>
      <c r="I195" s="82"/>
      <c r="J195" s="116"/>
      <c r="K195" s="125"/>
      <c r="L195" s="58"/>
      <c r="M195" s="58"/>
      <c r="N195" s="58"/>
      <c r="O195" s="58"/>
      <c r="P195" s="59"/>
      <c r="Q195" s="59"/>
      <c r="R195" s="59"/>
      <c r="S195" s="59"/>
      <c r="T195" s="59"/>
      <c r="U195" s="104"/>
      <c r="V195" s="130"/>
      <c r="X195" s="54"/>
      <c r="Y195" s="56"/>
      <c r="AA195" s="105"/>
      <c r="AB195" s="105"/>
      <c r="AC195" s="134"/>
    </row>
    <row r="196" spans="1:29" ht="15.75">
      <c r="A196" s="29"/>
      <c r="B196" s="55"/>
      <c r="C196" s="55"/>
      <c r="D196" s="55"/>
      <c r="E196" s="55"/>
      <c r="F196" s="55"/>
      <c r="G196" s="55"/>
      <c r="H196" s="56"/>
      <c r="I196" s="82"/>
      <c r="J196" s="116"/>
      <c r="K196" s="125"/>
      <c r="L196" s="58"/>
      <c r="M196" s="58"/>
      <c r="N196" s="58"/>
      <c r="O196" s="58"/>
      <c r="P196" s="59"/>
      <c r="Q196" s="59"/>
      <c r="R196" s="59"/>
      <c r="S196" s="59"/>
      <c r="T196" s="59"/>
      <c r="U196" s="104"/>
      <c r="V196" s="130"/>
      <c r="X196" s="54"/>
      <c r="Y196" s="56"/>
      <c r="AA196" s="105"/>
      <c r="AB196" s="105"/>
      <c r="AC196" s="134"/>
    </row>
    <row r="197" spans="1:29" ht="15.75">
      <c r="A197" s="29"/>
      <c r="B197" s="55"/>
      <c r="C197" s="55"/>
      <c r="D197" s="55"/>
      <c r="E197" s="55"/>
      <c r="F197" s="55"/>
      <c r="G197" s="55"/>
      <c r="H197" s="56"/>
      <c r="I197" s="82"/>
      <c r="J197" s="116"/>
      <c r="K197" s="125"/>
      <c r="L197" s="58"/>
      <c r="M197" s="58"/>
      <c r="N197" s="58"/>
      <c r="O197" s="58"/>
      <c r="P197" s="59"/>
      <c r="Q197" s="59"/>
      <c r="R197" s="59"/>
      <c r="S197" s="59"/>
      <c r="T197" s="59"/>
      <c r="U197" s="104"/>
      <c r="V197" s="130"/>
      <c r="X197" s="54"/>
      <c r="Y197" s="56"/>
      <c r="AA197" s="105"/>
      <c r="AB197" s="105"/>
      <c r="AC197" s="134"/>
    </row>
    <row r="198" spans="1:29" ht="15.75">
      <c r="A198" s="29"/>
      <c r="B198" s="55"/>
      <c r="C198" s="55"/>
      <c r="D198" s="55"/>
      <c r="E198" s="55"/>
      <c r="F198" s="55"/>
      <c r="G198" s="55"/>
      <c r="H198" s="56"/>
      <c r="I198" s="82"/>
      <c r="J198" s="116"/>
      <c r="K198" s="125"/>
      <c r="L198" s="58"/>
      <c r="M198" s="58"/>
      <c r="N198" s="58"/>
      <c r="O198" s="58"/>
      <c r="P198" s="59"/>
      <c r="Q198" s="59"/>
      <c r="R198" s="59"/>
      <c r="S198" s="59"/>
      <c r="T198" s="59"/>
      <c r="U198" s="104"/>
      <c r="V198" s="130"/>
      <c r="X198" s="54"/>
      <c r="Y198" s="56"/>
      <c r="AA198" s="105"/>
      <c r="AB198" s="105"/>
      <c r="AC198" s="134"/>
    </row>
    <row r="199" spans="1:29" ht="15.75">
      <c r="A199" s="29"/>
      <c r="B199" s="55"/>
      <c r="C199" s="55"/>
      <c r="D199" s="55"/>
      <c r="E199" s="55"/>
      <c r="F199" s="55"/>
      <c r="G199" s="55"/>
      <c r="H199" s="56"/>
      <c r="I199" s="82"/>
      <c r="J199" s="116"/>
      <c r="K199" s="125"/>
      <c r="L199" s="58"/>
      <c r="M199" s="58"/>
      <c r="N199" s="58"/>
      <c r="O199" s="58"/>
      <c r="P199" s="59"/>
      <c r="Q199" s="59"/>
      <c r="R199" s="59"/>
      <c r="S199" s="59"/>
      <c r="T199" s="59"/>
      <c r="U199" s="104"/>
      <c r="V199" s="130"/>
      <c r="X199" s="54"/>
      <c r="Y199" s="56"/>
      <c r="AA199" s="105"/>
      <c r="AB199" s="105"/>
      <c r="AC199" s="134"/>
    </row>
    <row r="200" spans="1:29" ht="15.75">
      <c r="A200" s="29"/>
      <c r="B200" s="55"/>
      <c r="C200" s="55"/>
      <c r="D200" s="55"/>
      <c r="E200" s="55"/>
      <c r="F200" s="55"/>
      <c r="G200" s="55"/>
      <c r="H200" s="56"/>
      <c r="I200" s="82"/>
      <c r="J200" s="116"/>
      <c r="K200" s="125"/>
      <c r="L200" s="58"/>
      <c r="M200" s="58"/>
      <c r="N200" s="58"/>
      <c r="O200" s="58"/>
      <c r="P200" s="59"/>
      <c r="Q200" s="59"/>
      <c r="R200" s="59"/>
      <c r="S200" s="59"/>
      <c r="T200" s="59"/>
      <c r="U200" s="104"/>
      <c r="V200" s="130"/>
      <c r="X200" s="54"/>
      <c r="Y200" s="56"/>
      <c r="AA200" s="105"/>
      <c r="AB200" s="105"/>
      <c r="AC200" s="134"/>
    </row>
    <row r="201" spans="1:29" ht="15.75">
      <c r="A201" s="29"/>
      <c r="B201" s="55"/>
      <c r="C201" s="55"/>
      <c r="D201" s="55"/>
      <c r="E201" s="55"/>
      <c r="F201" s="55"/>
      <c r="G201" s="55"/>
      <c r="H201" s="56"/>
      <c r="I201" s="82"/>
      <c r="J201" s="116"/>
      <c r="K201" s="125"/>
      <c r="L201" s="58"/>
      <c r="M201" s="58"/>
      <c r="N201" s="58"/>
      <c r="O201" s="58"/>
      <c r="P201" s="59"/>
      <c r="Q201" s="59"/>
      <c r="R201" s="59"/>
      <c r="S201" s="59"/>
      <c r="T201" s="59"/>
      <c r="U201" s="104"/>
      <c r="V201" s="130"/>
      <c r="X201" s="54"/>
      <c r="Y201" s="56"/>
      <c r="AA201" s="105"/>
      <c r="AB201" s="105"/>
      <c r="AC201" s="134"/>
    </row>
    <row r="202" spans="1:29" ht="16.5" thickBot="1">
      <c r="A202" s="30"/>
      <c r="B202" s="31"/>
      <c r="C202" s="31"/>
      <c r="D202" s="31"/>
      <c r="E202" s="31"/>
      <c r="F202" s="31"/>
      <c r="G202" s="31"/>
      <c r="H202" s="32"/>
      <c r="I202" s="82"/>
      <c r="J202" s="126"/>
      <c r="K202" s="127"/>
      <c r="L202" s="50"/>
      <c r="M202" s="50"/>
      <c r="N202" s="50"/>
      <c r="O202" s="50"/>
      <c r="P202" s="51"/>
      <c r="Q202" s="51"/>
      <c r="R202" s="51"/>
      <c r="S202" s="51"/>
      <c r="T202" s="51"/>
      <c r="U202" s="52"/>
      <c r="V202" s="131"/>
      <c r="X202" s="30"/>
      <c r="Y202" s="32"/>
      <c r="AA202" s="62"/>
      <c r="AB202" s="62"/>
      <c r="AC202" s="135"/>
    </row>
  </sheetData>
  <autoFilter ref="A2:AD146" xr:uid="{969E45CB-FC1E-4835-BA2F-DA99948549B1}"/>
  <mergeCells count="1">
    <mergeCell ref="AA1:AB1"/>
  </mergeCells>
  <phoneticPr fontId="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39B1-AB2B-4066-A848-E0B604E4DA22}">
  <dimension ref="A1:AC254"/>
  <sheetViews>
    <sheetView zoomScale="95" zoomScaleNormal="95" workbookViewId="0">
      <pane xSplit="3" ySplit="2" topLeftCell="D179" activePane="bottomRight" state="frozen"/>
      <selection pane="bottomRight" activeCell="A198" sqref="A198:XFD198"/>
      <selection pane="bottomLeft" activeCell="A4" sqref="A4"/>
      <selection pane="topRight" activeCell="D1" sqref="D1"/>
    </sheetView>
  </sheetViews>
  <sheetFormatPr defaultColWidth="8.7109375" defaultRowHeight="15"/>
  <cols>
    <col min="1" max="1" width="8.7109375" style="5" customWidth="1"/>
    <col min="2" max="2" width="20.7109375" style="5" customWidth="1"/>
    <col min="3" max="3" width="15.7109375" style="5" customWidth="1"/>
    <col min="4" max="4" width="23.7109375" style="5" customWidth="1"/>
    <col min="5" max="8" width="10.7109375" style="5" customWidth="1"/>
    <col min="9" max="9" width="3.7109375" style="8" customWidth="1"/>
    <col min="10" max="10" width="10.7109375" style="5" customWidth="1"/>
    <col min="11" max="11" width="12.42578125" style="12" customWidth="1"/>
    <col min="12" max="12" width="10.7109375" style="8" customWidth="1"/>
    <col min="13" max="13" width="10" style="8" customWidth="1"/>
    <col min="14" max="14" width="10.7109375" style="8" customWidth="1"/>
    <col min="15" max="15" width="9.7109375" style="8" customWidth="1"/>
    <col min="16" max="21" width="10.7109375" style="5" customWidth="1"/>
    <col min="22" max="22" width="10.7109375" style="15" customWidth="1"/>
    <col min="23" max="23" width="1.7109375" style="8" customWidth="1"/>
    <col min="24" max="24" width="12.7109375" style="5" customWidth="1"/>
    <col min="25" max="25" width="12.140625" style="5" customWidth="1"/>
    <col min="26" max="26" width="1.7109375" style="8" customWidth="1"/>
    <col min="27" max="28" width="10.7109375" style="8" customWidth="1"/>
    <col min="29" max="29" width="20.7109375" style="8" customWidth="1"/>
    <col min="30" max="984" width="10.7109375" style="8" customWidth="1"/>
    <col min="985" max="16384" width="8.7109375" style="8"/>
  </cols>
  <sheetData>
    <row r="1" spans="1:29" ht="28.5" customHeight="1" thickBot="1">
      <c r="A1" s="4"/>
      <c r="B1" s="4"/>
      <c r="C1" s="4"/>
      <c r="D1" s="24"/>
      <c r="E1" s="25"/>
      <c r="F1" s="4"/>
      <c r="I1" s="6"/>
      <c r="K1" s="7"/>
      <c r="L1" s="6"/>
      <c r="M1" s="6"/>
      <c r="N1" s="6"/>
      <c r="O1" s="6"/>
      <c r="T1" s="5">
        <v>45626</v>
      </c>
      <c r="U1" s="5" t="s">
        <v>380</v>
      </c>
      <c r="V1" s="15">
        <v>45657</v>
      </c>
      <c r="W1" s="6">
        <f>SUM(W3:W254)</f>
        <v>197590.14799030771</v>
      </c>
      <c r="AA1" s="145"/>
      <c r="AB1" s="146"/>
      <c r="AC1" s="75"/>
    </row>
    <row r="2" spans="1:29" s="45" customFormat="1" ht="50.25" customHeight="1" thickBot="1">
      <c r="A2" s="107" t="s">
        <v>0</v>
      </c>
      <c r="B2" s="108" t="s">
        <v>1</v>
      </c>
      <c r="C2" s="108" t="s">
        <v>2</v>
      </c>
      <c r="D2" s="108" t="s">
        <v>3</v>
      </c>
      <c r="E2" s="108" t="s">
        <v>4</v>
      </c>
      <c r="F2" s="108" t="s">
        <v>390</v>
      </c>
      <c r="G2" s="108" t="s">
        <v>6</v>
      </c>
      <c r="H2" s="109" t="s">
        <v>7</v>
      </c>
      <c r="J2" s="107" t="s">
        <v>8</v>
      </c>
      <c r="K2" s="110" t="s">
        <v>372</v>
      </c>
      <c r="L2" s="110" t="s">
        <v>391</v>
      </c>
      <c r="M2" s="111" t="s">
        <v>12</v>
      </c>
      <c r="N2" s="111" t="s">
        <v>381</v>
      </c>
      <c r="O2" s="111" t="s">
        <v>14</v>
      </c>
      <c r="P2" s="112" t="s">
        <v>392</v>
      </c>
      <c r="Q2" s="112" t="s">
        <v>20</v>
      </c>
      <c r="R2" s="112" t="s">
        <v>21</v>
      </c>
      <c r="S2" s="112"/>
      <c r="T2" s="112" t="s">
        <v>382</v>
      </c>
      <c r="U2" s="112" t="s">
        <v>383</v>
      </c>
      <c r="V2" s="113" t="s">
        <v>384</v>
      </c>
      <c r="W2" s="45" t="s">
        <v>393</v>
      </c>
      <c r="X2" s="107"/>
      <c r="Y2" s="109" t="s">
        <v>22</v>
      </c>
      <c r="Z2" s="45" t="s">
        <v>23</v>
      </c>
      <c r="AA2" s="114"/>
      <c r="AB2" s="114"/>
      <c r="AC2" s="115"/>
    </row>
    <row r="3" spans="1:29" ht="15.75">
      <c r="A3" s="67" t="s">
        <v>394</v>
      </c>
      <c r="B3" s="68" t="s">
        <v>389</v>
      </c>
      <c r="C3" s="69" t="s">
        <v>62</v>
      </c>
      <c r="D3" s="68" t="s">
        <v>30</v>
      </c>
      <c r="E3" s="68" t="str">
        <f>IF(B3="","",IF(D3="Godfroy","Godfroy",(IF(LEFT(B3,1)="1","Hiwa","Direct"))))</f>
        <v>Hiwa</v>
      </c>
      <c r="F3" s="68" t="s">
        <v>46</v>
      </c>
      <c r="G3" s="68">
        <v>120</v>
      </c>
      <c r="H3" s="70">
        <f>G3*190</f>
        <v>22800</v>
      </c>
      <c r="I3" s="82"/>
      <c r="J3" s="116">
        <v>1.36</v>
      </c>
      <c r="K3" s="117">
        <f>+H3*J3</f>
        <v>31008.000000000004</v>
      </c>
      <c r="L3" s="17"/>
      <c r="M3" s="17">
        <v>162.62</v>
      </c>
      <c r="N3" s="17"/>
      <c r="O3" s="16">
        <f>376+161+695.59</f>
        <v>1232.5900000000001</v>
      </c>
      <c r="P3" s="16"/>
      <c r="Q3" s="16">
        <f>K3+SUM(L3:P3)</f>
        <v>32403.210000000003</v>
      </c>
      <c r="R3" s="16">
        <f>IF(J3="","",+Q3/H3)</f>
        <v>1.4211934210526318</v>
      </c>
      <c r="S3" s="16"/>
      <c r="T3" s="16"/>
      <c r="U3" s="19"/>
      <c r="V3" s="128"/>
      <c r="W3" s="8" t="str">
        <f>IF(V3&gt;0,(((H3/G3)*V3)*R3),"")</f>
        <v/>
      </c>
      <c r="X3" s="40"/>
      <c r="Y3" s="41">
        <v>319115</v>
      </c>
      <c r="Z3" s="8">
        <v>44742</v>
      </c>
      <c r="AA3" s="60"/>
      <c r="AB3" s="60"/>
      <c r="AC3" s="132"/>
    </row>
    <row r="4" spans="1:29" ht="15.75">
      <c r="A4" s="26" t="s">
        <v>395</v>
      </c>
      <c r="B4" s="11" t="s">
        <v>389</v>
      </c>
      <c r="C4" s="3" t="s">
        <v>62</v>
      </c>
      <c r="D4" s="3" t="s">
        <v>30</v>
      </c>
      <c r="E4" s="3" t="str">
        <f t="shared" ref="E4:E67" si="0">IF(B4="","",IF(D4="Godfroy","Godfroy",(IF(LEFT(B4,1)="1","Hiwa","Direct"))))</f>
        <v>Hiwa</v>
      </c>
      <c r="F4" s="3" t="s">
        <v>46</v>
      </c>
      <c r="G4" s="3">
        <v>120</v>
      </c>
      <c r="H4" s="28">
        <f>G4*190</f>
        <v>22800</v>
      </c>
      <c r="I4" s="82"/>
      <c r="J4" s="116">
        <f t="shared" ref="J4:J17" si="1">+K4/H4</f>
        <v>1.3680000000000001</v>
      </c>
      <c r="K4" s="117">
        <v>31190.400000000001</v>
      </c>
      <c r="L4" s="17">
        <v>1030</v>
      </c>
      <c r="M4" s="17">
        <v>81</v>
      </c>
      <c r="N4" s="17"/>
      <c r="O4" s="17">
        <v>413.78</v>
      </c>
      <c r="P4" s="16"/>
      <c r="Q4" s="16">
        <f t="shared" ref="Q4:Q67" si="2">K4+SUM(L4:P4)</f>
        <v>32715.18</v>
      </c>
      <c r="R4" s="16">
        <f t="shared" ref="R4:R67" si="3">IF(J4="","",+Q4/H4)</f>
        <v>1.4348763157894737</v>
      </c>
      <c r="S4" s="16"/>
      <c r="T4" s="16"/>
      <c r="U4" s="19"/>
      <c r="V4" s="128"/>
      <c r="W4" s="8" t="str">
        <f t="shared" ref="W4:W67" si="4">IF(V4&gt;0,(((H4/G4)*V4)*R4),"")</f>
        <v/>
      </c>
      <c r="X4" s="77"/>
      <c r="Y4" s="76">
        <v>326317</v>
      </c>
      <c r="Z4" s="8">
        <v>44886</v>
      </c>
      <c r="AA4" s="78"/>
      <c r="AB4" s="78"/>
      <c r="AC4" s="132"/>
    </row>
    <row r="5" spans="1:29" ht="15.75">
      <c r="A5" s="26" t="s">
        <v>27</v>
      </c>
      <c r="B5" s="3" t="s">
        <v>28</v>
      </c>
      <c r="C5" s="3" t="s">
        <v>29</v>
      </c>
      <c r="D5" s="3" t="s">
        <v>30</v>
      </c>
      <c r="E5" s="3" t="str">
        <f t="shared" si="0"/>
        <v>Hiwa</v>
      </c>
      <c r="F5" s="3" t="s">
        <v>31</v>
      </c>
      <c r="G5" s="3">
        <v>80</v>
      </c>
      <c r="H5" s="28">
        <f>G5*215</f>
        <v>17200</v>
      </c>
      <c r="I5" s="82"/>
      <c r="J5" s="116">
        <f t="shared" si="1"/>
        <v>0.98703488372093018</v>
      </c>
      <c r="K5" s="117">
        <v>16977</v>
      </c>
      <c r="L5" s="17"/>
      <c r="M5" s="17">
        <v>57.56</v>
      </c>
      <c r="N5" s="17"/>
      <c r="O5" s="17">
        <v>1113.75</v>
      </c>
      <c r="P5" s="16">
        <f>(27*42.45)+42.45+42.45+42.45+42.45+42.45+2.93+2.93+2.93+2.93+2.93+2.93</f>
        <v>1375.9800000000007</v>
      </c>
      <c r="Q5" s="16">
        <f t="shared" si="2"/>
        <v>19524.29</v>
      </c>
      <c r="R5" s="16">
        <f t="shared" si="3"/>
        <v>1.1351331395348838</v>
      </c>
      <c r="S5" s="16"/>
      <c r="T5" s="16">
        <v>2</v>
      </c>
      <c r="U5" s="19">
        <v>2</v>
      </c>
      <c r="V5" s="128">
        <v>2</v>
      </c>
      <c r="W5" s="8">
        <f t="shared" si="4"/>
        <v>488.10725000000002</v>
      </c>
      <c r="X5" s="77"/>
      <c r="Y5" s="76">
        <v>335274</v>
      </c>
      <c r="Z5" s="8">
        <v>45086</v>
      </c>
      <c r="AA5" s="78"/>
      <c r="AB5" s="78"/>
      <c r="AC5" s="132"/>
    </row>
    <row r="6" spans="1:29" ht="15" customHeight="1">
      <c r="A6" s="26" t="s">
        <v>396</v>
      </c>
      <c r="B6" s="11" t="s">
        <v>28</v>
      </c>
      <c r="C6" s="3" t="s">
        <v>29</v>
      </c>
      <c r="D6" s="3" t="s">
        <v>30</v>
      </c>
      <c r="E6" s="3" t="str">
        <f t="shared" si="0"/>
        <v>Hiwa</v>
      </c>
      <c r="F6" s="3" t="s">
        <v>31</v>
      </c>
      <c r="G6" s="3">
        <v>37</v>
      </c>
      <c r="H6" s="28">
        <f>G6*215</f>
        <v>7955</v>
      </c>
      <c r="I6" s="82"/>
      <c r="J6" s="116">
        <f t="shared" si="1"/>
        <v>1.019644248900063</v>
      </c>
      <c r="K6" s="117">
        <v>8111.27</v>
      </c>
      <c r="L6" s="17"/>
      <c r="M6" s="17">
        <v>57.56</v>
      </c>
      <c r="N6" s="17">
        <v>116</v>
      </c>
      <c r="O6" s="17">
        <v>522</v>
      </c>
      <c r="P6" s="16">
        <f>(27*18.17)+18.17+18.17+18.17+18.17+18.17+18.17</f>
        <v>599.6099999999999</v>
      </c>
      <c r="Q6" s="16">
        <f t="shared" si="2"/>
        <v>9406.44</v>
      </c>
      <c r="R6" s="16">
        <f t="shared" si="3"/>
        <v>1.1824563167818982</v>
      </c>
      <c r="S6" s="16"/>
      <c r="T6" s="16"/>
      <c r="U6" s="19"/>
      <c r="V6" s="128"/>
      <c r="W6" s="8" t="str">
        <f t="shared" si="4"/>
        <v/>
      </c>
      <c r="X6" s="77"/>
      <c r="Y6" s="76">
        <v>336437</v>
      </c>
      <c r="Z6" s="8">
        <v>45090</v>
      </c>
      <c r="AA6" s="78"/>
      <c r="AB6" s="78"/>
      <c r="AC6" s="132"/>
    </row>
    <row r="7" spans="1:29" ht="15.75">
      <c r="A7" s="26" t="s">
        <v>397</v>
      </c>
      <c r="B7" s="3" t="s">
        <v>72</v>
      </c>
      <c r="C7" s="3" t="s">
        <v>385</v>
      </c>
      <c r="D7" s="13" t="s">
        <v>73</v>
      </c>
      <c r="E7" s="3" t="str">
        <f t="shared" si="0"/>
        <v>Hiwa</v>
      </c>
      <c r="F7" s="3" t="s">
        <v>46</v>
      </c>
      <c r="G7" s="3">
        <v>136</v>
      </c>
      <c r="H7" s="28">
        <f>G7*190</f>
        <v>25840</v>
      </c>
      <c r="I7" s="82"/>
      <c r="J7" s="116">
        <f t="shared" si="1"/>
        <v>1.4200000000000002</v>
      </c>
      <c r="K7" s="117">
        <v>36692.800000000003</v>
      </c>
      <c r="L7" s="17"/>
      <c r="M7" s="17">
        <f>57.56*2</f>
        <v>115.12</v>
      </c>
      <c r="N7" s="17"/>
      <c r="O7" s="18">
        <v>1494.21</v>
      </c>
      <c r="P7" s="16"/>
      <c r="Q7" s="16">
        <f t="shared" si="2"/>
        <v>38302.130000000005</v>
      </c>
      <c r="R7" s="16">
        <f t="shared" si="3"/>
        <v>1.4822805727554182</v>
      </c>
      <c r="S7" s="16"/>
      <c r="T7" s="16"/>
      <c r="U7" s="19"/>
      <c r="V7" s="128"/>
      <c r="W7" s="8" t="str">
        <f t="shared" si="4"/>
        <v/>
      </c>
      <c r="X7" s="29"/>
      <c r="Y7" s="42" t="s">
        <v>398</v>
      </c>
      <c r="Z7" s="8">
        <v>45103</v>
      </c>
      <c r="AA7" s="61"/>
      <c r="AB7" s="61"/>
      <c r="AC7" s="132"/>
    </row>
    <row r="8" spans="1:29" ht="15.75">
      <c r="A8" s="26" t="s">
        <v>399</v>
      </c>
      <c r="B8" s="3" t="s">
        <v>57</v>
      </c>
      <c r="C8" s="3" t="s">
        <v>400</v>
      </c>
      <c r="D8" s="13" t="s">
        <v>73</v>
      </c>
      <c r="E8" s="3" t="str">
        <f t="shared" si="0"/>
        <v>Hiwa</v>
      </c>
      <c r="F8" s="3" t="s">
        <v>59</v>
      </c>
      <c r="G8" s="3">
        <v>140</v>
      </c>
      <c r="H8" s="28">
        <v>26600</v>
      </c>
      <c r="I8" s="82"/>
      <c r="J8" s="116">
        <f t="shared" si="1"/>
        <v>0.59370375939849629</v>
      </c>
      <c r="K8" s="117">
        <v>15792.52</v>
      </c>
      <c r="L8" s="17">
        <v>3706.35</v>
      </c>
      <c r="M8" s="17">
        <v>2684</v>
      </c>
      <c r="N8" s="17">
        <v>65</v>
      </c>
      <c r="O8" s="18">
        <v>1284</v>
      </c>
      <c r="P8" s="16"/>
      <c r="Q8" s="16">
        <f t="shared" si="2"/>
        <v>23531.870000000003</v>
      </c>
      <c r="R8" s="16">
        <f t="shared" si="3"/>
        <v>0.88465676691729334</v>
      </c>
      <c r="S8" s="16"/>
      <c r="T8" s="16"/>
      <c r="U8" s="19"/>
      <c r="V8" s="128"/>
      <c r="W8" s="8" t="str">
        <f t="shared" si="4"/>
        <v/>
      </c>
      <c r="X8" s="79"/>
      <c r="Y8" s="43">
        <v>338274</v>
      </c>
      <c r="Z8" s="8">
        <v>45146</v>
      </c>
      <c r="AA8" s="61"/>
      <c r="AB8" s="61"/>
      <c r="AC8" s="132"/>
    </row>
    <row r="9" spans="1:29" ht="15.75">
      <c r="A9" s="29" t="s">
        <v>401</v>
      </c>
      <c r="B9" s="3" t="s">
        <v>72</v>
      </c>
      <c r="C9" s="9" t="s">
        <v>385</v>
      </c>
      <c r="D9" s="13" t="s">
        <v>73</v>
      </c>
      <c r="E9" s="3" t="str">
        <f t="shared" si="0"/>
        <v>Hiwa</v>
      </c>
      <c r="F9" s="3" t="s">
        <v>46</v>
      </c>
      <c r="G9" s="1">
        <v>136</v>
      </c>
      <c r="H9" s="27">
        <f>G9*190</f>
        <v>25840</v>
      </c>
      <c r="I9" s="82"/>
      <c r="J9" s="116">
        <f t="shared" si="1"/>
        <v>1.4200000000000002</v>
      </c>
      <c r="K9" s="117">
        <v>36692.800000000003</v>
      </c>
      <c r="L9" s="17"/>
      <c r="M9" s="17">
        <f>4*60.7 + 121.56</f>
        <v>364.36</v>
      </c>
      <c r="N9" s="17"/>
      <c r="O9" s="17">
        <v>1567.24</v>
      </c>
      <c r="P9" s="16"/>
      <c r="Q9" s="16">
        <f t="shared" si="2"/>
        <v>38624.400000000001</v>
      </c>
      <c r="R9" s="16">
        <f t="shared" si="3"/>
        <v>1.4947523219814243</v>
      </c>
      <c r="S9" s="16"/>
      <c r="T9" s="16"/>
      <c r="U9" s="19"/>
      <c r="V9" s="128"/>
      <c r="W9" s="8" t="str">
        <f t="shared" si="4"/>
        <v/>
      </c>
      <c r="X9" s="29"/>
      <c r="Y9" s="42">
        <v>338752</v>
      </c>
      <c r="Z9" s="8">
        <v>45152</v>
      </c>
      <c r="AA9" s="61"/>
      <c r="AB9" s="61"/>
      <c r="AC9" s="132"/>
    </row>
    <row r="10" spans="1:29" ht="15.75">
      <c r="A10" s="29" t="s">
        <v>32</v>
      </c>
      <c r="B10" s="3" t="s">
        <v>33</v>
      </c>
      <c r="C10" s="9" t="s">
        <v>34</v>
      </c>
      <c r="D10" s="13" t="s">
        <v>35</v>
      </c>
      <c r="E10" s="3" t="str">
        <f t="shared" si="0"/>
        <v>Godfroy</v>
      </c>
      <c r="F10" s="10" t="s">
        <v>128</v>
      </c>
      <c r="G10" s="1">
        <v>256</v>
      </c>
      <c r="H10" s="27">
        <v>2560</v>
      </c>
      <c r="I10" s="82"/>
      <c r="J10" s="116">
        <f t="shared" si="1"/>
        <v>1.78</v>
      </c>
      <c r="K10" s="117">
        <v>4556.8</v>
      </c>
      <c r="L10" s="17"/>
      <c r="M10" s="17"/>
      <c r="N10" s="17"/>
      <c r="O10" s="17">
        <v>49.65</v>
      </c>
      <c r="P10" s="16">
        <f>91.41+91.41+88.74+91.41+88.74+91.41+68.56+62.54+68.56+66.55+68.56+66.55+68.56+68.56+66.55+68.55+66.55+66.55</f>
        <v>1349.7599999999995</v>
      </c>
      <c r="Q10" s="16">
        <f t="shared" si="2"/>
        <v>5956.21</v>
      </c>
      <c r="R10" s="16">
        <f t="shared" si="3"/>
        <v>2.3266445312499999</v>
      </c>
      <c r="S10" s="16"/>
      <c r="T10" s="16"/>
      <c r="U10" s="19"/>
      <c r="V10" s="128"/>
      <c r="W10" s="8" t="str">
        <f t="shared" si="4"/>
        <v/>
      </c>
      <c r="X10" s="29"/>
      <c r="Y10" s="42"/>
      <c r="AA10" s="61"/>
      <c r="AB10" s="61"/>
      <c r="AC10" s="132"/>
    </row>
    <row r="11" spans="1:29" ht="16.5" customHeight="1">
      <c r="A11" s="29" t="s">
        <v>38</v>
      </c>
      <c r="B11" s="3" t="s">
        <v>39</v>
      </c>
      <c r="C11" s="9" t="s">
        <v>34</v>
      </c>
      <c r="D11" s="13" t="s">
        <v>35</v>
      </c>
      <c r="E11" s="3" t="str">
        <f t="shared" si="0"/>
        <v>Godfroy</v>
      </c>
      <c r="F11" s="10" t="s">
        <v>128</v>
      </c>
      <c r="G11" s="1">
        <v>128</v>
      </c>
      <c r="H11" s="27">
        <v>1280</v>
      </c>
      <c r="I11" s="82"/>
      <c r="J11" s="116">
        <f t="shared" si="1"/>
        <v>2.88</v>
      </c>
      <c r="K11" s="117">
        <v>3686.4</v>
      </c>
      <c r="L11" s="17"/>
      <c r="M11" s="17"/>
      <c r="N11" s="17"/>
      <c r="O11" s="17">
        <v>27</v>
      </c>
      <c r="P11" s="16">
        <f>47.18+23.59+22.92+23.59+22.92+23.59+23.59+21.59+23.59+22.92+23.59+22.92+23.59+23.59+22.92+23.59+22.92+22.92</f>
        <v>441.52</v>
      </c>
      <c r="Q11" s="16">
        <f t="shared" si="2"/>
        <v>4154.92</v>
      </c>
      <c r="R11" s="16">
        <f t="shared" si="3"/>
        <v>3.2460312500000001</v>
      </c>
      <c r="S11" s="16"/>
      <c r="T11" s="16"/>
      <c r="U11" s="19"/>
      <c r="V11" s="128"/>
      <c r="W11" s="8" t="str">
        <f t="shared" si="4"/>
        <v/>
      </c>
      <c r="X11" s="29"/>
      <c r="Y11" s="42"/>
      <c r="AA11" s="61"/>
      <c r="AB11" s="61"/>
      <c r="AC11" s="132"/>
    </row>
    <row r="12" spans="1:29" ht="15.75">
      <c r="A12" s="29" t="s">
        <v>40</v>
      </c>
      <c r="B12" s="3" t="s">
        <v>41</v>
      </c>
      <c r="C12" s="9" t="s">
        <v>34</v>
      </c>
      <c r="D12" s="13" t="s">
        <v>35</v>
      </c>
      <c r="E12" s="3" t="str">
        <f t="shared" si="0"/>
        <v>Godfroy</v>
      </c>
      <c r="F12" s="10" t="s">
        <v>128</v>
      </c>
      <c r="G12" s="1">
        <v>1664</v>
      </c>
      <c r="H12" s="27">
        <v>16640</v>
      </c>
      <c r="I12" s="82"/>
      <c r="J12" s="116">
        <f t="shared" si="1"/>
        <v>2.52</v>
      </c>
      <c r="K12" s="118">
        <v>41932.800000000003</v>
      </c>
      <c r="L12" s="17"/>
      <c r="M12" s="17"/>
      <c r="N12" s="17"/>
      <c r="O12" s="17">
        <v>327</v>
      </c>
      <c r="P12" s="16">
        <f>559.06+464.27+450.9+464.27+450.9+464.27+440.98+402.88+440.98+428.28+394.39+315.15+161.45+161.45+156.77+161.45+156.77+156.77</f>
        <v>6230.9900000000007</v>
      </c>
      <c r="Q12" s="16">
        <f t="shared" si="2"/>
        <v>48490.79</v>
      </c>
      <c r="R12" s="16">
        <f t="shared" si="3"/>
        <v>2.9141099759615385</v>
      </c>
      <c r="S12" s="16"/>
      <c r="T12" s="16"/>
      <c r="U12" s="19"/>
      <c r="V12" s="128"/>
      <c r="W12" s="8" t="str">
        <f t="shared" si="4"/>
        <v/>
      </c>
      <c r="X12" s="29"/>
      <c r="Y12" s="42"/>
      <c r="AA12" s="61"/>
      <c r="AB12" s="61"/>
      <c r="AC12" s="132"/>
    </row>
    <row r="13" spans="1:29" ht="18" customHeight="1">
      <c r="A13" s="29" t="s">
        <v>402</v>
      </c>
      <c r="B13" s="3" t="s">
        <v>403</v>
      </c>
      <c r="C13" s="3" t="s">
        <v>404</v>
      </c>
      <c r="D13" s="13" t="s">
        <v>116</v>
      </c>
      <c r="E13" s="3" t="str">
        <f t="shared" si="0"/>
        <v>Direct</v>
      </c>
      <c r="F13" s="10" t="s">
        <v>46</v>
      </c>
      <c r="G13" s="1">
        <v>80</v>
      </c>
      <c r="H13" s="27">
        <v>16000</v>
      </c>
      <c r="I13" s="82"/>
      <c r="J13" s="116">
        <f t="shared" si="1"/>
        <v>1.38</v>
      </c>
      <c r="K13" s="118">
        <v>22080</v>
      </c>
      <c r="L13" s="17"/>
      <c r="M13" s="17"/>
      <c r="N13" s="17"/>
      <c r="O13" s="17"/>
      <c r="P13" s="16"/>
      <c r="Q13" s="16">
        <f t="shared" si="2"/>
        <v>22080</v>
      </c>
      <c r="R13" s="16">
        <f t="shared" si="3"/>
        <v>1.38</v>
      </c>
      <c r="S13" s="16"/>
      <c r="T13" s="16"/>
      <c r="U13" s="19"/>
      <c r="V13" s="128"/>
      <c r="W13" s="8" t="str">
        <f t="shared" si="4"/>
        <v/>
      </c>
      <c r="X13" s="29"/>
      <c r="Y13" s="42"/>
      <c r="AA13" s="61"/>
      <c r="AB13" s="61"/>
      <c r="AC13" s="132"/>
    </row>
    <row r="14" spans="1:29" ht="15.75">
      <c r="A14" s="29" t="s">
        <v>42</v>
      </c>
      <c r="B14" s="3" t="s">
        <v>43</v>
      </c>
      <c r="C14" s="3" t="s">
        <v>374</v>
      </c>
      <c r="D14" s="13" t="s">
        <v>45</v>
      </c>
      <c r="E14" s="3" t="str">
        <f t="shared" si="0"/>
        <v>Hiwa</v>
      </c>
      <c r="F14" s="10" t="s">
        <v>46</v>
      </c>
      <c r="G14" s="1">
        <v>72</v>
      </c>
      <c r="H14" s="27">
        <v>1440</v>
      </c>
      <c r="I14" s="82"/>
      <c r="J14" s="116">
        <f t="shared" si="1"/>
        <v>2.2220138888888887</v>
      </c>
      <c r="K14" s="118">
        <v>3199.7</v>
      </c>
      <c r="L14" s="20"/>
      <c r="M14" s="17"/>
      <c r="N14" s="17"/>
      <c r="O14" s="17">
        <v>132.0289156626506</v>
      </c>
      <c r="P14" s="16">
        <f>(19*18.03)+18.03+18.03+18.03+18.03+18.03+18.03+18.03+18.03+18.03+18.03+18.03</f>
        <v>540.89999999999975</v>
      </c>
      <c r="Q14" s="16">
        <f t="shared" si="2"/>
        <v>3872.6289156626499</v>
      </c>
      <c r="R14" s="16">
        <f t="shared" si="3"/>
        <v>2.6893256358768403</v>
      </c>
      <c r="S14" s="16"/>
      <c r="T14" s="16">
        <v>72</v>
      </c>
      <c r="U14" s="19">
        <v>72</v>
      </c>
      <c r="V14" s="128">
        <v>72</v>
      </c>
      <c r="W14" s="8">
        <f t="shared" si="4"/>
        <v>3872.6289156626499</v>
      </c>
      <c r="X14" s="29"/>
      <c r="Y14" s="42">
        <v>342136</v>
      </c>
      <c r="Z14" s="8">
        <v>45209</v>
      </c>
      <c r="AA14" s="61"/>
      <c r="AB14" s="61"/>
      <c r="AC14" s="132"/>
    </row>
    <row r="15" spans="1:29" ht="15.75">
      <c r="A15" s="29" t="s">
        <v>47</v>
      </c>
      <c r="B15" s="3" t="s">
        <v>48</v>
      </c>
      <c r="C15" s="9" t="s">
        <v>374</v>
      </c>
      <c r="D15" s="9" t="s">
        <v>45</v>
      </c>
      <c r="E15" s="3" t="str">
        <f t="shared" si="0"/>
        <v>Hiwa</v>
      </c>
      <c r="F15" s="10" t="s">
        <v>46</v>
      </c>
      <c r="G15" s="1">
        <v>714</v>
      </c>
      <c r="H15" s="27">
        <v>14280</v>
      </c>
      <c r="I15" s="82"/>
      <c r="J15" s="116">
        <f t="shared" si="1"/>
        <v>2.0831407563025208</v>
      </c>
      <c r="K15" s="118">
        <v>29747.25</v>
      </c>
      <c r="L15" s="20"/>
      <c r="M15" s="21">
        <v>1181</v>
      </c>
      <c r="N15" s="17"/>
      <c r="O15" s="17">
        <v>1309.2867469879518</v>
      </c>
      <c r="P15" s="16">
        <f>(19*115.67)+39.34+115.67+10.26+115.67+10.26+115.67+10.26+115.67+10.26+115.67+10.26+115.67+10.26+115.67+10.26+115.67+10.26+115.67+10.26+115.67+10.26+115.67+10.26</f>
        <v>3622.3000000000034</v>
      </c>
      <c r="Q15" s="16">
        <f>K15+SUM(L15:P15)</f>
        <v>35859.836746987959</v>
      </c>
      <c r="R15" s="16">
        <f t="shared" si="3"/>
        <v>2.5111930495089609</v>
      </c>
      <c r="S15" s="16"/>
      <c r="T15" s="16">
        <f>462+41</f>
        <v>503</v>
      </c>
      <c r="U15" s="19">
        <f>462+41</f>
        <v>503</v>
      </c>
      <c r="V15" s="128">
        <f>462+41</f>
        <v>503</v>
      </c>
      <c r="W15" s="8">
        <f t="shared" si="4"/>
        <v>25262.602078060147</v>
      </c>
      <c r="X15" s="29"/>
      <c r="Y15" s="42" t="s">
        <v>405</v>
      </c>
      <c r="Z15" s="8">
        <v>45209</v>
      </c>
      <c r="AA15" s="61"/>
      <c r="AB15" s="61"/>
      <c r="AC15" s="132"/>
    </row>
    <row r="16" spans="1:29" ht="15.75">
      <c r="A16" s="29" t="s">
        <v>406</v>
      </c>
      <c r="B16" s="3" t="s">
        <v>86</v>
      </c>
      <c r="C16" s="9" t="s">
        <v>80</v>
      </c>
      <c r="D16" s="3" t="s">
        <v>87</v>
      </c>
      <c r="E16" s="3" t="str">
        <f t="shared" si="0"/>
        <v>Direct</v>
      </c>
      <c r="F16" s="10" t="s">
        <v>59</v>
      </c>
      <c r="G16" s="1">
        <v>112</v>
      </c>
      <c r="H16" s="27">
        <v>24080</v>
      </c>
      <c r="I16" s="82"/>
      <c r="J16" s="116">
        <f t="shared" si="1"/>
        <v>1.5691465946843854</v>
      </c>
      <c r="K16" s="118">
        <v>37785.050000000003</v>
      </c>
      <c r="L16" s="17"/>
      <c r="M16" s="17"/>
      <c r="N16" s="17"/>
      <c r="O16" s="17"/>
      <c r="P16" s="16"/>
      <c r="Q16" s="16">
        <f t="shared" si="2"/>
        <v>37785.050000000003</v>
      </c>
      <c r="R16" s="16">
        <f t="shared" si="3"/>
        <v>1.5691465946843854</v>
      </c>
      <c r="S16" s="16"/>
      <c r="T16" s="16"/>
      <c r="U16" s="19"/>
      <c r="V16" s="128"/>
      <c r="W16" s="8" t="str">
        <f t="shared" si="4"/>
        <v/>
      </c>
      <c r="X16" s="29"/>
      <c r="Y16" s="42"/>
      <c r="AA16" s="61"/>
      <c r="AB16" s="61"/>
      <c r="AC16" s="132"/>
    </row>
    <row r="17" spans="1:29" ht="15.75">
      <c r="A17" s="29" t="s">
        <v>407</v>
      </c>
      <c r="B17" s="3" t="s">
        <v>86</v>
      </c>
      <c r="C17" s="9" t="s">
        <v>80</v>
      </c>
      <c r="D17" s="3" t="s">
        <v>87</v>
      </c>
      <c r="E17" s="3" t="str">
        <f t="shared" si="0"/>
        <v>Direct</v>
      </c>
      <c r="F17" s="10" t="s">
        <v>59</v>
      </c>
      <c r="G17" s="1">
        <v>112</v>
      </c>
      <c r="H17" s="27">
        <v>24080</v>
      </c>
      <c r="I17" s="82"/>
      <c r="J17" s="116">
        <f t="shared" si="1"/>
        <v>1.5594667774086379</v>
      </c>
      <c r="K17" s="118">
        <v>37551.96</v>
      </c>
      <c r="L17" s="17"/>
      <c r="M17" s="17"/>
      <c r="N17" s="17"/>
      <c r="O17" s="17"/>
      <c r="P17" s="16"/>
      <c r="Q17" s="16">
        <f t="shared" si="2"/>
        <v>37551.96</v>
      </c>
      <c r="R17" s="16">
        <f t="shared" si="3"/>
        <v>1.5594667774086379</v>
      </c>
      <c r="S17" s="16"/>
      <c r="T17" s="16"/>
      <c r="U17" s="19"/>
      <c r="V17" s="128"/>
      <c r="W17" s="8" t="str">
        <f t="shared" si="4"/>
        <v/>
      </c>
      <c r="X17" s="29"/>
      <c r="Y17" s="42"/>
      <c r="AA17" s="61"/>
      <c r="AB17" s="61"/>
      <c r="AC17" s="132"/>
    </row>
    <row r="18" spans="1:29" ht="15.75">
      <c r="A18" s="29" t="s">
        <v>408</v>
      </c>
      <c r="B18" s="3" t="s">
        <v>103</v>
      </c>
      <c r="C18" s="9" t="s">
        <v>62</v>
      </c>
      <c r="D18" s="3" t="s">
        <v>177</v>
      </c>
      <c r="E18" s="3" t="str">
        <f t="shared" si="0"/>
        <v>Direct</v>
      </c>
      <c r="F18" s="10" t="s">
        <v>46</v>
      </c>
      <c r="G18" s="1">
        <v>112</v>
      </c>
      <c r="H18" s="27">
        <v>23520</v>
      </c>
      <c r="I18" s="82"/>
      <c r="J18" s="116">
        <v>1.1599999999999999</v>
      </c>
      <c r="K18" s="118">
        <v>27283.200000000001</v>
      </c>
      <c r="L18" s="22"/>
      <c r="M18" s="22"/>
      <c r="N18" s="22"/>
      <c r="O18" s="22"/>
      <c r="P18" s="23"/>
      <c r="Q18" s="23">
        <f t="shared" si="2"/>
        <v>27283.200000000001</v>
      </c>
      <c r="R18" s="16">
        <f t="shared" si="3"/>
        <v>1.1599999999999999</v>
      </c>
      <c r="S18" s="16"/>
      <c r="T18" s="16"/>
      <c r="U18" s="19"/>
      <c r="V18" s="128"/>
      <c r="W18" s="8" t="str">
        <f t="shared" si="4"/>
        <v/>
      </c>
      <c r="X18" s="29"/>
      <c r="Y18" s="42"/>
      <c r="AA18" s="61"/>
      <c r="AB18" s="61"/>
      <c r="AC18" s="132"/>
    </row>
    <row r="19" spans="1:29" ht="15.75">
      <c r="A19" s="29" t="s">
        <v>409</v>
      </c>
      <c r="B19" s="3" t="s">
        <v>93</v>
      </c>
      <c r="C19" s="9" t="s">
        <v>90</v>
      </c>
      <c r="D19" s="3" t="s">
        <v>94</v>
      </c>
      <c r="E19" s="3" t="str">
        <f t="shared" si="0"/>
        <v>Direct</v>
      </c>
      <c r="F19" s="10" t="s">
        <v>59</v>
      </c>
      <c r="G19" s="1">
        <v>128</v>
      </c>
      <c r="H19" s="27">
        <v>26240</v>
      </c>
      <c r="I19" s="82"/>
      <c r="J19" s="116">
        <f t="shared" ref="J19:J26" si="5">+K19/H19</f>
        <v>0.61057926829268294</v>
      </c>
      <c r="K19" s="118">
        <v>16021.6</v>
      </c>
      <c r="L19" s="22">
        <v>879.3</v>
      </c>
      <c r="M19" s="22"/>
      <c r="N19" s="22"/>
      <c r="O19" s="22"/>
      <c r="P19" s="23"/>
      <c r="Q19" s="23">
        <f t="shared" si="2"/>
        <v>16900.900000000001</v>
      </c>
      <c r="R19" s="16">
        <f t="shared" si="3"/>
        <v>0.64408917682926836</v>
      </c>
      <c r="S19" s="16"/>
      <c r="T19" s="16"/>
      <c r="U19" s="19"/>
      <c r="V19" s="128"/>
      <c r="W19" s="8" t="str">
        <f t="shared" si="4"/>
        <v/>
      </c>
      <c r="X19" s="29"/>
      <c r="Y19" s="42"/>
      <c r="AA19" s="61"/>
      <c r="AB19" s="61"/>
      <c r="AC19" s="132"/>
    </row>
    <row r="20" spans="1:29" ht="15.75">
      <c r="A20" s="29" t="s">
        <v>410</v>
      </c>
      <c r="B20" s="3" t="s">
        <v>143</v>
      </c>
      <c r="C20" s="3" t="s">
        <v>119</v>
      </c>
      <c r="D20" s="3" t="s">
        <v>411</v>
      </c>
      <c r="E20" s="3" t="str">
        <f t="shared" si="0"/>
        <v>Direct</v>
      </c>
      <c r="F20" s="3" t="s">
        <v>121</v>
      </c>
      <c r="G20" s="3">
        <v>110</v>
      </c>
      <c r="H20" s="28">
        <v>1100</v>
      </c>
      <c r="I20" s="82"/>
      <c r="J20" s="116">
        <f t="shared" si="5"/>
        <v>1.085</v>
      </c>
      <c r="K20" s="117">
        <v>1193.5</v>
      </c>
      <c r="L20" s="22"/>
      <c r="M20" s="22"/>
      <c r="N20" s="22"/>
      <c r="O20" s="22"/>
      <c r="P20" s="23"/>
      <c r="Q20" s="23">
        <f t="shared" si="2"/>
        <v>1193.5</v>
      </c>
      <c r="R20" s="23">
        <f t="shared" si="3"/>
        <v>1.085</v>
      </c>
      <c r="S20" s="23"/>
      <c r="T20" s="23"/>
      <c r="U20" s="19"/>
      <c r="V20" s="128"/>
      <c r="W20" s="8" t="str">
        <f t="shared" si="4"/>
        <v/>
      </c>
      <c r="X20" s="29"/>
      <c r="Y20" s="42"/>
      <c r="AA20" s="61"/>
      <c r="AB20" s="61"/>
      <c r="AC20" s="132"/>
    </row>
    <row r="21" spans="1:29" ht="15.75">
      <c r="A21" s="29" t="s">
        <v>412</v>
      </c>
      <c r="B21" s="3" t="s">
        <v>413</v>
      </c>
      <c r="C21" s="3" t="s">
        <v>52</v>
      </c>
      <c r="D21" s="3" t="s">
        <v>30</v>
      </c>
      <c r="E21" s="3" t="str">
        <f t="shared" si="0"/>
        <v>Hiwa</v>
      </c>
      <c r="F21" s="3" t="s">
        <v>46</v>
      </c>
      <c r="G21" s="3">
        <f>20*4</f>
        <v>80</v>
      </c>
      <c r="H21" s="28">
        <f>G21*220</f>
        <v>17600</v>
      </c>
      <c r="I21" s="82"/>
      <c r="J21" s="116">
        <f t="shared" si="5"/>
        <v>3.9736767045454551</v>
      </c>
      <c r="K21" s="117">
        <v>69936.710000000006</v>
      </c>
      <c r="L21" s="22"/>
      <c r="M21" s="22">
        <v>178.06</v>
      </c>
      <c r="N21" s="22"/>
      <c r="O21" s="22">
        <v>1079.05</v>
      </c>
      <c r="P21" s="23">
        <f>(18*46.64)+46.64+46.64+46.64+46.64+46.64+46.64+44.64</f>
        <v>1164.0000000000002</v>
      </c>
      <c r="Q21" s="23">
        <f t="shared" si="2"/>
        <v>72357.820000000007</v>
      </c>
      <c r="R21" s="23">
        <f t="shared" si="3"/>
        <v>4.1112397727272727</v>
      </c>
      <c r="S21" s="23"/>
      <c r="T21" s="23"/>
      <c r="U21" s="19"/>
      <c r="V21" s="128"/>
      <c r="W21" s="8" t="str">
        <f t="shared" si="4"/>
        <v/>
      </c>
      <c r="X21" s="29"/>
      <c r="Y21" s="42">
        <v>343172</v>
      </c>
      <c r="Z21" s="8">
        <v>45226</v>
      </c>
      <c r="AA21" s="61"/>
      <c r="AB21" s="61"/>
      <c r="AC21" s="132"/>
    </row>
    <row r="22" spans="1:29" ht="15.75">
      <c r="A22" s="29" t="s">
        <v>414</v>
      </c>
      <c r="B22" s="3" t="s">
        <v>319</v>
      </c>
      <c r="C22" s="3" t="s">
        <v>52</v>
      </c>
      <c r="D22" s="3" t="s">
        <v>30</v>
      </c>
      <c r="E22" s="3" t="str">
        <f t="shared" si="0"/>
        <v>Hiwa</v>
      </c>
      <c r="F22" s="3" t="s">
        <v>46</v>
      </c>
      <c r="G22" s="3">
        <f>2*50</f>
        <v>100</v>
      </c>
      <c r="H22" s="28">
        <f>G22*20</f>
        <v>2000</v>
      </c>
      <c r="I22" s="82"/>
      <c r="J22" s="116">
        <f t="shared" si="5"/>
        <v>4.1136949999999999</v>
      </c>
      <c r="K22" s="117">
        <v>8227.39</v>
      </c>
      <c r="L22" s="22"/>
      <c r="M22" s="22">
        <v>89.03</v>
      </c>
      <c r="N22" s="22"/>
      <c r="O22" s="22">
        <v>122.62</v>
      </c>
      <c r="P22" s="23"/>
      <c r="Q22" s="23">
        <f t="shared" si="2"/>
        <v>8439.0399999999991</v>
      </c>
      <c r="R22" s="23">
        <f t="shared" si="3"/>
        <v>4.2195199999999993</v>
      </c>
      <c r="S22" s="23"/>
      <c r="T22" s="23"/>
      <c r="U22" s="19"/>
      <c r="V22" s="128"/>
      <c r="W22" s="8" t="str">
        <f t="shared" si="4"/>
        <v/>
      </c>
      <c r="X22" s="29"/>
      <c r="Y22" s="42">
        <v>343173</v>
      </c>
      <c r="Z22" s="8">
        <v>45592</v>
      </c>
      <c r="AA22" s="61"/>
      <c r="AB22" s="61"/>
      <c r="AC22" s="132"/>
    </row>
    <row r="23" spans="1:29" ht="15.75">
      <c r="A23" s="29" t="s">
        <v>415</v>
      </c>
      <c r="B23" s="3" t="s">
        <v>322</v>
      </c>
      <c r="C23" s="3" t="s">
        <v>52</v>
      </c>
      <c r="D23" s="13" t="s">
        <v>30</v>
      </c>
      <c r="E23" s="3" t="str">
        <f t="shared" si="0"/>
        <v>Hiwa</v>
      </c>
      <c r="F23" s="3" t="s">
        <v>46</v>
      </c>
      <c r="G23" s="3">
        <v>250</v>
      </c>
      <c r="H23" s="28">
        <f>G23*20</f>
        <v>5000</v>
      </c>
      <c r="I23" s="82"/>
      <c r="J23" s="116">
        <f t="shared" si="5"/>
        <v>3.3669379999999998</v>
      </c>
      <c r="K23" s="117">
        <v>16834.689999999999</v>
      </c>
      <c r="L23" s="22"/>
      <c r="M23" s="22">
        <v>60.78</v>
      </c>
      <c r="N23" s="22"/>
      <c r="O23" s="22">
        <v>306.55</v>
      </c>
      <c r="P23" s="23">
        <f>(18*35.85)+23.9+23.9+23.9+23.9+23.9+23.9+23.9</f>
        <v>812.59999999999991</v>
      </c>
      <c r="Q23" s="23">
        <f t="shared" si="2"/>
        <v>18014.62</v>
      </c>
      <c r="R23" s="23">
        <f t="shared" si="3"/>
        <v>3.6029239999999998</v>
      </c>
      <c r="S23" s="23"/>
      <c r="T23" s="23"/>
      <c r="U23" s="19"/>
      <c r="V23" s="128"/>
      <c r="W23" s="8" t="str">
        <f t="shared" si="4"/>
        <v/>
      </c>
      <c r="X23" s="29"/>
      <c r="Y23" s="28">
        <v>343174</v>
      </c>
      <c r="Z23" s="8">
        <v>45226</v>
      </c>
      <c r="AA23" s="61"/>
      <c r="AB23" s="61"/>
      <c r="AC23" s="132"/>
    </row>
    <row r="24" spans="1:29" ht="15.75">
      <c r="A24" s="73" t="s">
        <v>416</v>
      </c>
      <c r="B24" s="55" t="s">
        <v>417</v>
      </c>
      <c r="C24" s="55" t="s">
        <v>34</v>
      </c>
      <c r="D24" s="55" t="s">
        <v>418</v>
      </c>
      <c r="E24" s="55" t="str">
        <f t="shared" si="0"/>
        <v>Direct</v>
      </c>
      <c r="F24" s="55" t="s">
        <v>121</v>
      </c>
      <c r="G24" s="1">
        <v>10</v>
      </c>
      <c r="H24" s="27">
        <v>200</v>
      </c>
      <c r="I24" s="82"/>
      <c r="J24" s="116">
        <f t="shared" si="5"/>
        <v>12.17</v>
      </c>
      <c r="K24" s="117">
        <v>2434</v>
      </c>
      <c r="L24" s="22"/>
      <c r="M24" s="22"/>
      <c r="N24" s="22"/>
      <c r="O24" s="22"/>
      <c r="P24" s="23"/>
      <c r="Q24" s="23">
        <f t="shared" si="2"/>
        <v>2434</v>
      </c>
      <c r="R24" s="23">
        <f t="shared" si="3"/>
        <v>12.17</v>
      </c>
      <c r="S24" s="23"/>
      <c r="T24" s="23"/>
      <c r="U24" s="19"/>
      <c r="V24" s="128"/>
      <c r="W24" s="8" t="str">
        <f t="shared" si="4"/>
        <v/>
      </c>
      <c r="X24" s="80"/>
      <c r="Y24" s="72"/>
      <c r="AA24" s="61"/>
      <c r="AB24" s="61"/>
      <c r="AC24" s="132"/>
    </row>
    <row r="25" spans="1:29" ht="15.75">
      <c r="A25" s="29" t="s">
        <v>419</v>
      </c>
      <c r="B25" s="3" t="s">
        <v>420</v>
      </c>
      <c r="C25" s="9" t="s">
        <v>133</v>
      </c>
      <c r="D25" s="3" t="s">
        <v>421</v>
      </c>
      <c r="E25" s="3" t="str">
        <f t="shared" si="0"/>
        <v>Direct</v>
      </c>
      <c r="F25" s="10" t="s">
        <v>36</v>
      </c>
      <c r="G25" s="1">
        <v>4</v>
      </c>
      <c r="H25" s="27">
        <v>800</v>
      </c>
      <c r="I25" s="82"/>
      <c r="J25" s="116">
        <f t="shared" si="5"/>
        <v>1.19</v>
      </c>
      <c r="K25" s="117">
        <v>952</v>
      </c>
      <c r="L25" s="22"/>
      <c r="M25" s="22"/>
      <c r="N25" s="22"/>
      <c r="O25" s="22"/>
      <c r="P25" s="23"/>
      <c r="Q25" s="23">
        <f t="shared" si="2"/>
        <v>952</v>
      </c>
      <c r="R25" s="23">
        <f t="shared" si="3"/>
        <v>1.19</v>
      </c>
      <c r="S25" s="23"/>
      <c r="T25" s="23"/>
      <c r="U25" s="19"/>
      <c r="V25" s="128"/>
      <c r="W25" s="8" t="str">
        <f t="shared" si="4"/>
        <v/>
      </c>
      <c r="X25" s="29"/>
      <c r="Y25" s="28">
        <v>347061</v>
      </c>
      <c r="Z25" s="8">
        <v>45296</v>
      </c>
      <c r="AA25" s="2"/>
      <c r="AB25" s="2"/>
      <c r="AC25" s="132"/>
    </row>
    <row r="26" spans="1:29" ht="15.75">
      <c r="A26" s="29" t="s">
        <v>422</v>
      </c>
      <c r="B26" s="3" t="s">
        <v>57</v>
      </c>
      <c r="C26" s="3" t="s">
        <v>400</v>
      </c>
      <c r="D26" s="3" t="s">
        <v>73</v>
      </c>
      <c r="E26" s="3" t="str">
        <f t="shared" si="0"/>
        <v>Hiwa</v>
      </c>
      <c r="F26" s="3" t="s">
        <v>59</v>
      </c>
      <c r="G26" s="3">
        <v>140</v>
      </c>
      <c r="H26" s="28">
        <v>26600</v>
      </c>
      <c r="I26" s="82"/>
      <c r="J26" s="116">
        <f t="shared" si="5"/>
        <v>0.5952924812030076</v>
      </c>
      <c r="K26" s="117">
        <v>15834.78</v>
      </c>
      <c r="L26" s="22">
        <v>3205</v>
      </c>
      <c r="M26" s="22">
        <v>2960.98</v>
      </c>
      <c r="N26" s="22">
        <v>245</v>
      </c>
      <c r="O26" s="22">
        <v>1289.69</v>
      </c>
      <c r="P26" s="23"/>
      <c r="Q26" s="23">
        <f t="shared" si="2"/>
        <v>23535.45</v>
      </c>
      <c r="R26" s="23">
        <f t="shared" si="3"/>
        <v>0.88479135338345871</v>
      </c>
      <c r="S26" s="23"/>
      <c r="T26" s="23"/>
      <c r="U26" s="19"/>
      <c r="V26" s="128"/>
      <c r="W26" s="8" t="str">
        <f t="shared" si="4"/>
        <v/>
      </c>
      <c r="X26" s="29"/>
      <c r="Y26" s="42"/>
      <c r="AA26" s="2"/>
      <c r="AB26" s="2"/>
      <c r="AC26" s="132"/>
    </row>
    <row r="27" spans="1:29" ht="15.75">
      <c r="A27" s="29" t="s">
        <v>423</v>
      </c>
      <c r="B27" s="3" t="s">
        <v>424</v>
      </c>
      <c r="C27" s="3" t="s">
        <v>119</v>
      </c>
      <c r="D27" s="3" t="s">
        <v>425</v>
      </c>
      <c r="E27" s="3" t="str">
        <f t="shared" si="0"/>
        <v>Direct</v>
      </c>
      <c r="F27" s="10"/>
      <c r="G27" s="3"/>
      <c r="H27" s="28"/>
      <c r="I27" s="82"/>
      <c r="J27" s="116"/>
      <c r="K27" s="117"/>
      <c r="L27" s="22"/>
      <c r="M27" s="22"/>
      <c r="N27" s="22"/>
      <c r="O27" s="22"/>
      <c r="P27" s="23"/>
      <c r="Q27" s="23"/>
      <c r="R27" s="23" t="str">
        <f t="shared" si="3"/>
        <v/>
      </c>
      <c r="S27" s="23"/>
      <c r="T27" s="23"/>
      <c r="U27" s="19"/>
      <c r="V27" s="128"/>
      <c r="W27" s="8" t="str">
        <f t="shared" si="4"/>
        <v/>
      </c>
      <c r="X27" s="29"/>
      <c r="Y27" s="28"/>
      <c r="AA27" s="2"/>
      <c r="AB27" s="2"/>
      <c r="AC27" s="132"/>
    </row>
    <row r="28" spans="1:29" ht="15.75">
      <c r="A28" s="29" t="s">
        <v>426</v>
      </c>
      <c r="B28" s="3" t="s">
        <v>186</v>
      </c>
      <c r="C28" s="9" t="s">
        <v>29</v>
      </c>
      <c r="D28" s="3" t="s">
        <v>70</v>
      </c>
      <c r="E28" s="3" t="str">
        <f t="shared" si="0"/>
        <v>Direct</v>
      </c>
      <c r="F28" s="10" t="s">
        <v>46</v>
      </c>
      <c r="G28" s="1">
        <v>80</v>
      </c>
      <c r="H28" s="27">
        <f>G28*215</f>
        <v>17200</v>
      </c>
      <c r="I28" s="82"/>
      <c r="J28" s="116">
        <f>+K28/H28</f>
        <v>0.99597965116279064</v>
      </c>
      <c r="K28" s="117">
        <v>17130.849999999999</v>
      </c>
      <c r="L28" s="22"/>
      <c r="M28" s="22"/>
      <c r="N28" s="22"/>
      <c r="O28" s="22"/>
      <c r="P28" s="23"/>
      <c r="Q28" s="23">
        <f t="shared" si="2"/>
        <v>17130.849999999999</v>
      </c>
      <c r="R28" s="23">
        <f t="shared" si="3"/>
        <v>0.99597965116279064</v>
      </c>
      <c r="S28" s="23"/>
      <c r="T28" s="23"/>
      <c r="U28" s="19"/>
      <c r="V28" s="128"/>
      <c r="W28" s="8" t="str">
        <f t="shared" si="4"/>
        <v/>
      </c>
      <c r="X28" s="29"/>
      <c r="Y28" s="28"/>
      <c r="AA28" s="2"/>
      <c r="AB28" s="2"/>
      <c r="AC28" s="132"/>
    </row>
    <row r="29" spans="1:29" ht="15.75">
      <c r="A29" s="29" t="s">
        <v>427</v>
      </c>
      <c r="B29" s="3" t="s">
        <v>89</v>
      </c>
      <c r="C29" s="3" t="s">
        <v>90</v>
      </c>
      <c r="D29" s="3" t="s">
        <v>30</v>
      </c>
      <c r="E29" s="3" t="str">
        <f t="shared" si="0"/>
        <v>Hiwa</v>
      </c>
      <c r="F29" s="10" t="s">
        <v>59</v>
      </c>
      <c r="G29" s="3">
        <f>3*128</f>
        <v>384</v>
      </c>
      <c r="H29" s="28">
        <f>+G29*205</f>
        <v>78720</v>
      </c>
      <c r="I29" s="82"/>
      <c r="J29" s="116">
        <f>+K29/H29</f>
        <v>0.55777629573170728</v>
      </c>
      <c r="K29" s="117">
        <v>43908.15</v>
      </c>
      <c r="L29" s="22">
        <v>3020</v>
      </c>
      <c r="M29" s="22"/>
      <c r="N29" s="22">
        <f>300+450</f>
        <v>750</v>
      </c>
      <c r="O29" s="22">
        <v>3638.5</v>
      </c>
      <c r="P29" s="23"/>
      <c r="Q29" s="23">
        <f t="shared" si="2"/>
        <v>51316.65</v>
      </c>
      <c r="R29" s="23">
        <f t="shared" si="3"/>
        <v>0.65188833841463412</v>
      </c>
      <c r="S29" s="23"/>
      <c r="T29" s="23"/>
      <c r="U29" s="19"/>
      <c r="V29" s="128"/>
      <c r="W29" s="8" t="str">
        <f t="shared" si="4"/>
        <v/>
      </c>
      <c r="X29" s="29"/>
      <c r="Y29" s="28" t="s">
        <v>428</v>
      </c>
      <c r="Z29" s="8">
        <v>45294</v>
      </c>
      <c r="AA29" s="2"/>
      <c r="AB29" s="2"/>
      <c r="AC29" s="132"/>
    </row>
    <row r="30" spans="1:29" ht="15.75">
      <c r="A30" s="29"/>
      <c r="B30" s="3" t="s">
        <v>89</v>
      </c>
      <c r="C30" s="3" t="s">
        <v>90</v>
      </c>
      <c r="D30" s="3" t="s">
        <v>30</v>
      </c>
      <c r="E30" s="3" t="str">
        <f t="shared" si="0"/>
        <v>Hiwa</v>
      </c>
      <c r="F30" s="10" t="s">
        <v>59</v>
      </c>
      <c r="G30" s="3">
        <v>128</v>
      </c>
      <c r="H30" s="28">
        <f>+G30*205</f>
        <v>26240</v>
      </c>
      <c r="I30" s="82"/>
      <c r="J30" s="116">
        <v>0.65200000000000002</v>
      </c>
      <c r="K30" s="117">
        <f>+H30*J30</f>
        <v>17108.48</v>
      </c>
      <c r="L30" s="22"/>
      <c r="M30" s="22">
        <v>1756.6</v>
      </c>
      <c r="N30" s="22"/>
      <c r="O30" s="22"/>
      <c r="P30" s="23"/>
      <c r="Q30" s="23">
        <f t="shared" si="2"/>
        <v>18865.079999999998</v>
      </c>
      <c r="R30" s="23">
        <f t="shared" si="3"/>
        <v>0.71894359756097559</v>
      </c>
      <c r="S30" s="23"/>
      <c r="T30" s="23"/>
      <c r="U30" s="19"/>
      <c r="V30" s="128"/>
      <c r="W30" s="8" t="str">
        <f t="shared" si="4"/>
        <v/>
      </c>
      <c r="X30" s="79"/>
      <c r="Y30" s="42"/>
      <c r="AA30" s="2"/>
      <c r="AB30" s="2"/>
      <c r="AC30" s="132"/>
    </row>
    <row r="31" spans="1:29" ht="15.75">
      <c r="A31" s="29" t="s">
        <v>429</v>
      </c>
      <c r="B31" s="3" t="s">
        <v>430</v>
      </c>
      <c r="C31" s="9" t="s">
        <v>374</v>
      </c>
      <c r="D31" s="3" t="s">
        <v>247</v>
      </c>
      <c r="E31" s="3" t="str">
        <f t="shared" si="0"/>
        <v>Direct</v>
      </c>
      <c r="F31" s="10" t="s">
        <v>46</v>
      </c>
      <c r="G31" s="1">
        <v>80</v>
      </c>
      <c r="H31" s="27">
        <v>17600</v>
      </c>
      <c r="I31" s="82"/>
      <c r="J31" s="116">
        <f>+K31/H31</f>
        <v>1.5698221590909089</v>
      </c>
      <c r="K31" s="117">
        <v>27628.87</v>
      </c>
      <c r="L31" s="22"/>
      <c r="M31" s="22"/>
      <c r="N31" s="22"/>
      <c r="O31" s="22"/>
      <c r="P31" s="23"/>
      <c r="Q31" s="23">
        <f t="shared" si="2"/>
        <v>27628.87</v>
      </c>
      <c r="R31" s="23">
        <f t="shared" si="3"/>
        <v>1.5698221590909089</v>
      </c>
      <c r="S31" s="23"/>
      <c r="T31" s="23"/>
      <c r="U31" s="19"/>
      <c r="V31" s="128"/>
      <c r="W31" s="8" t="str">
        <f t="shared" si="4"/>
        <v/>
      </c>
      <c r="X31" s="29"/>
      <c r="Y31" s="42"/>
      <c r="AA31" s="2"/>
      <c r="AB31" s="2"/>
      <c r="AC31" s="132"/>
    </row>
    <row r="32" spans="1:29" ht="15.75">
      <c r="A32" s="29" t="s">
        <v>431</v>
      </c>
      <c r="B32" s="3" t="s">
        <v>143</v>
      </c>
      <c r="C32" s="3" t="s">
        <v>119</v>
      </c>
      <c r="D32" s="3" t="s">
        <v>411</v>
      </c>
      <c r="E32" s="3" t="str">
        <f t="shared" si="0"/>
        <v>Direct</v>
      </c>
      <c r="F32" s="3" t="s">
        <v>121</v>
      </c>
      <c r="G32" s="3">
        <v>110</v>
      </c>
      <c r="H32" s="28">
        <v>1100</v>
      </c>
      <c r="I32" s="82"/>
      <c r="J32" s="116">
        <f>+K32/H32</f>
        <v>1.085</v>
      </c>
      <c r="K32" s="117">
        <v>1193.5</v>
      </c>
      <c r="L32" s="22"/>
      <c r="M32" s="22"/>
      <c r="N32" s="22"/>
      <c r="O32" s="22"/>
      <c r="P32" s="23"/>
      <c r="Q32" s="23">
        <f t="shared" si="2"/>
        <v>1193.5</v>
      </c>
      <c r="R32" s="23">
        <f t="shared" si="3"/>
        <v>1.085</v>
      </c>
      <c r="S32" s="23"/>
      <c r="T32" s="23"/>
      <c r="U32" s="19"/>
      <c r="V32" s="128"/>
      <c r="W32" s="8" t="str">
        <f t="shared" si="4"/>
        <v/>
      </c>
      <c r="X32" s="79"/>
      <c r="Y32" s="42"/>
      <c r="AA32" s="2"/>
      <c r="AB32" s="2"/>
      <c r="AC32" s="132"/>
    </row>
    <row r="33" spans="1:29" ht="15.75">
      <c r="A33" s="29" t="s">
        <v>432</v>
      </c>
      <c r="B33" s="3" t="s">
        <v>89</v>
      </c>
      <c r="C33" s="3" t="s">
        <v>90</v>
      </c>
      <c r="D33" s="3" t="s">
        <v>30</v>
      </c>
      <c r="E33" s="3" t="str">
        <f t="shared" si="0"/>
        <v>Hiwa</v>
      </c>
      <c r="F33" s="3" t="s">
        <v>59</v>
      </c>
      <c r="G33" s="3">
        <v>128</v>
      </c>
      <c r="H33" s="28">
        <v>26240</v>
      </c>
      <c r="I33" s="82"/>
      <c r="J33" s="116">
        <f>+K33/H33</f>
        <v>0.53083841463414627</v>
      </c>
      <c r="K33" s="117">
        <f>14228.65-299.45</f>
        <v>13929.199999999999</v>
      </c>
      <c r="L33" s="22">
        <v>977.15</v>
      </c>
      <c r="M33" s="22">
        <v>1750.12</v>
      </c>
      <c r="N33" s="22">
        <v>150</v>
      </c>
      <c r="O33" s="22">
        <v>1239.5</v>
      </c>
      <c r="P33" s="23"/>
      <c r="Q33" s="23">
        <f t="shared" si="2"/>
        <v>18045.97</v>
      </c>
      <c r="R33" s="23">
        <f t="shared" si="3"/>
        <v>0.68772751524390252</v>
      </c>
      <c r="S33" s="23"/>
      <c r="T33" s="23"/>
      <c r="U33" s="19"/>
      <c r="V33" s="128"/>
      <c r="W33" s="8" t="str">
        <f t="shared" si="4"/>
        <v/>
      </c>
      <c r="X33" s="29"/>
      <c r="Y33" s="42">
        <v>347473</v>
      </c>
      <c r="Z33" s="8">
        <v>45306</v>
      </c>
      <c r="AA33" s="2"/>
      <c r="AB33" s="2"/>
      <c r="AC33" s="132"/>
    </row>
    <row r="34" spans="1:29" ht="15.75">
      <c r="A34" s="29" t="s">
        <v>433</v>
      </c>
      <c r="B34" s="3" t="s">
        <v>103</v>
      </c>
      <c r="C34" s="3" t="s">
        <v>62</v>
      </c>
      <c r="D34" s="3" t="s">
        <v>104</v>
      </c>
      <c r="E34" s="3" t="str">
        <f t="shared" si="0"/>
        <v>Direct</v>
      </c>
      <c r="F34" s="3" t="s">
        <v>31</v>
      </c>
      <c r="G34" s="3">
        <f>6*112</f>
        <v>672</v>
      </c>
      <c r="H34" s="28">
        <f>G34*210</f>
        <v>141120</v>
      </c>
      <c r="I34" s="82"/>
      <c r="J34" s="116">
        <f>+K34/H34</f>
        <v>1.2550000000000001</v>
      </c>
      <c r="K34" s="117">
        <v>177105.6</v>
      </c>
      <c r="L34" s="22"/>
      <c r="M34" s="22">
        <v>282.02999999999997</v>
      </c>
      <c r="N34" s="22"/>
      <c r="O34" s="22"/>
      <c r="P34" s="23"/>
      <c r="Q34" s="23">
        <f t="shared" si="2"/>
        <v>177387.63</v>
      </c>
      <c r="R34" s="23">
        <f t="shared" si="3"/>
        <v>1.256998511904762</v>
      </c>
      <c r="S34" s="23"/>
      <c r="T34" s="23"/>
      <c r="U34" s="19"/>
      <c r="V34" s="128"/>
      <c r="W34" s="8" t="str">
        <f t="shared" si="4"/>
        <v/>
      </c>
      <c r="X34" s="79"/>
      <c r="Y34" s="42"/>
      <c r="AA34" s="2"/>
      <c r="AB34" s="2"/>
      <c r="AC34" s="132"/>
    </row>
    <row r="35" spans="1:29" ht="15.75">
      <c r="A35" s="29" t="s">
        <v>434</v>
      </c>
      <c r="B35" s="3" t="s">
        <v>435</v>
      </c>
      <c r="C35" s="3" t="s">
        <v>62</v>
      </c>
      <c r="D35" s="3" t="s">
        <v>104</v>
      </c>
      <c r="E35" s="3" t="str">
        <f t="shared" si="0"/>
        <v>Direct</v>
      </c>
      <c r="F35" s="3" t="s">
        <v>31</v>
      </c>
      <c r="G35" s="3">
        <v>88</v>
      </c>
      <c r="H35" s="28">
        <v>23320</v>
      </c>
      <c r="I35" s="82"/>
      <c r="J35" s="116">
        <f>+K35/H35</f>
        <v>2.62</v>
      </c>
      <c r="K35" s="117">
        <v>61098.400000000001</v>
      </c>
      <c r="L35" s="22"/>
      <c r="M35" s="22"/>
      <c r="N35" s="22"/>
      <c r="O35" s="22"/>
      <c r="P35" s="23"/>
      <c r="Q35" s="23">
        <f t="shared" si="2"/>
        <v>61098.400000000001</v>
      </c>
      <c r="R35" s="23">
        <f t="shared" si="3"/>
        <v>2.62</v>
      </c>
      <c r="S35" s="23"/>
      <c r="T35" s="23"/>
      <c r="U35" s="19"/>
      <c r="V35" s="128"/>
      <c r="W35" s="8" t="str">
        <f t="shared" si="4"/>
        <v/>
      </c>
      <c r="X35" s="79"/>
      <c r="Y35" s="42"/>
      <c r="AA35" s="2"/>
      <c r="AB35" s="2"/>
      <c r="AC35" s="132"/>
    </row>
    <row r="36" spans="1:29" ht="15.75">
      <c r="A36" s="54" t="s">
        <v>436</v>
      </c>
      <c r="B36" s="3" t="s">
        <v>437</v>
      </c>
      <c r="C36" s="9"/>
      <c r="D36" s="3"/>
      <c r="E36" s="3" t="str">
        <f t="shared" si="0"/>
        <v>Direct</v>
      </c>
      <c r="F36" s="10"/>
      <c r="G36" s="1"/>
      <c r="H36" s="27"/>
      <c r="I36" s="82"/>
      <c r="J36" s="116"/>
      <c r="K36" s="117"/>
      <c r="L36" s="58"/>
      <c r="M36" s="58"/>
      <c r="N36" s="58"/>
      <c r="O36" s="58"/>
      <c r="P36" s="59"/>
      <c r="Q36" s="59"/>
      <c r="R36" s="59" t="str">
        <f t="shared" si="3"/>
        <v/>
      </c>
      <c r="S36" s="59"/>
      <c r="T36" s="59"/>
      <c r="U36" s="19"/>
      <c r="V36" s="128"/>
      <c r="W36" s="8" t="str">
        <f t="shared" si="4"/>
        <v/>
      </c>
      <c r="X36" s="80"/>
      <c r="Y36" s="72"/>
      <c r="AA36" s="2"/>
      <c r="AB36" s="2"/>
      <c r="AC36" s="132"/>
    </row>
    <row r="37" spans="1:29" ht="15.75">
      <c r="A37" s="29" t="s">
        <v>438</v>
      </c>
      <c r="B37" s="3" t="s">
        <v>143</v>
      </c>
      <c r="C37" s="55" t="s">
        <v>119</v>
      </c>
      <c r="D37" s="55" t="s">
        <v>411</v>
      </c>
      <c r="E37" s="55" t="str">
        <f t="shared" si="0"/>
        <v>Direct</v>
      </c>
      <c r="F37" s="55" t="s">
        <v>121</v>
      </c>
      <c r="G37" s="55">
        <v>110</v>
      </c>
      <c r="H37" s="56">
        <v>1100</v>
      </c>
      <c r="I37" s="82"/>
      <c r="J37" s="116">
        <f>+K37/H37</f>
        <v>1.085</v>
      </c>
      <c r="K37" s="119">
        <v>1193.5</v>
      </c>
      <c r="L37" s="58"/>
      <c r="M37" s="58"/>
      <c r="N37" s="58"/>
      <c r="O37" s="58"/>
      <c r="P37" s="59"/>
      <c r="Q37" s="59">
        <f t="shared" si="2"/>
        <v>1193.5</v>
      </c>
      <c r="R37" s="59">
        <f t="shared" si="3"/>
        <v>1.085</v>
      </c>
      <c r="S37" s="59"/>
      <c r="T37" s="59"/>
      <c r="U37" s="19"/>
      <c r="V37" s="128"/>
      <c r="W37" s="8" t="str">
        <f t="shared" si="4"/>
        <v/>
      </c>
      <c r="X37" s="54"/>
      <c r="Y37" s="56"/>
      <c r="AA37" s="2"/>
      <c r="AB37" s="2"/>
      <c r="AC37" s="132"/>
    </row>
    <row r="38" spans="1:29" ht="15.75">
      <c r="A38" s="54" t="s">
        <v>439</v>
      </c>
      <c r="B38" s="3" t="s">
        <v>89</v>
      </c>
      <c r="C38" s="9" t="s">
        <v>90</v>
      </c>
      <c r="D38" s="13" t="s">
        <v>30</v>
      </c>
      <c r="E38" s="3" t="str">
        <f t="shared" si="0"/>
        <v>Hiwa</v>
      </c>
      <c r="F38" s="10" t="s">
        <v>59</v>
      </c>
      <c r="G38" s="1">
        <v>128</v>
      </c>
      <c r="H38" s="27">
        <v>26240</v>
      </c>
      <c r="I38" s="82"/>
      <c r="J38" s="116">
        <f>+K38/H38</f>
        <v>0.54763719512195119</v>
      </c>
      <c r="K38" s="119">
        <v>14370</v>
      </c>
      <c r="L38" s="58">
        <v>977</v>
      </c>
      <c r="M38" s="58">
        <v>1750</v>
      </c>
      <c r="N38" s="58">
        <f>150+150</f>
        <v>300</v>
      </c>
      <c r="O38" s="58">
        <v>1239.5</v>
      </c>
      <c r="P38" s="59"/>
      <c r="Q38" s="59">
        <f t="shared" si="2"/>
        <v>18636.5</v>
      </c>
      <c r="R38" s="59">
        <f t="shared" si="3"/>
        <v>0.7102324695121951</v>
      </c>
      <c r="S38" s="59"/>
      <c r="T38" s="59"/>
      <c r="U38" s="19"/>
      <c r="V38" s="128"/>
      <c r="W38" s="8" t="str">
        <f t="shared" si="4"/>
        <v/>
      </c>
      <c r="X38" s="54"/>
      <c r="Y38" s="56">
        <v>347900</v>
      </c>
      <c r="Z38" s="8">
        <v>45315</v>
      </c>
      <c r="AA38" s="2"/>
      <c r="AB38" s="2"/>
      <c r="AC38" s="132"/>
    </row>
    <row r="39" spans="1:29" ht="15.75">
      <c r="A39" s="29" t="s">
        <v>440</v>
      </c>
      <c r="B39" s="3" t="s">
        <v>106</v>
      </c>
      <c r="C39" s="9" t="s">
        <v>62</v>
      </c>
      <c r="D39" s="13" t="s">
        <v>116</v>
      </c>
      <c r="E39" s="3" t="str">
        <f t="shared" si="0"/>
        <v>Direct</v>
      </c>
      <c r="F39" s="3" t="s">
        <v>31</v>
      </c>
      <c r="G39" s="1">
        <v>672</v>
      </c>
      <c r="H39" s="27">
        <v>141120</v>
      </c>
      <c r="I39" s="82"/>
      <c r="J39" s="116">
        <f>+K39/H39</f>
        <v>1.3350000000000002</v>
      </c>
      <c r="K39" s="119">
        <v>188395.2</v>
      </c>
      <c r="L39" s="58">
        <f>18721+525</f>
        <v>19246</v>
      </c>
      <c r="M39" s="58">
        <f>90+203</f>
        <v>293</v>
      </c>
      <c r="N39" s="58">
        <f>3610+(2040-45)</f>
        <v>5605</v>
      </c>
      <c r="O39" s="58"/>
      <c r="P39" s="59"/>
      <c r="Q39" s="59">
        <f t="shared" si="2"/>
        <v>213539.20000000001</v>
      </c>
      <c r="R39" s="59">
        <f t="shared" si="3"/>
        <v>1.5131746031746032</v>
      </c>
      <c r="S39" s="59"/>
      <c r="T39" s="59"/>
      <c r="U39" s="19"/>
      <c r="V39" s="128"/>
      <c r="W39" s="8" t="str">
        <f t="shared" si="4"/>
        <v/>
      </c>
      <c r="X39" s="54"/>
      <c r="Y39" s="72"/>
      <c r="AA39" s="2"/>
      <c r="AB39" s="2"/>
      <c r="AC39" s="132"/>
    </row>
    <row r="40" spans="1:29" ht="15.75">
      <c r="A40" s="54" t="s">
        <v>441</v>
      </c>
      <c r="B40" s="3" t="s">
        <v>442</v>
      </c>
      <c r="C40" s="3"/>
      <c r="D40" s="3" t="s">
        <v>116</v>
      </c>
      <c r="E40" s="3" t="str">
        <f t="shared" si="0"/>
        <v>Direct</v>
      </c>
      <c r="F40" s="3" t="s">
        <v>31</v>
      </c>
      <c r="G40" s="3"/>
      <c r="H40" s="28"/>
      <c r="I40" s="82"/>
      <c r="J40" s="116"/>
      <c r="K40" s="119"/>
      <c r="L40" s="58"/>
      <c r="M40" s="58"/>
      <c r="N40" s="58"/>
      <c r="O40" s="58"/>
      <c r="P40" s="59"/>
      <c r="Q40" s="59"/>
      <c r="R40" s="59"/>
      <c r="S40" s="59"/>
      <c r="T40" s="59"/>
      <c r="U40" s="19"/>
      <c r="V40" s="128"/>
      <c r="W40" s="8" t="str">
        <f t="shared" si="4"/>
        <v/>
      </c>
      <c r="X40" s="54"/>
      <c r="Y40" s="56"/>
      <c r="AA40" s="2"/>
      <c r="AB40" s="2"/>
      <c r="AC40" s="132"/>
    </row>
    <row r="41" spans="1:29" ht="15.75">
      <c r="A41" s="29" t="s">
        <v>443</v>
      </c>
      <c r="B41" s="3" t="s">
        <v>106</v>
      </c>
      <c r="C41" s="9" t="s">
        <v>62</v>
      </c>
      <c r="D41" s="3" t="s">
        <v>104</v>
      </c>
      <c r="E41" s="3" t="str">
        <f t="shared" si="0"/>
        <v>Direct</v>
      </c>
      <c r="F41" s="10" t="s">
        <v>31</v>
      </c>
      <c r="G41" s="1">
        <f>8*112</f>
        <v>896</v>
      </c>
      <c r="H41" s="27">
        <f>G41*210</f>
        <v>188160</v>
      </c>
      <c r="I41" s="82"/>
      <c r="J41" s="116">
        <f t="shared" ref="J41:J66" si="6">+K41/H41</f>
        <v>1.2649999999999999</v>
      </c>
      <c r="K41" s="119">
        <v>238022.39999999999</v>
      </c>
      <c r="L41" s="58"/>
      <c r="M41" s="22">
        <v>282.02999999999997</v>
      </c>
      <c r="N41" s="58"/>
      <c r="O41" s="58"/>
      <c r="P41" s="59"/>
      <c r="Q41" s="59">
        <f t="shared" si="2"/>
        <v>238304.43</v>
      </c>
      <c r="R41" s="59">
        <f t="shared" si="3"/>
        <v>1.2664988839285714</v>
      </c>
      <c r="S41" s="59"/>
      <c r="T41" s="59"/>
      <c r="U41" s="19"/>
      <c r="V41" s="128"/>
      <c r="W41" s="8" t="str">
        <f t="shared" si="4"/>
        <v/>
      </c>
      <c r="X41" s="79"/>
      <c r="Y41" s="42"/>
      <c r="AA41" s="2"/>
      <c r="AB41" s="2"/>
      <c r="AC41" s="132"/>
    </row>
    <row r="42" spans="1:29" ht="15.75">
      <c r="A42" s="54" t="s">
        <v>444</v>
      </c>
      <c r="B42" s="3" t="s">
        <v>118</v>
      </c>
      <c r="C42" s="3" t="s">
        <v>119</v>
      </c>
      <c r="D42" s="13" t="s">
        <v>120</v>
      </c>
      <c r="E42" s="3" t="str">
        <f t="shared" si="0"/>
        <v>Direct</v>
      </c>
      <c r="F42" s="3" t="s">
        <v>121</v>
      </c>
      <c r="G42" s="65">
        <v>48</v>
      </c>
      <c r="H42" s="53">
        <v>9600</v>
      </c>
      <c r="I42" s="82"/>
      <c r="J42" s="116">
        <f t="shared" si="6"/>
        <v>1.51</v>
      </c>
      <c r="K42" s="119">
        <v>14496</v>
      </c>
      <c r="L42" s="58"/>
      <c r="M42" s="58"/>
      <c r="N42" s="58"/>
      <c r="O42" s="58"/>
      <c r="P42" s="59"/>
      <c r="Q42" s="59">
        <f t="shared" si="2"/>
        <v>14496</v>
      </c>
      <c r="R42" s="59">
        <f t="shared" si="3"/>
        <v>1.51</v>
      </c>
      <c r="S42" s="59"/>
      <c r="T42" s="59"/>
      <c r="U42" s="19"/>
      <c r="V42" s="128"/>
      <c r="W42" s="8" t="str">
        <f t="shared" si="4"/>
        <v/>
      </c>
      <c r="X42" s="54"/>
      <c r="Y42" s="56"/>
      <c r="AA42" s="2"/>
      <c r="AB42" s="2"/>
      <c r="AC42" s="132"/>
    </row>
    <row r="43" spans="1:29" ht="15.75">
      <c r="A43" s="29" t="s">
        <v>445</v>
      </c>
      <c r="B43" s="3" t="s">
        <v>446</v>
      </c>
      <c r="C43" s="3" t="s">
        <v>34</v>
      </c>
      <c r="D43" s="13" t="s">
        <v>447</v>
      </c>
      <c r="E43" s="3" t="str">
        <f t="shared" si="0"/>
        <v>Direct</v>
      </c>
      <c r="F43" s="3" t="s">
        <v>121</v>
      </c>
      <c r="G43" s="65">
        <v>30</v>
      </c>
      <c r="H43" s="53">
        <v>750</v>
      </c>
      <c r="I43" s="82"/>
      <c r="J43" s="116">
        <f t="shared" si="6"/>
        <v>1.52</v>
      </c>
      <c r="K43" s="119">
        <v>1140</v>
      </c>
      <c r="L43" s="58"/>
      <c r="M43" s="58"/>
      <c r="N43" s="58"/>
      <c r="O43" s="58"/>
      <c r="P43" s="59"/>
      <c r="Q43" s="59">
        <f t="shared" si="2"/>
        <v>1140</v>
      </c>
      <c r="R43" s="59">
        <f t="shared" si="3"/>
        <v>1.52</v>
      </c>
      <c r="S43" s="59"/>
      <c r="T43" s="59"/>
      <c r="U43" s="19"/>
      <c r="V43" s="128"/>
      <c r="W43" s="8" t="str">
        <f t="shared" si="4"/>
        <v/>
      </c>
      <c r="X43" s="54"/>
      <c r="Y43" s="56"/>
      <c r="AA43" s="2"/>
      <c r="AB43" s="2"/>
      <c r="AC43" s="132"/>
    </row>
    <row r="44" spans="1:29" ht="15.75">
      <c r="A44" s="54" t="s">
        <v>448</v>
      </c>
      <c r="B44" s="3" t="s">
        <v>449</v>
      </c>
      <c r="C44" s="9" t="s">
        <v>34</v>
      </c>
      <c r="D44" s="3" t="s">
        <v>447</v>
      </c>
      <c r="E44" s="3" t="str">
        <f t="shared" si="0"/>
        <v>Direct</v>
      </c>
      <c r="F44" s="10" t="s">
        <v>121</v>
      </c>
      <c r="G44" s="1">
        <v>35</v>
      </c>
      <c r="H44" s="27">
        <v>350</v>
      </c>
      <c r="I44" s="82"/>
      <c r="J44" s="116">
        <f t="shared" si="6"/>
        <v>3.82</v>
      </c>
      <c r="K44" s="117">
        <v>1337</v>
      </c>
      <c r="L44" s="22"/>
      <c r="M44" s="22"/>
      <c r="N44" s="22"/>
      <c r="O44" s="22"/>
      <c r="P44" s="23"/>
      <c r="Q44" s="23">
        <f t="shared" si="2"/>
        <v>1337</v>
      </c>
      <c r="R44" s="23">
        <f t="shared" si="3"/>
        <v>3.82</v>
      </c>
      <c r="S44" s="23"/>
      <c r="T44" s="23"/>
      <c r="U44" s="19"/>
      <c r="V44" s="128"/>
      <c r="W44" s="8" t="str">
        <f t="shared" si="4"/>
        <v/>
      </c>
      <c r="X44" s="54"/>
      <c r="Y44" s="56"/>
      <c r="AA44" s="2"/>
      <c r="AB44" s="2"/>
      <c r="AC44" s="132"/>
    </row>
    <row r="45" spans="1:29" ht="15.75">
      <c r="A45" s="29" t="s">
        <v>450</v>
      </c>
      <c r="B45" s="3" t="s">
        <v>451</v>
      </c>
      <c r="C45" s="3" t="s">
        <v>34</v>
      </c>
      <c r="D45" s="3" t="s">
        <v>447</v>
      </c>
      <c r="E45" s="3" t="str">
        <f t="shared" si="0"/>
        <v>Direct</v>
      </c>
      <c r="F45" s="3" t="s">
        <v>121</v>
      </c>
      <c r="G45" s="3">
        <v>35</v>
      </c>
      <c r="H45" s="28">
        <v>350</v>
      </c>
      <c r="I45" s="82"/>
      <c r="J45" s="116">
        <f t="shared" si="6"/>
        <v>2.36</v>
      </c>
      <c r="K45" s="117">
        <v>826</v>
      </c>
      <c r="L45" s="22"/>
      <c r="M45" s="22"/>
      <c r="N45" s="22"/>
      <c r="O45" s="22"/>
      <c r="P45" s="23"/>
      <c r="Q45" s="23">
        <f t="shared" si="2"/>
        <v>826</v>
      </c>
      <c r="R45" s="23">
        <f t="shared" si="3"/>
        <v>2.36</v>
      </c>
      <c r="S45" s="23"/>
      <c r="T45" s="23"/>
      <c r="U45" s="19"/>
      <c r="V45" s="128"/>
      <c r="W45" s="8" t="str">
        <f t="shared" si="4"/>
        <v/>
      </c>
      <c r="X45" s="54"/>
      <c r="Y45" s="56"/>
      <c r="AA45" s="2"/>
      <c r="AB45" s="2"/>
      <c r="AC45" s="132"/>
    </row>
    <row r="46" spans="1:29" ht="15.75">
      <c r="A46" s="29" t="s">
        <v>452</v>
      </c>
      <c r="B46" s="3" t="s">
        <v>453</v>
      </c>
      <c r="C46" s="3" t="s">
        <v>34</v>
      </c>
      <c r="D46" s="3" t="s">
        <v>447</v>
      </c>
      <c r="E46" s="3" t="str">
        <f t="shared" si="0"/>
        <v>Direct</v>
      </c>
      <c r="F46" s="3" t="s">
        <v>121</v>
      </c>
      <c r="G46" s="3">
        <v>30</v>
      </c>
      <c r="H46" s="28">
        <v>300</v>
      </c>
      <c r="I46" s="82"/>
      <c r="J46" s="116">
        <f t="shared" si="6"/>
        <v>1.33</v>
      </c>
      <c r="K46" s="117">
        <v>399</v>
      </c>
      <c r="L46" s="22"/>
      <c r="M46" s="22"/>
      <c r="N46" s="22"/>
      <c r="O46" s="22"/>
      <c r="P46" s="23"/>
      <c r="Q46" s="23">
        <f t="shared" si="2"/>
        <v>399</v>
      </c>
      <c r="R46" s="23">
        <f t="shared" si="3"/>
        <v>1.33</v>
      </c>
      <c r="S46" s="23"/>
      <c r="T46" s="23"/>
      <c r="U46" s="19"/>
      <c r="V46" s="128"/>
      <c r="W46" s="8" t="str">
        <f t="shared" si="4"/>
        <v/>
      </c>
      <c r="X46" s="80"/>
      <c r="Y46" s="72"/>
      <c r="AA46" s="2"/>
      <c r="AB46" s="2"/>
      <c r="AC46" s="132"/>
    </row>
    <row r="47" spans="1:29" ht="15.75">
      <c r="A47" s="29" t="s">
        <v>454</v>
      </c>
      <c r="B47" s="3" t="s">
        <v>246</v>
      </c>
      <c r="C47" s="9" t="s">
        <v>176</v>
      </c>
      <c r="D47" s="3" t="s">
        <v>455</v>
      </c>
      <c r="E47" s="3" t="str">
        <f t="shared" si="0"/>
        <v>Direct</v>
      </c>
      <c r="F47" s="10" t="s">
        <v>36</v>
      </c>
      <c r="G47" s="1">
        <v>4</v>
      </c>
      <c r="H47" s="27">
        <v>800</v>
      </c>
      <c r="I47" s="82"/>
      <c r="J47" s="116">
        <f t="shared" si="6"/>
        <v>1.85</v>
      </c>
      <c r="K47" s="117">
        <v>1480</v>
      </c>
      <c r="L47" s="22"/>
      <c r="M47" s="22"/>
      <c r="N47" s="22"/>
      <c r="O47" s="22"/>
      <c r="P47" s="23"/>
      <c r="Q47" s="23">
        <f t="shared" si="2"/>
        <v>1480</v>
      </c>
      <c r="R47" s="23">
        <f t="shared" si="3"/>
        <v>1.85</v>
      </c>
      <c r="S47" s="23"/>
      <c r="T47" s="23"/>
      <c r="U47" s="19"/>
      <c r="V47" s="128"/>
      <c r="W47" s="8" t="str">
        <f t="shared" si="4"/>
        <v/>
      </c>
      <c r="X47" s="54"/>
      <c r="Y47" s="56"/>
      <c r="AA47" s="2"/>
      <c r="AB47" s="2"/>
      <c r="AC47" s="132"/>
    </row>
    <row r="48" spans="1:29" ht="15.75">
      <c r="A48" s="29" t="s">
        <v>456</v>
      </c>
      <c r="B48" s="3" t="s">
        <v>143</v>
      </c>
      <c r="C48" s="3" t="s">
        <v>119</v>
      </c>
      <c r="D48" s="3" t="s">
        <v>411</v>
      </c>
      <c r="E48" s="3" t="str">
        <f t="shared" si="0"/>
        <v>Direct</v>
      </c>
      <c r="F48" s="3" t="s">
        <v>121</v>
      </c>
      <c r="G48" s="3">
        <v>110</v>
      </c>
      <c r="H48" s="28">
        <v>1100</v>
      </c>
      <c r="I48" s="82"/>
      <c r="J48" s="116">
        <f t="shared" si="6"/>
        <v>1.085</v>
      </c>
      <c r="K48" s="117">
        <v>1193.5</v>
      </c>
      <c r="L48" s="22"/>
      <c r="M48" s="22"/>
      <c r="N48" s="22"/>
      <c r="O48" s="22"/>
      <c r="P48" s="23"/>
      <c r="Q48" s="23">
        <f t="shared" si="2"/>
        <v>1193.5</v>
      </c>
      <c r="R48" s="23">
        <f t="shared" si="3"/>
        <v>1.085</v>
      </c>
      <c r="S48" s="23"/>
      <c r="T48" s="23"/>
      <c r="U48" s="19"/>
      <c r="V48" s="128"/>
      <c r="W48" s="8" t="str">
        <f t="shared" si="4"/>
        <v/>
      </c>
      <c r="X48" s="54"/>
      <c r="Y48" s="56"/>
      <c r="AA48" s="2"/>
      <c r="AB48" s="2"/>
      <c r="AC48" s="132"/>
    </row>
    <row r="49" spans="1:29" ht="15.75">
      <c r="A49" s="29" t="s">
        <v>457</v>
      </c>
      <c r="B49" s="3" t="s">
        <v>458</v>
      </c>
      <c r="C49" s="3" t="s">
        <v>34</v>
      </c>
      <c r="D49" s="3" t="s">
        <v>459</v>
      </c>
      <c r="E49" s="3" t="str">
        <f t="shared" si="0"/>
        <v>Direct</v>
      </c>
      <c r="F49" s="3" t="s">
        <v>128</v>
      </c>
      <c r="G49" s="3">
        <v>9</v>
      </c>
      <c r="H49" s="28">
        <v>225</v>
      </c>
      <c r="I49" s="82"/>
      <c r="J49" s="116">
        <f t="shared" si="6"/>
        <v>5.59</v>
      </c>
      <c r="K49" s="117">
        <v>1257.75</v>
      </c>
      <c r="L49" s="22"/>
      <c r="M49" s="22"/>
      <c r="N49" s="22"/>
      <c r="O49" s="22"/>
      <c r="P49" s="23"/>
      <c r="Q49" s="23">
        <f t="shared" si="2"/>
        <v>1257.75</v>
      </c>
      <c r="R49" s="23">
        <f t="shared" si="3"/>
        <v>5.59</v>
      </c>
      <c r="S49" s="23"/>
      <c r="T49" s="23"/>
      <c r="U49" s="19"/>
      <c r="V49" s="128"/>
      <c r="W49" s="8" t="str">
        <f t="shared" si="4"/>
        <v/>
      </c>
      <c r="X49" s="54"/>
      <c r="Y49" s="56"/>
      <c r="AA49" s="2"/>
      <c r="AB49" s="2"/>
      <c r="AC49" s="132"/>
    </row>
    <row r="50" spans="1:29" ht="15.75">
      <c r="A50" s="29" t="s">
        <v>460</v>
      </c>
      <c r="B50" s="3" t="s">
        <v>389</v>
      </c>
      <c r="C50" s="9" t="s">
        <v>62</v>
      </c>
      <c r="D50" s="3" t="s">
        <v>63</v>
      </c>
      <c r="E50" s="3" t="str">
        <f t="shared" si="0"/>
        <v>Hiwa</v>
      </c>
      <c r="F50" s="10" t="s">
        <v>46</v>
      </c>
      <c r="G50" s="1">
        <v>120</v>
      </c>
      <c r="H50" s="27">
        <v>22800</v>
      </c>
      <c r="I50" s="82"/>
      <c r="J50" s="116">
        <f t="shared" si="6"/>
        <v>1.64</v>
      </c>
      <c r="K50" s="117">
        <v>37392</v>
      </c>
      <c r="L50" s="22"/>
      <c r="M50" s="22">
        <v>94.01</v>
      </c>
      <c r="N50" s="22"/>
      <c r="O50" s="22">
        <v>1345.02</v>
      </c>
      <c r="P50" s="23"/>
      <c r="Q50" s="23">
        <f t="shared" si="2"/>
        <v>38831.03</v>
      </c>
      <c r="R50" s="23">
        <f t="shared" si="3"/>
        <v>1.703115350877193</v>
      </c>
      <c r="S50" s="23"/>
      <c r="T50" s="23"/>
      <c r="U50" s="19"/>
      <c r="V50" s="128"/>
      <c r="W50" s="8" t="str">
        <f t="shared" si="4"/>
        <v/>
      </c>
      <c r="X50" s="54"/>
      <c r="Y50" s="56">
        <v>348988</v>
      </c>
      <c r="Z50" s="8">
        <v>45335</v>
      </c>
      <c r="AA50" s="2"/>
      <c r="AB50" s="2"/>
      <c r="AC50" s="132"/>
    </row>
    <row r="51" spans="1:29" ht="15.75">
      <c r="A51" s="29" t="s">
        <v>461</v>
      </c>
      <c r="B51" s="3" t="s">
        <v>462</v>
      </c>
      <c r="C51" s="9" t="s">
        <v>176</v>
      </c>
      <c r="D51" s="3" t="s">
        <v>278</v>
      </c>
      <c r="E51" s="3" t="str">
        <f t="shared" si="0"/>
        <v>Direct</v>
      </c>
      <c r="F51" s="10" t="s">
        <v>36</v>
      </c>
      <c r="G51" s="1">
        <v>9</v>
      </c>
      <c r="H51" s="27">
        <f>G51*24</f>
        <v>216</v>
      </c>
      <c r="I51" s="82"/>
      <c r="J51" s="116">
        <f t="shared" si="6"/>
        <v>2.4</v>
      </c>
      <c r="K51" s="117">
        <v>518.4</v>
      </c>
      <c r="L51" s="22"/>
      <c r="M51" s="22"/>
      <c r="N51" s="22"/>
      <c r="O51" s="22"/>
      <c r="P51" s="23"/>
      <c r="Q51" s="23">
        <f t="shared" si="2"/>
        <v>518.4</v>
      </c>
      <c r="R51" s="23">
        <f t="shared" si="3"/>
        <v>2.4</v>
      </c>
      <c r="S51" s="23"/>
      <c r="T51" s="23"/>
      <c r="U51" s="19"/>
      <c r="V51" s="128"/>
      <c r="W51" s="8" t="str">
        <f t="shared" si="4"/>
        <v/>
      </c>
      <c r="X51" s="54"/>
      <c r="Y51" s="56"/>
      <c r="AA51" s="2"/>
      <c r="AB51" s="2"/>
      <c r="AC51" s="132"/>
    </row>
    <row r="52" spans="1:29" ht="15.75">
      <c r="A52" s="29" t="s">
        <v>463</v>
      </c>
      <c r="B52" s="3" t="s">
        <v>464</v>
      </c>
      <c r="C52" s="3" t="s">
        <v>126</v>
      </c>
      <c r="D52" s="3" t="s">
        <v>465</v>
      </c>
      <c r="E52" s="3" t="str">
        <f t="shared" si="0"/>
        <v>Direct</v>
      </c>
      <c r="F52" s="3" t="s">
        <v>128</v>
      </c>
      <c r="G52" s="3">
        <v>4</v>
      </c>
      <c r="H52" s="28">
        <v>880</v>
      </c>
      <c r="I52" s="82"/>
      <c r="J52" s="116">
        <f t="shared" si="6"/>
        <v>0.80999999999999994</v>
      </c>
      <c r="K52" s="117">
        <v>712.8</v>
      </c>
      <c r="L52" s="22"/>
      <c r="M52" s="22"/>
      <c r="N52" s="22"/>
      <c r="O52" s="22"/>
      <c r="P52" s="23"/>
      <c r="Q52" s="23">
        <f t="shared" si="2"/>
        <v>712.8</v>
      </c>
      <c r="R52" s="23">
        <f t="shared" si="3"/>
        <v>0.80999999999999994</v>
      </c>
      <c r="S52" s="23"/>
      <c r="T52" s="23"/>
      <c r="U52" s="19"/>
      <c r="V52" s="128"/>
      <c r="W52" s="8" t="str">
        <f t="shared" si="4"/>
        <v/>
      </c>
      <c r="X52" s="54"/>
      <c r="Y52" s="56"/>
      <c r="AA52" s="2"/>
      <c r="AB52" s="2"/>
      <c r="AC52" s="132"/>
    </row>
    <row r="53" spans="1:29" ht="15.75">
      <c r="A53" s="29" t="s">
        <v>466</v>
      </c>
      <c r="B53" s="3" t="s">
        <v>467</v>
      </c>
      <c r="C53" s="9" t="s">
        <v>34</v>
      </c>
      <c r="D53" s="3" t="s">
        <v>468</v>
      </c>
      <c r="E53" s="3" t="str">
        <f t="shared" si="0"/>
        <v>Direct</v>
      </c>
      <c r="F53" s="10" t="s">
        <v>121</v>
      </c>
      <c r="G53" s="1">
        <v>12</v>
      </c>
      <c r="H53" s="27">
        <v>2400</v>
      </c>
      <c r="I53" s="82"/>
      <c r="J53" s="116">
        <f t="shared" si="6"/>
        <v>4.25</v>
      </c>
      <c r="K53" s="117">
        <v>10200</v>
      </c>
      <c r="L53" s="22"/>
      <c r="M53" s="22"/>
      <c r="N53" s="22"/>
      <c r="O53" s="22"/>
      <c r="P53" s="23"/>
      <c r="Q53" s="23">
        <f t="shared" si="2"/>
        <v>10200</v>
      </c>
      <c r="R53" s="23">
        <f t="shared" si="3"/>
        <v>4.25</v>
      </c>
      <c r="S53" s="23"/>
      <c r="T53" s="23"/>
      <c r="U53" s="19"/>
      <c r="V53" s="128"/>
      <c r="W53" s="8" t="str">
        <f t="shared" si="4"/>
        <v/>
      </c>
      <c r="X53" s="80"/>
      <c r="Y53" s="72"/>
      <c r="AA53" s="2"/>
      <c r="AB53" s="2"/>
      <c r="AC53" s="132"/>
    </row>
    <row r="54" spans="1:29" ht="15.75">
      <c r="A54" s="29" t="s">
        <v>469</v>
      </c>
      <c r="B54" s="3" t="s">
        <v>300</v>
      </c>
      <c r="C54" s="3" t="s">
        <v>34</v>
      </c>
      <c r="D54" s="3" t="s">
        <v>301</v>
      </c>
      <c r="E54" s="3" t="str">
        <f t="shared" si="0"/>
        <v>Direct</v>
      </c>
      <c r="F54" s="3" t="s">
        <v>36</v>
      </c>
      <c r="G54" s="3">
        <v>7</v>
      </c>
      <c r="H54" s="28">
        <v>140</v>
      </c>
      <c r="I54" s="82"/>
      <c r="J54" s="116">
        <f t="shared" si="6"/>
        <v>3</v>
      </c>
      <c r="K54" s="117">
        <v>420</v>
      </c>
      <c r="L54" s="22"/>
      <c r="M54" s="22"/>
      <c r="N54" s="22"/>
      <c r="O54" s="22"/>
      <c r="P54" s="23"/>
      <c r="Q54" s="23">
        <f t="shared" si="2"/>
        <v>420</v>
      </c>
      <c r="R54" s="23">
        <f t="shared" si="3"/>
        <v>3</v>
      </c>
      <c r="S54" s="23"/>
      <c r="T54" s="23"/>
      <c r="U54" s="19"/>
      <c r="V54" s="128"/>
      <c r="W54" s="8" t="str">
        <f t="shared" si="4"/>
        <v/>
      </c>
      <c r="X54" s="54"/>
      <c r="Y54" s="56"/>
      <c r="AA54" s="2"/>
      <c r="AB54" s="2"/>
      <c r="AC54" s="132"/>
    </row>
    <row r="55" spans="1:29" ht="15.75">
      <c r="A55" s="29" t="s">
        <v>470</v>
      </c>
      <c r="B55" s="3" t="s">
        <v>471</v>
      </c>
      <c r="C55" s="3" t="s">
        <v>34</v>
      </c>
      <c r="D55" s="3" t="s">
        <v>301</v>
      </c>
      <c r="E55" s="3" t="str">
        <f t="shared" si="0"/>
        <v>Direct</v>
      </c>
      <c r="F55" s="3" t="s">
        <v>36</v>
      </c>
      <c r="G55" s="3">
        <v>4</v>
      </c>
      <c r="H55" s="28">
        <v>80</v>
      </c>
      <c r="I55" s="82"/>
      <c r="J55" s="116">
        <f t="shared" si="6"/>
        <v>3.91</v>
      </c>
      <c r="K55" s="117">
        <v>312.8</v>
      </c>
      <c r="L55" s="22"/>
      <c r="M55" s="22"/>
      <c r="N55" s="22"/>
      <c r="O55" s="22"/>
      <c r="P55" s="23"/>
      <c r="Q55" s="23">
        <f t="shared" si="2"/>
        <v>312.8</v>
      </c>
      <c r="R55" s="23">
        <f t="shared" si="3"/>
        <v>3.91</v>
      </c>
      <c r="S55" s="23"/>
      <c r="T55" s="23"/>
      <c r="U55" s="19"/>
      <c r="V55" s="128"/>
      <c r="W55" s="8" t="str">
        <f t="shared" si="4"/>
        <v/>
      </c>
      <c r="X55" s="54"/>
      <c r="Y55" s="56"/>
      <c r="AA55" s="2"/>
      <c r="AB55" s="2"/>
      <c r="AC55" s="132"/>
    </row>
    <row r="56" spans="1:29" ht="15.75">
      <c r="A56" s="29" t="s">
        <v>472</v>
      </c>
      <c r="B56" s="3" t="s">
        <v>93</v>
      </c>
      <c r="C56" s="9" t="s">
        <v>90</v>
      </c>
      <c r="D56" s="3" t="s">
        <v>104</v>
      </c>
      <c r="E56" s="3" t="str">
        <f t="shared" si="0"/>
        <v>Direct</v>
      </c>
      <c r="F56" s="10" t="s">
        <v>59</v>
      </c>
      <c r="G56" s="1">
        <f>7*128</f>
        <v>896</v>
      </c>
      <c r="H56" s="27">
        <f>G56*205</f>
        <v>183680</v>
      </c>
      <c r="I56" s="82"/>
      <c r="J56" s="116">
        <f t="shared" si="6"/>
        <v>0.59871515679442511</v>
      </c>
      <c r="K56" s="117">
        <v>109972</v>
      </c>
      <c r="L56" s="22">
        <v>5162</v>
      </c>
      <c r="M56" s="22"/>
      <c r="N56" s="22"/>
      <c r="O56" s="22"/>
      <c r="P56" s="23"/>
      <c r="Q56" s="23">
        <f t="shared" si="2"/>
        <v>115134</v>
      </c>
      <c r="R56" s="23">
        <f t="shared" si="3"/>
        <v>0.62681837979094079</v>
      </c>
      <c r="S56" s="23"/>
      <c r="T56" s="23"/>
      <c r="U56" s="19"/>
      <c r="V56" s="128"/>
      <c r="W56" s="8" t="str">
        <f t="shared" si="4"/>
        <v/>
      </c>
      <c r="X56" s="80"/>
      <c r="Y56" s="72"/>
      <c r="AA56" s="2"/>
      <c r="AB56" s="2"/>
      <c r="AC56" s="132"/>
    </row>
    <row r="57" spans="1:29" ht="15.75">
      <c r="A57" s="29" t="s">
        <v>473</v>
      </c>
      <c r="B57" s="3" t="s">
        <v>86</v>
      </c>
      <c r="C57" s="3" t="s">
        <v>80</v>
      </c>
      <c r="D57" s="3" t="s">
        <v>87</v>
      </c>
      <c r="E57" s="3" t="str">
        <f t="shared" si="0"/>
        <v>Direct</v>
      </c>
      <c r="F57" s="3" t="s">
        <v>59</v>
      </c>
      <c r="G57" s="3">
        <v>112</v>
      </c>
      <c r="H57" s="28">
        <v>24080</v>
      </c>
      <c r="I57" s="82"/>
      <c r="J57" s="116">
        <f t="shared" si="6"/>
        <v>1.7262238372093024</v>
      </c>
      <c r="K57" s="117">
        <v>41567.47</v>
      </c>
      <c r="L57" s="22"/>
      <c r="M57" s="22"/>
      <c r="N57" s="22"/>
      <c r="O57" s="22"/>
      <c r="P57" s="23"/>
      <c r="Q57" s="23">
        <f t="shared" si="2"/>
        <v>41567.47</v>
      </c>
      <c r="R57" s="23">
        <f t="shared" si="3"/>
        <v>1.7262238372093024</v>
      </c>
      <c r="S57" s="23"/>
      <c r="T57" s="23"/>
      <c r="U57" s="19"/>
      <c r="V57" s="128"/>
      <c r="W57" s="8" t="str">
        <f t="shared" si="4"/>
        <v/>
      </c>
      <c r="X57" s="80"/>
      <c r="Y57" s="72"/>
      <c r="AA57" s="2"/>
      <c r="AB57" s="2"/>
      <c r="AC57" s="132"/>
    </row>
    <row r="58" spans="1:29" ht="15.75">
      <c r="A58" s="29" t="s">
        <v>474</v>
      </c>
      <c r="B58" s="3" t="s">
        <v>65</v>
      </c>
      <c r="C58" s="3" t="s">
        <v>375</v>
      </c>
      <c r="D58" s="13" t="s">
        <v>30</v>
      </c>
      <c r="E58" s="3" t="str">
        <f t="shared" si="0"/>
        <v>Hiwa</v>
      </c>
      <c r="F58" s="3" t="s">
        <v>46</v>
      </c>
      <c r="G58" s="3">
        <v>60</v>
      </c>
      <c r="H58" s="28">
        <f>G58*200</f>
        <v>12000</v>
      </c>
      <c r="I58" s="82"/>
      <c r="J58" s="116">
        <f t="shared" si="6"/>
        <v>1.8624166666666666</v>
      </c>
      <c r="K58" s="117">
        <v>22349</v>
      </c>
      <c r="L58" s="22"/>
      <c r="M58" s="22">
        <v>60</v>
      </c>
      <c r="N58" s="22"/>
      <c r="O58" s="22">
        <f>1552.46/2</f>
        <v>776.23</v>
      </c>
      <c r="P58" s="23"/>
      <c r="Q58" s="23">
        <f t="shared" si="2"/>
        <v>23185.23</v>
      </c>
      <c r="R58" s="23">
        <f t="shared" si="3"/>
        <v>1.9321025000000001</v>
      </c>
      <c r="S58" s="23"/>
      <c r="T58" s="23"/>
      <c r="U58" s="19"/>
      <c r="V58" s="128"/>
      <c r="W58" s="8" t="str">
        <f t="shared" si="4"/>
        <v/>
      </c>
      <c r="X58" s="54"/>
      <c r="Y58" s="56">
        <v>352832</v>
      </c>
      <c r="Z58" s="8">
        <v>45405</v>
      </c>
      <c r="AA58" s="2"/>
      <c r="AB58" s="2"/>
      <c r="AC58" s="132"/>
    </row>
    <row r="59" spans="1:29" ht="15.75">
      <c r="A59" s="29" t="s">
        <v>475</v>
      </c>
      <c r="B59" s="3" t="s">
        <v>68</v>
      </c>
      <c r="C59" s="9" t="s">
        <v>375</v>
      </c>
      <c r="D59" s="3" t="s">
        <v>30</v>
      </c>
      <c r="E59" s="3" t="str">
        <f t="shared" si="0"/>
        <v>Hiwa</v>
      </c>
      <c r="F59" s="10" t="s">
        <v>46</v>
      </c>
      <c r="G59" s="1">
        <v>600</v>
      </c>
      <c r="H59" s="27">
        <f>G59*20</f>
        <v>12000</v>
      </c>
      <c r="I59" s="82"/>
      <c r="J59" s="116">
        <f t="shared" si="6"/>
        <v>1.8624166666666666</v>
      </c>
      <c r="K59" s="117">
        <v>22349</v>
      </c>
      <c r="L59" s="22"/>
      <c r="M59" s="22">
        <v>60</v>
      </c>
      <c r="N59" s="22"/>
      <c r="O59" s="22">
        <f>1552.46/2</f>
        <v>776.23</v>
      </c>
      <c r="P59" s="23"/>
      <c r="Q59" s="23">
        <f t="shared" si="2"/>
        <v>23185.23</v>
      </c>
      <c r="R59" s="23">
        <f t="shared" si="3"/>
        <v>1.9321025000000001</v>
      </c>
      <c r="S59" s="23"/>
      <c r="T59" s="23"/>
      <c r="U59" s="19"/>
      <c r="V59" s="128"/>
      <c r="W59" s="8" t="str">
        <f t="shared" si="4"/>
        <v/>
      </c>
      <c r="X59" s="80"/>
      <c r="Y59" s="72">
        <v>352833</v>
      </c>
      <c r="Z59" s="8">
        <v>45405</v>
      </c>
      <c r="AA59" s="2"/>
      <c r="AB59" s="2"/>
      <c r="AC59" s="132"/>
    </row>
    <row r="60" spans="1:29" ht="15.75">
      <c r="A60" s="29" t="s">
        <v>476</v>
      </c>
      <c r="B60" s="3" t="s">
        <v>477</v>
      </c>
      <c r="C60" s="9" t="s">
        <v>119</v>
      </c>
      <c r="D60" s="3" t="s">
        <v>478</v>
      </c>
      <c r="E60" s="3" t="str">
        <f t="shared" si="0"/>
        <v>Direct</v>
      </c>
      <c r="F60" s="10" t="s">
        <v>36</v>
      </c>
      <c r="G60" s="1">
        <v>4</v>
      </c>
      <c r="H60" s="27">
        <v>840</v>
      </c>
      <c r="I60" s="82"/>
      <c r="J60" s="116">
        <f t="shared" si="6"/>
        <v>2.1</v>
      </c>
      <c r="K60" s="117">
        <v>1764</v>
      </c>
      <c r="L60" s="22"/>
      <c r="M60" s="22"/>
      <c r="N60" s="22"/>
      <c r="O60" s="22"/>
      <c r="P60" s="23"/>
      <c r="Q60" s="23">
        <f t="shared" si="2"/>
        <v>1764</v>
      </c>
      <c r="R60" s="23">
        <f t="shared" si="3"/>
        <v>2.1</v>
      </c>
      <c r="S60" s="23"/>
      <c r="T60" s="23"/>
      <c r="U60" s="19"/>
      <c r="V60" s="128"/>
      <c r="W60" s="8" t="str">
        <f t="shared" si="4"/>
        <v/>
      </c>
      <c r="X60" s="80"/>
      <c r="Y60" s="72"/>
      <c r="AA60" s="2"/>
      <c r="AB60" s="2"/>
      <c r="AC60" s="132"/>
    </row>
    <row r="61" spans="1:29" ht="15.75">
      <c r="A61" s="29" t="s">
        <v>479</v>
      </c>
      <c r="B61" s="3" t="s">
        <v>480</v>
      </c>
      <c r="C61" s="3" t="s">
        <v>133</v>
      </c>
      <c r="D61" s="3" t="s">
        <v>478</v>
      </c>
      <c r="E61" s="3" t="str">
        <f t="shared" si="0"/>
        <v>Direct</v>
      </c>
      <c r="F61" s="3" t="s">
        <v>36</v>
      </c>
      <c r="G61" s="3">
        <v>2</v>
      </c>
      <c r="H61" s="28">
        <v>2000</v>
      </c>
      <c r="I61" s="82"/>
      <c r="J61" s="116">
        <f t="shared" si="6"/>
        <v>1.96</v>
      </c>
      <c r="K61" s="117">
        <v>3920</v>
      </c>
      <c r="L61" s="22"/>
      <c r="M61" s="22"/>
      <c r="N61" s="22"/>
      <c r="O61" s="22"/>
      <c r="P61" s="23"/>
      <c r="Q61" s="23">
        <f t="shared" si="2"/>
        <v>3920</v>
      </c>
      <c r="R61" s="23">
        <f t="shared" si="3"/>
        <v>1.96</v>
      </c>
      <c r="S61" s="23"/>
      <c r="T61" s="23"/>
      <c r="U61" s="19"/>
      <c r="V61" s="128"/>
      <c r="W61" s="8" t="str">
        <f t="shared" si="4"/>
        <v/>
      </c>
      <c r="X61" s="54"/>
      <c r="Y61" s="56"/>
      <c r="AA61" s="2"/>
      <c r="AB61" s="2"/>
      <c r="AC61" s="132"/>
    </row>
    <row r="62" spans="1:29" ht="15.75">
      <c r="A62" s="29" t="s">
        <v>481</v>
      </c>
      <c r="B62" s="3" t="s">
        <v>186</v>
      </c>
      <c r="C62" s="9" t="s">
        <v>29</v>
      </c>
      <c r="D62" s="3" t="s">
        <v>482</v>
      </c>
      <c r="E62" s="3" t="str">
        <f t="shared" si="0"/>
        <v>Direct</v>
      </c>
      <c r="F62" s="10" t="s">
        <v>46</v>
      </c>
      <c r="G62" s="1">
        <v>160</v>
      </c>
      <c r="H62" s="27">
        <v>34400</v>
      </c>
      <c r="I62" s="82"/>
      <c r="J62" s="116">
        <f t="shared" si="6"/>
        <v>1.0350906976744187</v>
      </c>
      <c r="K62" s="117">
        <v>35607.120000000003</v>
      </c>
      <c r="L62" s="22"/>
      <c r="M62" s="22"/>
      <c r="N62" s="22"/>
      <c r="O62" s="22"/>
      <c r="P62" s="23"/>
      <c r="Q62" s="23">
        <f t="shared" si="2"/>
        <v>35607.120000000003</v>
      </c>
      <c r="R62" s="23">
        <f t="shared" si="3"/>
        <v>1.0350906976744187</v>
      </c>
      <c r="S62" s="23"/>
      <c r="T62" s="23"/>
      <c r="U62" s="19"/>
      <c r="V62" s="128"/>
      <c r="W62" s="8" t="str">
        <f t="shared" si="4"/>
        <v/>
      </c>
      <c r="X62" s="54"/>
      <c r="Y62" s="56"/>
      <c r="AA62" s="2"/>
      <c r="AB62" s="2"/>
      <c r="AC62" s="132"/>
    </row>
    <row r="63" spans="1:29" ht="15.75">
      <c r="A63" s="29" t="s">
        <v>483</v>
      </c>
      <c r="B63" s="3" t="s">
        <v>186</v>
      </c>
      <c r="C63" s="9" t="s">
        <v>29</v>
      </c>
      <c r="D63" s="3" t="s">
        <v>482</v>
      </c>
      <c r="E63" s="3" t="str">
        <f t="shared" si="0"/>
        <v>Direct</v>
      </c>
      <c r="F63" s="10" t="s">
        <v>46</v>
      </c>
      <c r="G63" s="1">
        <v>160</v>
      </c>
      <c r="H63" s="27">
        <v>34400</v>
      </c>
      <c r="I63" s="82"/>
      <c r="J63" s="116">
        <f t="shared" si="6"/>
        <v>1.0407912790697675</v>
      </c>
      <c r="K63" s="117">
        <f>17901.61*2</f>
        <v>35803.22</v>
      </c>
      <c r="L63" s="22"/>
      <c r="M63" s="22"/>
      <c r="N63" s="22"/>
      <c r="O63" s="22"/>
      <c r="P63" s="23"/>
      <c r="Q63" s="23">
        <f t="shared" si="2"/>
        <v>35803.22</v>
      </c>
      <c r="R63" s="23">
        <f t="shared" si="3"/>
        <v>1.0407912790697675</v>
      </c>
      <c r="S63" s="23"/>
      <c r="T63" s="23"/>
      <c r="U63" s="19"/>
      <c r="V63" s="128"/>
      <c r="W63" s="8" t="str">
        <f t="shared" si="4"/>
        <v/>
      </c>
      <c r="X63" s="54"/>
      <c r="Y63" s="56"/>
      <c r="AA63" s="2"/>
      <c r="AB63" s="2"/>
      <c r="AC63" s="132"/>
    </row>
    <row r="64" spans="1:29" ht="15.75">
      <c r="A64" s="29" t="s">
        <v>484</v>
      </c>
      <c r="B64" s="3" t="s">
        <v>93</v>
      </c>
      <c r="C64" s="9" t="s">
        <v>90</v>
      </c>
      <c r="D64" s="3" t="s">
        <v>485</v>
      </c>
      <c r="E64" s="3" t="str">
        <f t="shared" si="0"/>
        <v>Direct</v>
      </c>
      <c r="F64" s="10" t="s">
        <v>59</v>
      </c>
      <c r="G64" s="1">
        <v>116</v>
      </c>
      <c r="H64" s="27">
        <f>G64*205</f>
        <v>23780</v>
      </c>
      <c r="I64" s="82"/>
      <c r="J64" s="116">
        <f t="shared" si="6"/>
        <v>0.5955706476030278</v>
      </c>
      <c r="K64" s="117">
        <v>14162.67</v>
      </c>
      <c r="L64" s="22">
        <v>1629</v>
      </c>
      <c r="M64" s="22"/>
      <c r="N64" s="22"/>
      <c r="O64" s="22"/>
      <c r="P64" s="23"/>
      <c r="Q64" s="23">
        <f t="shared" si="2"/>
        <v>15791.67</v>
      </c>
      <c r="R64" s="23">
        <f t="shared" si="3"/>
        <v>0.66407359125315391</v>
      </c>
      <c r="S64" s="23"/>
      <c r="T64" s="23"/>
      <c r="U64" s="19"/>
      <c r="V64" s="128"/>
      <c r="W64" s="8" t="str">
        <f t="shared" si="4"/>
        <v/>
      </c>
      <c r="X64" s="54"/>
      <c r="Y64" s="56"/>
      <c r="AA64" s="2"/>
      <c r="AB64" s="2"/>
      <c r="AC64" s="132"/>
    </row>
    <row r="65" spans="1:29" ht="15.75">
      <c r="A65" s="29" t="s">
        <v>486</v>
      </c>
      <c r="B65" s="3" t="s">
        <v>118</v>
      </c>
      <c r="C65" s="9" t="s">
        <v>119</v>
      </c>
      <c r="D65" s="3" t="s">
        <v>468</v>
      </c>
      <c r="E65" s="3" t="str">
        <f t="shared" si="0"/>
        <v>Direct</v>
      </c>
      <c r="F65" s="10" t="s">
        <v>121</v>
      </c>
      <c r="G65" s="1">
        <v>2</v>
      </c>
      <c r="H65" s="27">
        <v>400</v>
      </c>
      <c r="I65" s="82"/>
      <c r="J65" s="116">
        <f t="shared" si="6"/>
        <v>1.6</v>
      </c>
      <c r="K65" s="117">
        <v>640</v>
      </c>
      <c r="L65" s="22"/>
      <c r="M65" s="22"/>
      <c r="N65" s="22"/>
      <c r="O65" s="22"/>
      <c r="P65" s="23"/>
      <c r="Q65" s="23">
        <f t="shared" si="2"/>
        <v>640</v>
      </c>
      <c r="R65" s="23">
        <f t="shared" si="3"/>
        <v>1.6</v>
      </c>
      <c r="S65" s="23"/>
      <c r="T65" s="23"/>
      <c r="U65" s="19"/>
      <c r="V65" s="128"/>
      <c r="W65" s="8" t="str">
        <f t="shared" si="4"/>
        <v/>
      </c>
      <c r="X65" s="54"/>
      <c r="Y65" s="56"/>
      <c r="AA65" s="2"/>
      <c r="AB65" s="2"/>
      <c r="AC65" s="132"/>
    </row>
    <row r="66" spans="1:29" ht="15.75">
      <c r="A66" s="29" t="s">
        <v>487</v>
      </c>
      <c r="B66" s="3" t="s">
        <v>89</v>
      </c>
      <c r="C66" s="3" t="s">
        <v>90</v>
      </c>
      <c r="D66" s="13" t="s">
        <v>30</v>
      </c>
      <c r="E66" s="3" t="str">
        <f t="shared" si="0"/>
        <v>Hiwa</v>
      </c>
      <c r="F66" s="3" t="s">
        <v>59</v>
      </c>
      <c r="G66" s="3">
        <f>4*128</f>
        <v>512</v>
      </c>
      <c r="H66" s="28">
        <f>G66*205</f>
        <v>104960</v>
      </c>
      <c r="I66" s="82"/>
      <c r="J66" s="116">
        <f t="shared" si="6"/>
        <v>0.59407774390243906</v>
      </c>
      <c r="K66" s="117">
        <v>62354.400000000001</v>
      </c>
      <c r="L66" s="22">
        <v>2950</v>
      </c>
      <c r="M66" s="22"/>
      <c r="N66" s="22">
        <v>600</v>
      </c>
      <c r="O66" s="22">
        <v>4862.6000000000004</v>
      </c>
      <c r="P66" s="23"/>
      <c r="Q66" s="23">
        <f t="shared" si="2"/>
        <v>70767</v>
      </c>
      <c r="R66" s="23">
        <f t="shared" si="3"/>
        <v>0.67422827743902436</v>
      </c>
      <c r="S66" s="23"/>
      <c r="T66" s="23"/>
      <c r="U66" s="19"/>
      <c r="V66" s="128"/>
      <c r="W66" s="8" t="str">
        <f t="shared" si="4"/>
        <v/>
      </c>
      <c r="X66" s="54"/>
      <c r="Y66" s="56" t="s">
        <v>488</v>
      </c>
      <c r="Z66" s="8">
        <v>45355</v>
      </c>
      <c r="AA66" s="2"/>
      <c r="AB66" s="2"/>
      <c r="AC66" s="132"/>
    </row>
    <row r="67" spans="1:29" s="98" customFormat="1" ht="15.75">
      <c r="A67" s="84"/>
      <c r="B67" s="85" t="s">
        <v>89</v>
      </c>
      <c r="C67" s="86" t="s">
        <v>90</v>
      </c>
      <c r="D67" s="87" t="s">
        <v>30</v>
      </c>
      <c r="E67" s="85" t="str">
        <f t="shared" si="0"/>
        <v>Hiwa</v>
      </c>
      <c r="F67" s="88" t="s">
        <v>59</v>
      </c>
      <c r="G67" s="89">
        <v>128</v>
      </c>
      <c r="H67" s="90">
        <f>+G67*205</f>
        <v>26240</v>
      </c>
      <c r="I67" s="91"/>
      <c r="J67" s="120">
        <v>0.67400000000000004</v>
      </c>
      <c r="K67" s="121">
        <f>+H67*J67</f>
        <v>17685.760000000002</v>
      </c>
      <c r="L67" s="94"/>
      <c r="M67" s="94">
        <v>1858</v>
      </c>
      <c r="N67" s="94"/>
      <c r="O67" s="94"/>
      <c r="P67" s="95">
        <f>(9*74.98)+74.98+74.98+74.98+74.98+74.98+74.98+74.98</f>
        <v>1199.68</v>
      </c>
      <c r="Q67" s="95">
        <f t="shared" si="2"/>
        <v>20743.440000000002</v>
      </c>
      <c r="R67" s="95">
        <f t="shared" si="3"/>
        <v>0.79052743902439038</v>
      </c>
      <c r="S67" s="95"/>
      <c r="T67" s="95"/>
      <c r="U67" s="96"/>
      <c r="V67" s="129"/>
      <c r="W67" s="98" t="str">
        <f t="shared" si="4"/>
        <v/>
      </c>
      <c r="X67" s="99"/>
      <c r="Y67" s="100"/>
      <c r="AA67" s="101"/>
      <c r="AB67" s="101"/>
      <c r="AC67" s="133"/>
    </row>
    <row r="68" spans="1:29" ht="15.75">
      <c r="A68" s="29" t="s">
        <v>489</v>
      </c>
      <c r="B68" s="3" t="s">
        <v>93</v>
      </c>
      <c r="C68" s="9" t="s">
        <v>90</v>
      </c>
      <c r="D68" s="3" t="s">
        <v>104</v>
      </c>
      <c r="E68" s="3" t="str">
        <f t="shared" ref="E68:E131" si="7">IF(B68="","",IF(D68="Godfroy","Godfroy",(IF(LEFT(B68,1)="1","Hiwa","Direct"))))</f>
        <v>Direct</v>
      </c>
      <c r="F68" s="3" t="s">
        <v>59</v>
      </c>
      <c r="G68" s="3">
        <f>6*128</f>
        <v>768</v>
      </c>
      <c r="H68" s="28">
        <f>G68*205</f>
        <v>157440</v>
      </c>
      <c r="I68" s="82"/>
      <c r="J68" s="116">
        <f t="shared" ref="J68:J110" si="8">+K68/H68</f>
        <v>0.5989964430894309</v>
      </c>
      <c r="K68" s="117">
        <v>94306</v>
      </c>
      <c r="L68" s="22">
        <v>4388</v>
      </c>
      <c r="M68" s="22"/>
      <c r="N68" s="22"/>
      <c r="O68" s="22"/>
      <c r="P68" s="23"/>
      <c r="Q68" s="23">
        <f t="shared" ref="Q68:Q131" si="9">K68+SUM(L68:P68)</f>
        <v>98694</v>
      </c>
      <c r="R68" s="23">
        <f t="shared" ref="R68:R131" si="10">IF(J68="","",+Q68/H68)</f>
        <v>0.62686737804878045</v>
      </c>
      <c r="S68" s="23"/>
      <c r="T68" s="23"/>
      <c r="U68" s="19"/>
      <c r="V68" s="128"/>
      <c r="W68" s="8" t="str">
        <f t="shared" ref="W68:W131" si="11">IF(V68&gt;0,(((H68/G68)*V68)*R68),"")</f>
        <v/>
      </c>
      <c r="X68" s="54"/>
      <c r="Y68" s="56"/>
      <c r="AA68" s="2"/>
      <c r="AB68" s="2"/>
      <c r="AC68" s="132"/>
    </row>
    <row r="69" spans="1:29" ht="15.75">
      <c r="A69" s="29" t="s">
        <v>490</v>
      </c>
      <c r="B69" s="3" t="s">
        <v>89</v>
      </c>
      <c r="C69" s="9" t="s">
        <v>90</v>
      </c>
      <c r="D69" s="3" t="s">
        <v>30</v>
      </c>
      <c r="E69" s="3" t="str">
        <f t="shared" si="7"/>
        <v>Hiwa</v>
      </c>
      <c r="F69" s="3" t="s">
        <v>59</v>
      </c>
      <c r="G69" s="3">
        <f>2*128</f>
        <v>256</v>
      </c>
      <c r="H69" s="28">
        <f>G69*205</f>
        <v>52480</v>
      </c>
      <c r="I69" s="82"/>
      <c r="J69" s="116">
        <f t="shared" si="8"/>
        <v>0.59435365853658539</v>
      </c>
      <c r="K69" s="117">
        <v>31191.68</v>
      </c>
      <c r="L69" s="106">
        <v>1463</v>
      </c>
      <c r="M69" s="22">
        <v>3718</v>
      </c>
      <c r="N69" s="22"/>
      <c r="O69" s="22">
        <v>2411.3000000000002</v>
      </c>
      <c r="P69" s="23"/>
      <c r="Q69" s="23">
        <f t="shared" si="9"/>
        <v>38783.980000000003</v>
      </c>
      <c r="R69" s="23">
        <f t="shared" si="10"/>
        <v>0.73902400914634148</v>
      </c>
      <c r="S69" s="23"/>
      <c r="T69" s="23"/>
      <c r="U69" s="19"/>
      <c r="V69" s="128"/>
      <c r="W69" s="8" t="str">
        <f t="shared" si="11"/>
        <v/>
      </c>
      <c r="X69" s="54"/>
      <c r="Y69" s="56" t="s">
        <v>491</v>
      </c>
      <c r="Z69" s="8">
        <v>45365</v>
      </c>
      <c r="AA69" s="2"/>
      <c r="AB69" s="2"/>
      <c r="AC69" s="132"/>
    </row>
    <row r="70" spans="1:29" ht="15.75">
      <c r="A70" s="29" t="s">
        <v>492</v>
      </c>
      <c r="B70" s="3" t="s">
        <v>93</v>
      </c>
      <c r="C70" s="3" t="s">
        <v>90</v>
      </c>
      <c r="D70" s="3" t="s">
        <v>104</v>
      </c>
      <c r="E70" s="3" t="str">
        <f t="shared" si="7"/>
        <v>Direct</v>
      </c>
      <c r="F70" s="3" t="s">
        <v>59</v>
      </c>
      <c r="G70" s="3">
        <f>6*128</f>
        <v>768</v>
      </c>
      <c r="H70" s="28">
        <f>G70*205</f>
        <v>157440</v>
      </c>
      <c r="I70" s="82"/>
      <c r="J70" s="116">
        <f t="shared" si="8"/>
        <v>0.59534800558943091</v>
      </c>
      <c r="K70" s="117">
        <v>93731.59</v>
      </c>
      <c r="L70" s="22">
        <v>4368</v>
      </c>
      <c r="M70" s="22"/>
      <c r="N70" s="22"/>
      <c r="O70" s="22"/>
      <c r="P70" s="23"/>
      <c r="Q70" s="23">
        <f t="shared" si="9"/>
        <v>98099.59</v>
      </c>
      <c r="R70" s="23">
        <f t="shared" si="10"/>
        <v>0.62309190802845527</v>
      </c>
      <c r="S70" s="23"/>
      <c r="T70" s="23"/>
      <c r="U70" s="19"/>
      <c r="V70" s="128"/>
      <c r="W70" s="8" t="str">
        <f t="shared" si="11"/>
        <v/>
      </c>
      <c r="X70" s="54"/>
      <c r="Y70" s="56"/>
      <c r="AA70" s="2"/>
      <c r="AB70" s="2"/>
      <c r="AC70" s="132"/>
    </row>
    <row r="71" spans="1:29" ht="15.75">
      <c r="A71" s="29" t="s">
        <v>493</v>
      </c>
      <c r="B71" s="3" t="s">
        <v>89</v>
      </c>
      <c r="C71" s="3" t="s">
        <v>90</v>
      </c>
      <c r="D71" s="3" t="s">
        <v>30</v>
      </c>
      <c r="E71" s="3" t="str">
        <f t="shared" si="7"/>
        <v>Hiwa</v>
      </c>
      <c r="F71" s="3" t="s">
        <v>59</v>
      </c>
      <c r="G71" s="3">
        <f>2*128</f>
        <v>256</v>
      </c>
      <c r="H71" s="28">
        <f>G71*205</f>
        <v>52480</v>
      </c>
      <c r="I71" s="82"/>
      <c r="J71" s="116">
        <f t="shared" si="8"/>
        <v>0.59073285060975611</v>
      </c>
      <c r="K71" s="117">
        <v>31001.66</v>
      </c>
      <c r="L71" s="22">
        <v>1456</v>
      </c>
      <c r="M71" s="22">
        <v>3718</v>
      </c>
      <c r="N71" s="22">
        <v>300</v>
      </c>
      <c r="O71" s="22">
        <v>2631.3</v>
      </c>
      <c r="P71" s="23"/>
      <c r="Q71" s="23">
        <f t="shared" si="9"/>
        <v>39106.959999999999</v>
      </c>
      <c r="R71" s="23">
        <f t="shared" si="10"/>
        <v>0.74517835365853657</v>
      </c>
      <c r="S71" s="23"/>
      <c r="T71" s="23"/>
      <c r="U71" s="19"/>
      <c r="V71" s="128"/>
      <c r="W71" s="8" t="str">
        <f t="shared" si="11"/>
        <v/>
      </c>
      <c r="X71" s="54"/>
      <c r="Y71" s="56" t="s">
        <v>494</v>
      </c>
      <c r="Z71" s="8">
        <v>45371</v>
      </c>
      <c r="AA71" s="2"/>
      <c r="AB71" s="2"/>
      <c r="AC71" s="132"/>
    </row>
    <row r="72" spans="1:29" ht="15.75">
      <c r="A72" s="29" t="s">
        <v>495</v>
      </c>
      <c r="B72" s="3" t="s">
        <v>442</v>
      </c>
      <c r="C72" s="3" t="s">
        <v>119</v>
      </c>
      <c r="D72" s="3" t="s">
        <v>478</v>
      </c>
      <c r="E72" s="3" t="str">
        <f t="shared" si="7"/>
        <v>Direct</v>
      </c>
      <c r="F72" s="3"/>
      <c r="G72" s="3">
        <v>8</v>
      </c>
      <c r="H72" s="28">
        <v>1600</v>
      </c>
      <c r="I72" s="82"/>
      <c r="J72" s="116"/>
      <c r="K72" s="117"/>
      <c r="L72" s="22"/>
      <c r="M72" s="22"/>
      <c r="N72" s="22"/>
      <c r="O72" s="22"/>
      <c r="P72" s="23"/>
      <c r="Q72" s="23"/>
      <c r="R72" s="23" t="str">
        <f t="shared" si="10"/>
        <v/>
      </c>
      <c r="S72" s="23"/>
      <c r="T72" s="23"/>
      <c r="U72" s="19"/>
      <c r="V72" s="128"/>
      <c r="W72" s="8" t="str">
        <f t="shared" si="11"/>
        <v/>
      </c>
      <c r="X72" s="54"/>
      <c r="Y72" s="56"/>
      <c r="AA72" s="2"/>
      <c r="AB72" s="2"/>
      <c r="AC72" s="132"/>
    </row>
    <row r="73" spans="1:29" ht="15.75">
      <c r="A73" s="29" t="s">
        <v>496</v>
      </c>
      <c r="B73" s="3" t="s">
        <v>175</v>
      </c>
      <c r="C73" s="9" t="s">
        <v>176</v>
      </c>
      <c r="D73" s="3" t="s">
        <v>177</v>
      </c>
      <c r="E73" s="3" t="str">
        <f t="shared" si="7"/>
        <v>Direct</v>
      </c>
      <c r="F73" s="10" t="s">
        <v>128</v>
      </c>
      <c r="G73" s="14">
        <v>6</v>
      </c>
      <c r="H73" s="81">
        <v>144</v>
      </c>
      <c r="I73" s="82"/>
      <c r="J73" s="116">
        <f t="shared" si="8"/>
        <v>2.2000000000000002</v>
      </c>
      <c r="K73" s="117">
        <v>316.8</v>
      </c>
      <c r="L73" s="22">
        <v>123.53</v>
      </c>
      <c r="M73" s="22"/>
      <c r="N73" s="22"/>
      <c r="O73" s="22"/>
      <c r="P73" s="23"/>
      <c r="Q73" s="23">
        <f t="shared" si="9"/>
        <v>440.33000000000004</v>
      </c>
      <c r="R73" s="23">
        <f t="shared" si="10"/>
        <v>3.0578472222222226</v>
      </c>
      <c r="S73" s="23"/>
      <c r="T73" s="23"/>
      <c r="U73" s="19"/>
      <c r="V73" s="128"/>
      <c r="W73" s="8" t="str">
        <f t="shared" si="11"/>
        <v/>
      </c>
      <c r="X73" s="54"/>
      <c r="Y73" s="56"/>
      <c r="AA73" s="2"/>
      <c r="AB73" s="2"/>
      <c r="AC73" s="132"/>
    </row>
    <row r="74" spans="1:29" ht="15.75">
      <c r="A74" s="29" t="s">
        <v>497</v>
      </c>
      <c r="B74" s="3" t="s">
        <v>498</v>
      </c>
      <c r="C74" s="3" t="s">
        <v>176</v>
      </c>
      <c r="D74" s="13" t="s">
        <v>177</v>
      </c>
      <c r="E74" s="3" t="str">
        <f t="shared" si="7"/>
        <v>Direct</v>
      </c>
      <c r="F74" s="3" t="s">
        <v>128</v>
      </c>
      <c r="G74" s="65">
        <v>120</v>
      </c>
      <c r="H74" s="53">
        <v>120</v>
      </c>
      <c r="I74" s="82"/>
      <c r="J74" s="116">
        <f t="shared" si="8"/>
        <v>3.2</v>
      </c>
      <c r="K74" s="117">
        <v>384</v>
      </c>
      <c r="L74" s="22">
        <v>102.94</v>
      </c>
      <c r="M74" s="22"/>
      <c r="N74" s="22"/>
      <c r="O74" s="22"/>
      <c r="P74" s="23"/>
      <c r="Q74" s="23">
        <f t="shared" si="9"/>
        <v>486.94</v>
      </c>
      <c r="R74" s="23">
        <f t="shared" si="10"/>
        <v>4.057833333333333</v>
      </c>
      <c r="S74" s="23"/>
      <c r="T74" s="23"/>
      <c r="U74" s="19"/>
      <c r="V74" s="128"/>
      <c r="W74" s="8" t="str">
        <f t="shared" si="11"/>
        <v/>
      </c>
      <c r="X74" s="54"/>
      <c r="Y74" s="56"/>
      <c r="AA74" s="2"/>
      <c r="AB74" s="2"/>
      <c r="AC74" s="132"/>
    </row>
    <row r="75" spans="1:29" ht="15.75">
      <c r="A75" s="29" t="s">
        <v>499</v>
      </c>
      <c r="B75" s="3" t="s">
        <v>500</v>
      </c>
      <c r="C75" s="3" t="s">
        <v>176</v>
      </c>
      <c r="D75" s="13" t="s">
        <v>177</v>
      </c>
      <c r="E75" s="3" t="str">
        <f t="shared" si="7"/>
        <v>Direct</v>
      </c>
      <c r="F75" s="3" t="s">
        <v>128</v>
      </c>
      <c r="G75" s="65">
        <v>96</v>
      </c>
      <c r="H75" s="53">
        <v>96</v>
      </c>
      <c r="I75" s="82"/>
      <c r="J75" s="116">
        <f t="shared" si="8"/>
        <v>2.3000000000000003</v>
      </c>
      <c r="K75" s="117">
        <v>220.8</v>
      </c>
      <c r="L75" s="22">
        <v>82.35</v>
      </c>
      <c r="M75" s="22"/>
      <c r="N75" s="22"/>
      <c r="O75" s="22"/>
      <c r="P75" s="23"/>
      <c r="Q75" s="23">
        <f t="shared" si="9"/>
        <v>303.14999999999998</v>
      </c>
      <c r="R75" s="23">
        <f t="shared" si="10"/>
        <v>3.1578124999999999</v>
      </c>
      <c r="S75" s="23"/>
      <c r="T75" s="23"/>
      <c r="U75" s="19"/>
      <c r="V75" s="128"/>
      <c r="W75" s="8" t="str">
        <f t="shared" si="11"/>
        <v/>
      </c>
      <c r="X75" s="54"/>
      <c r="Y75" s="56"/>
      <c r="AA75" s="2"/>
      <c r="AB75" s="2"/>
      <c r="AC75" s="132"/>
    </row>
    <row r="76" spans="1:29" ht="15.75">
      <c r="A76" s="29" t="s">
        <v>501</v>
      </c>
      <c r="B76" s="3" t="s">
        <v>502</v>
      </c>
      <c r="C76" s="9" t="s">
        <v>176</v>
      </c>
      <c r="D76" s="3" t="s">
        <v>177</v>
      </c>
      <c r="E76" s="3" t="str">
        <f t="shared" si="7"/>
        <v>Direct</v>
      </c>
      <c r="F76" s="10" t="s">
        <v>128</v>
      </c>
      <c r="G76" s="1">
        <v>2</v>
      </c>
      <c r="H76" s="27">
        <v>48</v>
      </c>
      <c r="I76" s="82"/>
      <c r="J76" s="116">
        <f t="shared" si="8"/>
        <v>1.8</v>
      </c>
      <c r="K76" s="117">
        <v>86.4</v>
      </c>
      <c r="L76" s="22">
        <v>41.18</v>
      </c>
      <c r="M76" s="22"/>
      <c r="N76" s="22"/>
      <c r="O76" s="22"/>
      <c r="P76" s="23"/>
      <c r="Q76" s="23">
        <f t="shared" si="9"/>
        <v>127.58000000000001</v>
      </c>
      <c r="R76" s="23">
        <f t="shared" si="10"/>
        <v>2.6579166666666669</v>
      </c>
      <c r="S76" s="23"/>
      <c r="T76" s="23"/>
      <c r="U76" s="19"/>
      <c r="V76" s="128"/>
      <c r="W76" s="8" t="str">
        <f t="shared" si="11"/>
        <v/>
      </c>
      <c r="X76" s="54"/>
      <c r="Y76" s="56"/>
      <c r="AA76" s="2"/>
      <c r="AB76" s="2"/>
      <c r="AC76" s="132"/>
    </row>
    <row r="77" spans="1:29" ht="15.75">
      <c r="A77" s="29" t="s">
        <v>503</v>
      </c>
      <c r="B77" s="3" t="s">
        <v>143</v>
      </c>
      <c r="C77" s="3" t="s">
        <v>119</v>
      </c>
      <c r="D77" s="3" t="s">
        <v>411</v>
      </c>
      <c r="E77" s="3" t="str">
        <f t="shared" si="7"/>
        <v>Direct</v>
      </c>
      <c r="F77" s="3" t="s">
        <v>121</v>
      </c>
      <c r="G77" s="3">
        <v>110</v>
      </c>
      <c r="H77" s="28">
        <v>1100</v>
      </c>
      <c r="I77" s="82"/>
      <c r="J77" s="116">
        <f t="shared" si="8"/>
        <v>1.085</v>
      </c>
      <c r="K77" s="117">
        <v>1193.5</v>
      </c>
      <c r="L77" s="22"/>
      <c r="M77" s="22"/>
      <c r="N77" s="22"/>
      <c r="O77" s="22"/>
      <c r="P77" s="23"/>
      <c r="Q77" s="23">
        <f t="shared" si="9"/>
        <v>1193.5</v>
      </c>
      <c r="R77" s="23">
        <f t="shared" si="10"/>
        <v>1.085</v>
      </c>
      <c r="S77" s="23"/>
      <c r="T77" s="23"/>
      <c r="U77" s="19"/>
      <c r="V77" s="128"/>
      <c r="W77" s="8" t="str">
        <f t="shared" si="11"/>
        <v/>
      </c>
      <c r="X77" s="54"/>
      <c r="Y77" s="56"/>
      <c r="AA77" s="2"/>
      <c r="AB77" s="2"/>
      <c r="AC77" s="132"/>
    </row>
    <row r="78" spans="1:29" ht="15.75">
      <c r="A78" s="29" t="s">
        <v>504</v>
      </c>
      <c r="B78" s="3" t="s">
        <v>505</v>
      </c>
      <c r="C78" s="3"/>
      <c r="D78" s="3" t="s">
        <v>104</v>
      </c>
      <c r="E78" s="3" t="str">
        <f t="shared" si="7"/>
        <v>Direct</v>
      </c>
      <c r="F78" s="3"/>
      <c r="G78" s="3"/>
      <c r="H78" s="28"/>
      <c r="I78" s="82"/>
      <c r="J78" s="116"/>
      <c r="K78" s="117"/>
      <c r="L78" s="22"/>
      <c r="M78" s="22"/>
      <c r="N78" s="22"/>
      <c r="O78" s="22"/>
      <c r="P78" s="23"/>
      <c r="Q78" s="23"/>
      <c r="R78" s="23" t="str">
        <f t="shared" si="10"/>
        <v/>
      </c>
      <c r="S78" s="23"/>
      <c r="T78" s="23"/>
      <c r="U78" s="19"/>
      <c r="V78" s="128"/>
      <c r="W78" s="8" t="str">
        <f t="shared" si="11"/>
        <v/>
      </c>
      <c r="X78" s="54"/>
      <c r="Y78" s="56"/>
      <c r="AA78" s="2"/>
      <c r="AB78" s="2"/>
      <c r="AC78" s="132"/>
    </row>
    <row r="79" spans="1:29" ht="15.75">
      <c r="A79" s="29" t="s">
        <v>506</v>
      </c>
      <c r="B79" s="3" t="s">
        <v>93</v>
      </c>
      <c r="C79" s="9" t="s">
        <v>90</v>
      </c>
      <c r="D79" s="13" t="s">
        <v>30</v>
      </c>
      <c r="E79" s="3" t="str">
        <f t="shared" si="7"/>
        <v>Direct</v>
      </c>
      <c r="F79" s="3" t="s">
        <v>59</v>
      </c>
      <c r="G79" s="1">
        <f>7*128</f>
        <v>896</v>
      </c>
      <c r="H79" s="27">
        <f>+G79*205</f>
        <v>183680</v>
      </c>
      <c r="I79" s="82"/>
      <c r="J79" s="116">
        <f t="shared" si="8"/>
        <v>0.58543722778745644</v>
      </c>
      <c r="K79" s="122">
        <v>107533.11</v>
      </c>
      <c r="L79" s="22">
        <v>5066</v>
      </c>
      <c r="M79" s="22"/>
      <c r="N79" s="22"/>
      <c r="O79" s="22"/>
      <c r="P79" s="23"/>
      <c r="Q79" s="23">
        <f t="shared" si="9"/>
        <v>112599.11</v>
      </c>
      <c r="R79" s="23">
        <f t="shared" si="10"/>
        <v>0.61301780270034845</v>
      </c>
      <c r="S79" s="23"/>
      <c r="T79" s="23"/>
      <c r="U79" s="19"/>
      <c r="V79" s="128"/>
      <c r="W79" s="8" t="str">
        <f t="shared" si="11"/>
        <v/>
      </c>
      <c r="X79" s="54"/>
      <c r="Y79" s="56"/>
      <c r="AA79" s="2"/>
      <c r="AB79" s="2"/>
      <c r="AC79" s="132"/>
    </row>
    <row r="80" spans="1:29" ht="15.75">
      <c r="A80" s="29" t="s">
        <v>507</v>
      </c>
      <c r="B80" s="3" t="s">
        <v>89</v>
      </c>
      <c r="C80" s="9" t="s">
        <v>90</v>
      </c>
      <c r="D80" s="3" t="s">
        <v>30</v>
      </c>
      <c r="E80" s="3" t="str">
        <f t="shared" si="7"/>
        <v>Hiwa</v>
      </c>
      <c r="F80" s="10" t="s">
        <v>59</v>
      </c>
      <c r="G80" s="1">
        <f>4*128</f>
        <v>512</v>
      </c>
      <c r="H80" s="27">
        <f>4*26240</f>
        <v>104960</v>
      </c>
      <c r="I80" s="82"/>
      <c r="J80" s="116">
        <f t="shared" si="8"/>
        <v>0.59171598704268291</v>
      </c>
      <c r="K80" s="123">
        <v>62106.51</v>
      </c>
      <c r="L80" s="22"/>
      <c r="M80" s="22">
        <v>7677</v>
      </c>
      <c r="N80" s="22">
        <v>600</v>
      </c>
      <c r="O80" s="22">
        <f>5462-600</f>
        <v>4862</v>
      </c>
      <c r="P80" s="23"/>
      <c r="Q80" s="23">
        <f t="shared" si="9"/>
        <v>75245.510000000009</v>
      </c>
      <c r="R80" s="23">
        <f t="shared" si="10"/>
        <v>0.71689700838414638</v>
      </c>
      <c r="S80" s="23"/>
      <c r="T80" s="23"/>
      <c r="U80" s="19"/>
      <c r="V80" s="128"/>
      <c r="W80" s="8" t="str">
        <f t="shared" si="11"/>
        <v/>
      </c>
      <c r="X80" s="80"/>
      <c r="Y80" s="72" t="s">
        <v>508</v>
      </c>
      <c r="Z80" s="8">
        <v>45397</v>
      </c>
      <c r="AA80" s="2"/>
      <c r="AB80" s="2"/>
      <c r="AC80" s="132"/>
    </row>
    <row r="81" spans="1:29" ht="15.75">
      <c r="A81" s="29" t="s">
        <v>509</v>
      </c>
      <c r="B81" s="3" t="s">
        <v>93</v>
      </c>
      <c r="C81" s="9" t="s">
        <v>90</v>
      </c>
      <c r="D81" s="3" t="s">
        <v>112</v>
      </c>
      <c r="E81" s="3" t="str">
        <f t="shared" si="7"/>
        <v>Direct</v>
      </c>
      <c r="F81" s="10" t="s">
        <v>59</v>
      </c>
      <c r="G81" s="1">
        <v>112</v>
      </c>
      <c r="H81" s="27">
        <v>22960</v>
      </c>
      <c r="I81" s="82"/>
      <c r="J81" s="116">
        <f t="shared" si="8"/>
        <v>0.61745339721254355</v>
      </c>
      <c r="K81" s="122">
        <v>14176.73</v>
      </c>
      <c r="L81" s="17">
        <v>724</v>
      </c>
      <c r="M81" s="22"/>
      <c r="N81" s="22"/>
      <c r="O81" s="22"/>
      <c r="P81" s="22"/>
      <c r="Q81" s="23">
        <f t="shared" si="9"/>
        <v>14900.73</v>
      </c>
      <c r="R81" s="23">
        <f t="shared" si="10"/>
        <v>0.64898649825783972</v>
      </c>
      <c r="S81" s="23"/>
      <c r="T81" s="23"/>
      <c r="U81" s="19"/>
      <c r="V81" s="128"/>
      <c r="W81" s="8" t="str">
        <f t="shared" si="11"/>
        <v/>
      </c>
      <c r="X81" s="80"/>
      <c r="Y81" s="72"/>
      <c r="AA81" s="2"/>
      <c r="AB81" s="2"/>
      <c r="AC81" s="132"/>
    </row>
    <row r="82" spans="1:29" ht="15.75">
      <c r="A82" s="29" t="s">
        <v>510</v>
      </c>
      <c r="B82" s="3" t="s">
        <v>93</v>
      </c>
      <c r="C82" s="3" t="s">
        <v>90</v>
      </c>
      <c r="D82" s="3" t="s">
        <v>112</v>
      </c>
      <c r="E82" s="3" t="str">
        <f t="shared" si="7"/>
        <v>Direct</v>
      </c>
      <c r="F82" s="3" t="s">
        <v>59</v>
      </c>
      <c r="G82" s="3">
        <v>112</v>
      </c>
      <c r="H82" s="28">
        <v>22960</v>
      </c>
      <c r="I82" s="82"/>
      <c r="J82" s="116">
        <f t="shared" si="8"/>
        <v>0.62436411149825788</v>
      </c>
      <c r="K82" s="123">
        <v>14335.4</v>
      </c>
      <c r="L82" s="22">
        <v>741.58</v>
      </c>
      <c r="M82" s="22"/>
      <c r="N82" s="22"/>
      <c r="O82" s="22"/>
      <c r="P82" s="23"/>
      <c r="Q82" s="23">
        <f t="shared" si="9"/>
        <v>15076.98</v>
      </c>
      <c r="R82" s="23">
        <f t="shared" si="10"/>
        <v>0.65666289198606265</v>
      </c>
      <c r="S82" s="23"/>
      <c r="T82" s="23"/>
      <c r="U82" s="19"/>
      <c r="V82" s="128"/>
      <c r="W82" s="8" t="str">
        <f t="shared" si="11"/>
        <v/>
      </c>
      <c r="X82" s="80"/>
      <c r="Y82" s="56"/>
      <c r="AA82" s="2"/>
      <c r="AB82" s="2"/>
      <c r="AC82" s="132"/>
    </row>
    <row r="83" spans="1:29" ht="15.75">
      <c r="A83" s="29" t="s">
        <v>511</v>
      </c>
      <c r="B83" s="3" t="s">
        <v>93</v>
      </c>
      <c r="C83" s="3" t="s">
        <v>90</v>
      </c>
      <c r="D83" s="3" t="s">
        <v>112</v>
      </c>
      <c r="E83" s="3" t="str">
        <f t="shared" si="7"/>
        <v>Direct</v>
      </c>
      <c r="F83" s="3" t="s">
        <v>59</v>
      </c>
      <c r="G83" s="3">
        <v>112</v>
      </c>
      <c r="H83" s="28">
        <v>22960</v>
      </c>
      <c r="I83" s="82"/>
      <c r="J83" s="116">
        <f t="shared" si="8"/>
        <v>0.62621951219512195</v>
      </c>
      <c r="K83" s="122">
        <v>14378</v>
      </c>
      <c r="L83" s="22">
        <v>729</v>
      </c>
      <c r="M83" s="22"/>
      <c r="N83" s="22"/>
      <c r="O83" s="22"/>
      <c r="P83" s="23"/>
      <c r="Q83" s="23">
        <f t="shared" si="9"/>
        <v>15107</v>
      </c>
      <c r="R83" s="23">
        <f t="shared" si="10"/>
        <v>0.65797038327526136</v>
      </c>
      <c r="S83" s="23"/>
      <c r="T83" s="23"/>
      <c r="U83" s="19"/>
      <c r="V83" s="128"/>
      <c r="W83" s="8" t="str">
        <f t="shared" si="11"/>
        <v/>
      </c>
      <c r="X83" s="54"/>
      <c r="Y83" s="56"/>
      <c r="AA83" s="2"/>
      <c r="AB83" s="2"/>
      <c r="AC83" s="132"/>
    </row>
    <row r="84" spans="1:29" ht="15.75">
      <c r="A84" s="29" t="s">
        <v>512</v>
      </c>
      <c r="B84" s="3" t="s">
        <v>143</v>
      </c>
      <c r="C84" s="3" t="s">
        <v>119</v>
      </c>
      <c r="D84" s="3" t="s">
        <v>411</v>
      </c>
      <c r="E84" s="3" t="str">
        <f t="shared" si="7"/>
        <v>Direct</v>
      </c>
      <c r="F84" s="3" t="s">
        <v>121</v>
      </c>
      <c r="G84" s="3">
        <v>110</v>
      </c>
      <c r="H84" s="28">
        <v>1100</v>
      </c>
      <c r="I84" s="82"/>
      <c r="J84" s="116">
        <f t="shared" si="8"/>
        <v>1.085</v>
      </c>
      <c r="K84" s="122">
        <v>1193.5</v>
      </c>
      <c r="L84" s="22"/>
      <c r="M84" s="22"/>
      <c r="N84" s="22"/>
      <c r="O84" s="22"/>
      <c r="P84" s="23"/>
      <c r="Q84" s="23">
        <f t="shared" si="9"/>
        <v>1193.5</v>
      </c>
      <c r="R84" s="23">
        <f t="shared" si="10"/>
        <v>1.085</v>
      </c>
      <c r="S84" s="23"/>
      <c r="T84" s="23"/>
      <c r="U84" s="19"/>
      <c r="V84" s="128"/>
      <c r="W84" s="8" t="str">
        <f t="shared" si="11"/>
        <v/>
      </c>
      <c r="X84" s="54"/>
      <c r="Y84" s="56"/>
      <c r="AA84" s="2"/>
      <c r="AB84" s="2"/>
      <c r="AC84" s="132"/>
    </row>
    <row r="85" spans="1:29" ht="15.75">
      <c r="A85" s="29" t="s">
        <v>513</v>
      </c>
      <c r="B85" s="3" t="s">
        <v>125</v>
      </c>
      <c r="C85" s="9" t="s">
        <v>126</v>
      </c>
      <c r="D85" s="3" t="s">
        <v>465</v>
      </c>
      <c r="E85" s="3" t="str">
        <f t="shared" si="7"/>
        <v>Direct</v>
      </c>
      <c r="F85" s="10" t="s">
        <v>128</v>
      </c>
      <c r="G85" s="1">
        <v>4</v>
      </c>
      <c r="H85" s="27">
        <v>880</v>
      </c>
      <c r="I85" s="82"/>
      <c r="J85" s="116">
        <f t="shared" si="8"/>
        <v>0.82000000000000006</v>
      </c>
      <c r="K85" s="117">
        <v>721.6</v>
      </c>
      <c r="L85" s="22"/>
      <c r="M85" s="22"/>
      <c r="N85" s="22"/>
      <c r="O85" s="22"/>
      <c r="P85" s="23"/>
      <c r="Q85" s="23">
        <f t="shared" si="9"/>
        <v>721.6</v>
      </c>
      <c r="R85" s="23">
        <f t="shared" si="10"/>
        <v>0.82000000000000006</v>
      </c>
      <c r="S85" s="23"/>
      <c r="T85" s="23"/>
      <c r="U85" s="19"/>
      <c r="V85" s="128"/>
      <c r="W85" s="8" t="str">
        <f t="shared" si="11"/>
        <v/>
      </c>
      <c r="X85" s="54"/>
      <c r="Y85" s="56"/>
      <c r="AA85" s="2"/>
      <c r="AB85" s="2"/>
      <c r="AC85" s="132"/>
    </row>
    <row r="86" spans="1:29" ht="15.75">
      <c r="A86" s="29" t="s">
        <v>514</v>
      </c>
      <c r="B86" s="3" t="s">
        <v>515</v>
      </c>
      <c r="C86" s="9" t="s">
        <v>34</v>
      </c>
      <c r="D86" s="3" t="s">
        <v>459</v>
      </c>
      <c r="E86" s="3" t="str">
        <f t="shared" si="7"/>
        <v>Direct</v>
      </c>
      <c r="F86" s="10" t="s">
        <v>128</v>
      </c>
      <c r="G86" s="1">
        <v>24</v>
      </c>
      <c r="H86" s="27">
        <f>G86*25</f>
        <v>600</v>
      </c>
      <c r="I86" s="82"/>
      <c r="J86" s="116">
        <f t="shared" si="8"/>
        <v>5.44</v>
      </c>
      <c r="K86" s="117">
        <v>3264</v>
      </c>
      <c r="L86" s="22"/>
      <c r="M86" s="22"/>
      <c r="N86" s="22"/>
      <c r="O86" s="22"/>
      <c r="P86" s="23"/>
      <c r="Q86" s="23">
        <f t="shared" si="9"/>
        <v>3264</v>
      </c>
      <c r="R86" s="23">
        <f t="shared" si="10"/>
        <v>5.44</v>
      </c>
      <c r="S86" s="23"/>
      <c r="T86" s="23"/>
      <c r="U86" s="19"/>
      <c r="V86" s="128"/>
      <c r="W86" s="8" t="str">
        <f t="shared" si="11"/>
        <v/>
      </c>
      <c r="X86" s="54"/>
      <c r="Y86" s="56"/>
      <c r="AA86" s="2"/>
      <c r="AB86" s="2"/>
      <c r="AC86" s="132"/>
    </row>
    <row r="87" spans="1:29" ht="15.75">
      <c r="A87" s="29" t="s">
        <v>516</v>
      </c>
      <c r="B87" s="3" t="s">
        <v>106</v>
      </c>
      <c r="C87" s="9" t="s">
        <v>62</v>
      </c>
      <c r="D87" s="3" t="s">
        <v>104</v>
      </c>
      <c r="E87" s="3" t="str">
        <f t="shared" si="7"/>
        <v>Direct</v>
      </c>
      <c r="F87" s="10" t="s">
        <v>31</v>
      </c>
      <c r="G87" s="1">
        <f>7*112</f>
        <v>784</v>
      </c>
      <c r="H87" s="27">
        <f>G87*210</f>
        <v>164640</v>
      </c>
      <c r="I87" s="82"/>
      <c r="J87" s="116">
        <f t="shared" si="8"/>
        <v>1.2650000000000001</v>
      </c>
      <c r="K87" s="117">
        <v>208269.6</v>
      </c>
      <c r="L87" s="22"/>
      <c r="M87" s="22">
        <v>470.05</v>
      </c>
      <c r="N87" s="22"/>
      <c r="O87" s="22"/>
      <c r="P87" s="23"/>
      <c r="Q87" s="23">
        <f t="shared" si="9"/>
        <v>208739.65</v>
      </c>
      <c r="R87" s="23">
        <f t="shared" si="10"/>
        <v>1.2678550170068026</v>
      </c>
      <c r="S87" s="23"/>
      <c r="T87" s="23"/>
      <c r="U87" s="19"/>
      <c r="V87" s="128"/>
      <c r="W87" s="8" t="str">
        <f t="shared" si="11"/>
        <v/>
      </c>
      <c r="X87" s="54"/>
      <c r="Y87" s="56"/>
      <c r="AA87" s="2"/>
      <c r="AB87" s="2"/>
      <c r="AC87" s="132"/>
    </row>
    <row r="88" spans="1:29" ht="15.75">
      <c r="A88" s="29" t="s">
        <v>50</v>
      </c>
      <c r="B88" s="3" t="s">
        <v>51</v>
      </c>
      <c r="C88" s="3" t="s">
        <v>52</v>
      </c>
      <c r="D88" s="3" t="s">
        <v>30</v>
      </c>
      <c r="E88" s="3" t="str">
        <f t="shared" si="7"/>
        <v>Hiwa</v>
      </c>
      <c r="F88" s="3" t="s">
        <v>46</v>
      </c>
      <c r="G88" s="3">
        <v>80</v>
      </c>
      <c r="H88" s="28">
        <v>16800</v>
      </c>
      <c r="I88" s="82"/>
      <c r="J88" s="116">
        <f t="shared" si="8"/>
        <v>3.6330973830973825</v>
      </c>
      <c r="K88" s="117">
        <f>65040/1.0656</f>
        <v>61036.036036036028</v>
      </c>
      <c r="L88" s="22"/>
      <c r="M88" s="22">
        <v>94.01</v>
      </c>
      <c r="N88" s="22">
        <v>275</v>
      </c>
      <c r="O88" s="22">
        <v>1224</v>
      </c>
      <c r="P88" s="23">
        <f>(4*89.88)+89.88+89.88+67.41+67.41+67.41+67.41+50.56+22.47+22.47+22.47</f>
        <v>926.88999999999987</v>
      </c>
      <c r="Q88" s="23">
        <f t="shared" si="9"/>
        <v>63555.93603603603</v>
      </c>
      <c r="R88" s="23">
        <f t="shared" si="10"/>
        <v>3.7830914307164303</v>
      </c>
      <c r="S88" s="23"/>
      <c r="T88" s="23">
        <v>16</v>
      </c>
      <c r="U88" s="19">
        <v>16</v>
      </c>
      <c r="V88" s="128">
        <v>16</v>
      </c>
      <c r="W88" s="8">
        <f t="shared" si="11"/>
        <v>12711.187207207206</v>
      </c>
      <c r="X88" s="54"/>
      <c r="Y88" s="56">
        <v>354004</v>
      </c>
      <c r="Z88" s="8">
        <v>45429</v>
      </c>
      <c r="AA88" s="2"/>
      <c r="AB88" s="2"/>
      <c r="AC88" s="132"/>
    </row>
    <row r="89" spans="1:29" ht="15.75">
      <c r="A89" s="29" t="s">
        <v>517</v>
      </c>
      <c r="B89" s="3" t="s">
        <v>89</v>
      </c>
      <c r="C89" s="3" t="s">
        <v>90</v>
      </c>
      <c r="D89" s="3" t="s">
        <v>104</v>
      </c>
      <c r="E89" s="3" t="str">
        <f t="shared" si="7"/>
        <v>Hiwa</v>
      </c>
      <c r="F89" s="3" t="s">
        <v>59</v>
      </c>
      <c r="G89" s="3">
        <v>128</v>
      </c>
      <c r="H89" s="28">
        <f>G89*205</f>
        <v>26240</v>
      </c>
      <c r="I89" s="82"/>
      <c r="J89" s="116">
        <f t="shared" si="8"/>
        <v>0.59740510670731706</v>
      </c>
      <c r="K89" s="124">
        <v>15675.91</v>
      </c>
      <c r="L89" s="22">
        <v>737</v>
      </c>
      <c r="M89" s="22">
        <v>1858</v>
      </c>
      <c r="N89" s="22"/>
      <c r="O89" s="22">
        <v>1355.65</v>
      </c>
      <c r="P89" s="23"/>
      <c r="Q89" s="23">
        <f t="shared" si="9"/>
        <v>19626.560000000001</v>
      </c>
      <c r="R89" s="23">
        <f t="shared" si="10"/>
        <v>0.7479634146341464</v>
      </c>
      <c r="S89" s="23"/>
      <c r="T89" s="23"/>
      <c r="U89" s="19"/>
      <c r="V89" s="128"/>
      <c r="W89" s="8" t="str">
        <f t="shared" si="11"/>
        <v/>
      </c>
      <c r="X89" s="54"/>
      <c r="Y89" s="56">
        <v>349845</v>
      </c>
      <c r="Z89" s="8">
        <v>45356</v>
      </c>
      <c r="AA89" s="2"/>
      <c r="AB89" s="2"/>
      <c r="AC89" s="132"/>
    </row>
    <row r="90" spans="1:29" ht="15.75">
      <c r="A90" s="29" t="s">
        <v>518</v>
      </c>
      <c r="B90" s="3" t="s">
        <v>467</v>
      </c>
      <c r="C90" s="9" t="s">
        <v>34</v>
      </c>
      <c r="D90" s="3" t="s">
        <v>468</v>
      </c>
      <c r="E90" s="3" t="str">
        <f t="shared" si="7"/>
        <v>Direct</v>
      </c>
      <c r="F90" s="3" t="s">
        <v>121</v>
      </c>
      <c r="G90" s="3">
        <v>12</v>
      </c>
      <c r="H90" s="28">
        <v>2400</v>
      </c>
      <c r="I90" s="82"/>
      <c r="J90" s="116">
        <f t="shared" si="8"/>
        <v>1</v>
      </c>
      <c r="K90" s="124">
        <v>2400</v>
      </c>
      <c r="L90" s="106"/>
      <c r="M90" s="22"/>
      <c r="N90" s="22"/>
      <c r="O90" s="22"/>
      <c r="P90" s="23"/>
      <c r="Q90" s="23">
        <f t="shared" si="9"/>
        <v>2400</v>
      </c>
      <c r="R90" s="23">
        <f t="shared" si="10"/>
        <v>1</v>
      </c>
      <c r="S90" s="23"/>
      <c r="T90" s="23"/>
      <c r="U90" s="19"/>
      <c r="V90" s="128"/>
      <c r="W90" s="8" t="str">
        <f t="shared" si="11"/>
        <v/>
      </c>
      <c r="X90" s="54"/>
      <c r="Y90" s="56"/>
      <c r="AA90" s="2"/>
      <c r="AB90" s="2"/>
      <c r="AC90" s="132"/>
    </row>
    <row r="91" spans="1:29" ht="15.75">
      <c r="A91" s="29" t="s">
        <v>519</v>
      </c>
      <c r="B91" s="3" t="s">
        <v>520</v>
      </c>
      <c r="C91" s="3" t="s">
        <v>119</v>
      </c>
      <c r="D91" s="3" t="s">
        <v>468</v>
      </c>
      <c r="E91" s="3" t="str">
        <f t="shared" si="7"/>
        <v>Direct</v>
      </c>
      <c r="F91" s="3" t="s">
        <v>121</v>
      </c>
      <c r="G91" s="3">
        <v>3</v>
      </c>
      <c r="H91" s="28">
        <v>600</v>
      </c>
      <c r="I91" s="82"/>
      <c r="J91" s="116">
        <f t="shared" si="8"/>
        <v>1.6</v>
      </c>
      <c r="K91" s="124">
        <v>960</v>
      </c>
      <c r="L91" s="22"/>
      <c r="M91" s="22"/>
      <c r="N91" s="22"/>
      <c r="O91" s="22"/>
      <c r="P91" s="23"/>
      <c r="Q91" s="23">
        <f t="shared" si="9"/>
        <v>960</v>
      </c>
      <c r="R91" s="23">
        <f t="shared" si="10"/>
        <v>1.6</v>
      </c>
      <c r="S91" s="23"/>
      <c r="T91" s="23"/>
      <c r="U91" s="19"/>
      <c r="V91" s="128"/>
      <c r="W91" s="8" t="str">
        <f t="shared" si="11"/>
        <v/>
      </c>
      <c r="X91" s="54"/>
      <c r="Y91" s="56"/>
      <c r="AA91" s="2"/>
      <c r="AB91" s="2"/>
      <c r="AC91" s="132"/>
    </row>
    <row r="92" spans="1:29" ht="15.75">
      <c r="A92" s="29" t="s">
        <v>521</v>
      </c>
      <c r="B92" s="3" t="s">
        <v>214</v>
      </c>
      <c r="C92" s="3" t="s">
        <v>119</v>
      </c>
      <c r="D92" s="3" t="s">
        <v>468</v>
      </c>
      <c r="E92" s="3" t="str">
        <f t="shared" si="7"/>
        <v>Direct</v>
      </c>
      <c r="F92" s="3" t="s">
        <v>121</v>
      </c>
      <c r="G92" s="3">
        <v>1</v>
      </c>
      <c r="H92" s="28">
        <v>200</v>
      </c>
      <c r="I92" s="82"/>
      <c r="J92" s="116">
        <f t="shared" si="8"/>
        <v>1.52</v>
      </c>
      <c r="K92" s="124">
        <v>304</v>
      </c>
      <c r="L92" s="22"/>
      <c r="M92" s="22"/>
      <c r="N92" s="22"/>
      <c r="O92" s="22"/>
      <c r="P92" s="23"/>
      <c r="Q92" s="23">
        <f t="shared" si="9"/>
        <v>304</v>
      </c>
      <c r="R92" s="23">
        <f t="shared" si="10"/>
        <v>1.52</v>
      </c>
      <c r="S92" s="23"/>
      <c r="T92" s="23"/>
      <c r="U92" s="19"/>
      <c r="V92" s="128"/>
      <c r="W92" s="8" t="str">
        <f t="shared" si="11"/>
        <v/>
      </c>
      <c r="X92" s="54"/>
      <c r="Y92" s="56"/>
      <c r="AA92" s="2"/>
      <c r="AB92" s="2"/>
      <c r="AC92" s="132"/>
    </row>
    <row r="93" spans="1:29" ht="15.75">
      <c r="A93" s="29" t="s">
        <v>522</v>
      </c>
      <c r="B93" s="3" t="s">
        <v>196</v>
      </c>
      <c r="C93" s="3" t="s">
        <v>176</v>
      </c>
      <c r="D93" s="3" t="s">
        <v>197</v>
      </c>
      <c r="E93" s="3" t="str">
        <f t="shared" si="7"/>
        <v>Direct</v>
      </c>
      <c r="F93" s="3" t="s">
        <v>121</v>
      </c>
      <c r="G93" s="3">
        <f>3*48</f>
        <v>144</v>
      </c>
      <c r="H93" s="28">
        <f>G93*24</f>
        <v>3456</v>
      </c>
      <c r="I93" s="82"/>
      <c r="J93" s="116">
        <f t="shared" si="8"/>
        <v>2.1</v>
      </c>
      <c r="K93" s="124">
        <v>7257.6</v>
      </c>
      <c r="L93" s="22"/>
      <c r="M93" s="22"/>
      <c r="N93" s="22"/>
      <c r="O93" s="22"/>
      <c r="P93" s="23"/>
      <c r="Q93" s="23">
        <f t="shared" si="9"/>
        <v>7257.6</v>
      </c>
      <c r="R93" s="23">
        <f t="shared" si="10"/>
        <v>2.1</v>
      </c>
      <c r="S93" s="23"/>
      <c r="T93" s="23"/>
      <c r="U93" s="19"/>
      <c r="V93" s="128"/>
      <c r="W93" s="8" t="str">
        <f t="shared" si="11"/>
        <v/>
      </c>
      <c r="X93" s="54"/>
      <c r="Y93" s="56"/>
      <c r="AA93" s="2"/>
      <c r="AB93" s="2"/>
      <c r="AC93" s="132"/>
    </row>
    <row r="94" spans="1:29" ht="15.75">
      <c r="A94" s="29" t="s">
        <v>523</v>
      </c>
      <c r="B94" s="3" t="s">
        <v>93</v>
      </c>
      <c r="C94" s="3" t="s">
        <v>90</v>
      </c>
      <c r="D94" s="3" t="s">
        <v>404</v>
      </c>
      <c r="E94" s="3" t="str">
        <f t="shared" si="7"/>
        <v>Direct</v>
      </c>
      <c r="F94" s="3" t="s">
        <v>59</v>
      </c>
      <c r="G94" s="3">
        <v>128</v>
      </c>
      <c r="H94" s="28">
        <f>G94*205</f>
        <v>26240</v>
      </c>
      <c r="I94" s="82"/>
      <c r="J94" s="116">
        <f t="shared" si="8"/>
        <v>0.5854371189024391</v>
      </c>
      <c r="K94" s="124">
        <v>15361.87</v>
      </c>
      <c r="L94" s="22">
        <v>6143</v>
      </c>
      <c r="M94" s="22"/>
      <c r="N94" s="22"/>
      <c r="O94" s="22"/>
      <c r="P94" s="23"/>
      <c r="Q94" s="23">
        <f t="shared" si="9"/>
        <v>21504.870000000003</v>
      </c>
      <c r="R94" s="23">
        <f t="shared" si="10"/>
        <v>0.8195453506097562</v>
      </c>
      <c r="S94" s="23"/>
      <c r="T94" s="23"/>
      <c r="U94" s="19"/>
      <c r="V94" s="128"/>
      <c r="W94" s="8" t="str">
        <f t="shared" si="11"/>
        <v/>
      </c>
      <c r="X94" s="54"/>
      <c r="Y94" s="56"/>
      <c r="AA94" s="2"/>
      <c r="AB94" s="2"/>
      <c r="AC94" s="132"/>
    </row>
    <row r="95" spans="1:29" ht="15.75">
      <c r="A95" s="29" t="s">
        <v>524</v>
      </c>
      <c r="B95" s="3" t="s">
        <v>525</v>
      </c>
      <c r="C95" s="3" t="s">
        <v>34</v>
      </c>
      <c r="D95" s="3" t="s">
        <v>526</v>
      </c>
      <c r="E95" s="3" t="str">
        <f t="shared" si="7"/>
        <v>Direct</v>
      </c>
      <c r="F95" s="3" t="s">
        <v>121</v>
      </c>
      <c r="G95" s="3">
        <v>16</v>
      </c>
      <c r="H95" s="28">
        <f>+G95*20</f>
        <v>320</v>
      </c>
      <c r="I95" s="82"/>
      <c r="J95" s="116">
        <f t="shared" si="8"/>
        <v>7.5200000000000005</v>
      </c>
      <c r="K95" s="124">
        <v>2406.4</v>
      </c>
      <c r="L95" s="22"/>
      <c r="M95" s="22"/>
      <c r="N95" s="22"/>
      <c r="O95" s="22"/>
      <c r="P95" s="23"/>
      <c r="Q95" s="23">
        <f t="shared" si="9"/>
        <v>2406.4</v>
      </c>
      <c r="R95" s="23">
        <f t="shared" si="10"/>
        <v>7.5200000000000005</v>
      </c>
      <c r="S95" s="23"/>
      <c r="T95" s="23"/>
      <c r="U95" s="19"/>
      <c r="V95" s="128"/>
      <c r="W95" s="8" t="str">
        <f t="shared" si="11"/>
        <v/>
      </c>
      <c r="X95" s="54"/>
      <c r="Y95" s="56"/>
      <c r="AA95" s="2"/>
      <c r="AB95" s="2"/>
      <c r="AC95" s="132"/>
    </row>
    <row r="96" spans="1:29" ht="15.75">
      <c r="A96" s="29" t="s">
        <v>527</v>
      </c>
      <c r="B96" s="3" t="s">
        <v>528</v>
      </c>
      <c r="C96" s="3" t="s">
        <v>34</v>
      </c>
      <c r="D96" s="3" t="s">
        <v>526</v>
      </c>
      <c r="E96" s="3" t="str">
        <f t="shared" si="7"/>
        <v>Direct</v>
      </c>
      <c r="F96" s="3" t="s">
        <v>121</v>
      </c>
      <c r="G96" s="3">
        <v>4</v>
      </c>
      <c r="H96" s="28">
        <f>+G96*20</f>
        <v>80</v>
      </c>
      <c r="I96" s="82"/>
      <c r="J96" s="116">
        <f t="shared" si="8"/>
        <v>5.2200000000000006</v>
      </c>
      <c r="K96" s="124">
        <v>417.6</v>
      </c>
      <c r="L96" s="22"/>
      <c r="M96" s="22"/>
      <c r="N96" s="22"/>
      <c r="O96" s="22"/>
      <c r="P96" s="23"/>
      <c r="Q96" s="23">
        <f t="shared" si="9"/>
        <v>417.6</v>
      </c>
      <c r="R96" s="23">
        <f t="shared" si="10"/>
        <v>5.2200000000000006</v>
      </c>
      <c r="S96" s="23"/>
      <c r="T96" s="23"/>
      <c r="U96" s="19"/>
      <c r="V96" s="128"/>
      <c r="W96" s="8" t="str">
        <f t="shared" si="11"/>
        <v/>
      </c>
      <c r="X96" s="54"/>
      <c r="Y96" s="72"/>
      <c r="AA96" s="2"/>
      <c r="AB96" s="2"/>
      <c r="AC96" s="132"/>
    </row>
    <row r="97" spans="1:29" ht="15.75">
      <c r="A97" s="29" t="s">
        <v>529</v>
      </c>
      <c r="B97" s="3" t="s">
        <v>530</v>
      </c>
      <c r="C97" s="3" t="s">
        <v>34</v>
      </c>
      <c r="D97" s="3" t="s">
        <v>526</v>
      </c>
      <c r="E97" s="3" t="str">
        <f t="shared" si="7"/>
        <v>Direct</v>
      </c>
      <c r="F97" s="3" t="s">
        <v>121</v>
      </c>
      <c r="G97" s="3">
        <v>6</v>
      </c>
      <c r="H97" s="28">
        <f>+G97*20</f>
        <v>120</v>
      </c>
      <c r="I97" s="82"/>
      <c r="J97" s="116">
        <f t="shared" si="8"/>
        <v>4.34</v>
      </c>
      <c r="K97" s="124">
        <v>520.79999999999995</v>
      </c>
      <c r="L97" s="22"/>
      <c r="M97" s="22"/>
      <c r="N97" s="22"/>
      <c r="O97" s="22"/>
      <c r="P97" s="23"/>
      <c r="Q97" s="23">
        <f t="shared" si="9"/>
        <v>520.79999999999995</v>
      </c>
      <c r="R97" s="23">
        <f t="shared" si="10"/>
        <v>4.34</v>
      </c>
      <c r="S97" s="23"/>
      <c r="T97" s="23"/>
      <c r="U97" s="19"/>
      <c r="V97" s="128"/>
      <c r="W97" s="8" t="str">
        <f t="shared" si="11"/>
        <v/>
      </c>
      <c r="X97" s="54"/>
      <c r="Y97" s="56"/>
      <c r="AA97" s="2"/>
      <c r="AB97" s="2"/>
      <c r="AC97" s="132"/>
    </row>
    <row r="98" spans="1:29" ht="15.75">
      <c r="A98" s="29" t="s">
        <v>531</v>
      </c>
      <c r="B98" s="3" t="s">
        <v>93</v>
      </c>
      <c r="C98" s="9" t="s">
        <v>90</v>
      </c>
      <c r="D98" s="3" t="s">
        <v>485</v>
      </c>
      <c r="E98" s="3" t="str">
        <f t="shared" si="7"/>
        <v>Direct</v>
      </c>
      <c r="F98" s="10" t="s">
        <v>59</v>
      </c>
      <c r="G98" s="1">
        <v>116</v>
      </c>
      <c r="H98" s="27">
        <f>G98*205</f>
        <v>23780</v>
      </c>
      <c r="I98" s="82"/>
      <c r="J98" s="116">
        <f t="shared" si="8"/>
        <v>0.58758704793944494</v>
      </c>
      <c r="K98" s="124">
        <v>13972.82</v>
      </c>
      <c r="L98" s="22">
        <v>728</v>
      </c>
      <c r="M98" s="22"/>
      <c r="N98" s="22"/>
      <c r="O98" s="22"/>
      <c r="P98" s="23"/>
      <c r="Q98" s="23">
        <f t="shared" si="9"/>
        <v>14700.82</v>
      </c>
      <c r="R98" s="23">
        <f t="shared" si="10"/>
        <v>0.61820100925147181</v>
      </c>
      <c r="S98" s="23"/>
      <c r="T98" s="23"/>
      <c r="U98" s="19"/>
      <c r="V98" s="128"/>
      <c r="W98" s="8" t="str">
        <f t="shared" si="11"/>
        <v/>
      </c>
      <c r="X98" s="54"/>
      <c r="Y98" s="56"/>
      <c r="AA98" s="2"/>
      <c r="AB98" s="2"/>
      <c r="AC98" s="132"/>
    </row>
    <row r="99" spans="1:29" ht="15.75">
      <c r="A99" s="29" t="s">
        <v>532</v>
      </c>
      <c r="B99" s="3" t="s">
        <v>93</v>
      </c>
      <c r="C99" s="3" t="s">
        <v>90</v>
      </c>
      <c r="D99" s="3" t="s">
        <v>97</v>
      </c>
      <c r="E99" s="3" t="str">
        <f t="shared" si="7"/>
        <v>Direct</v>
      </c>
      <c r="F99" s="3" t="s">
        <v>59</v>
      </c>
      <c r="G99" s="3">
        <f>2*128</f>
        <v>256</v>
      </c>
      <c r="H99" s="28">
        <f>G99*205</f>
        <v>52480</v>
      </c>
      <c r="I99" s="82"/>
      <c r="J99" s="116">
        <f t="shared" si="8"/>
        <v>0.57285403963414638</v>
      </c>
      <c r="K99" s="124">
        <v>30063.38</v>
      </c>
      <c r="L99" s="22"/>
      <c r="M99" s="22"/>
      <c r="N99" s="22"/>
      <c r="O99" s="22"/>
      <c r="P99" s="23"/>
      <c r="Q99" s="23">
        <f t="shared" si="9"/>
        <v>30063.38</v>
      </c>
      <c r="R99" s="23">
        <f t="shared" si="10"/>
        <v>0.57285403963414638</v>
      </c>
      <c r="S99" s="23"/>
      <c r="T99" s="23"/>
      <c r="U99" s="19"/>
      <c r="V99" s="128"/>
      <c r="W99" s="8" t="str">
        <f t="shared" si="11"/>
        <v/>
      </c>
      <c r="X99" s="54"/>
      <c r="Y99" s="56"/>
      <c r="AA99" s="2"/>
      <c r="AB99" s="2"/>
      <c r="AC99" s="132"/>
    </row>
    <row r="100" spans="1:29" ht="15.75">
      <c r="A100" s="29" t="s">
        <v>533</v>
      </c>
      <c r="B100" s="3" t="s">
        <v>93</v>
      </c>
      <c r="C100" s="3" t="s">
        <v>90</v>
      </c>
      <c r="D100" s="3" t="s">
        <v>101</v>
      </c>
      <c r="E100" s="3" t="str">
        <f t="shared" si="7"/>
        <v>Direct</v>
      </c>
      <c r="F100" s="3" t="s">
        <v>59</v>
      </c>
      <c r="G100" s="3">
        <v>120</v>
      </c>
      <c r="H100" s="28">
        <v>24600</v>
      </c>
      <c r="I100" s="82"/>
      <c r="J100" s="116">
        <f t="shared" si="8"/>
        <v>0.5728540650406504</v>
      </c>
      <c r="K100" s="124">
        <v>14092.21</v>
      </c>
      <c r="L100" s="22"/>
      <c r="M100" s="22"/>
      <c r="N100" s="22"/>
      <c r="O100" s="22"/>
      <c r="P100" s="23"/>
      <c r="Q100" s="23">
        <f t="shared" si="9"/>
        <v>14092.21</v>
      </c>
      <c r="R100" s="23">
        <f t="shared" si="10"/>
        <v>0.5728540650406504</v>
      </c>
      <c r="S100" s="23"/>
      <c r="T100" s="23"/>
      <c r="U100" s="19"/>
      <c r="V100" s="128"/>
      <c r="W100" s="8" t="str">
        <f t="shared" si="11"/>
        <v/>
      </c>
      <c r="X100" s="54"/>
      <c r="Y100" s="56"/>
      <c r="AA100" s="2"/>
      <c r="AB100" s="2"/>
      <c r="AC100" s="132"/>
    </row>
    <row r="101" spans="1:29" ht="16.5" customHeight="1">
      <c r="A101" s="29" t="s">
        <v>534</v>
      </c>
      <c r="B101" s="3" t="s">
        <v>93</v>
      </c>
      <c r="C101" s="3" t="s">
        <v>90</v>
      </c>
      <c r="D101" s="3" t="s">
        <v>30</v>
      </c>
      <c r="E101" s="3" t="str">
        <f t="shared" si="7"/>
        <v>Direct</v>
      </c>
      <c r="F101" s="3" t="s">
        <v>59</v>
      </c>
      <c r="G101" s="3">
        <f>3*128</f>
        <v>384</v>
      </c>
      <c r="H101" s="28">
        <f>+G101*205</f>
        <v>78720</v>
      </c>
      <c r="I101" s="82"/>
      <c r="J101" s="116">
        <f t="shared" si="8"/>
        <v>0.58758727134146349</v>
      </c>
      <c r="K101" s="124">
        <v>46254.87</v>
      </c>
      <c r="L101" s="22">
        <v>2176</v>
      </c>
      <c r="M101" s="22"/>
      <c r="N101" s="22"/>
      <c r="O101" s="22"/>
      <c r="P101" s="23"/>
      <c r="Q101" s="23">
        <f t="shared" si="9"/>
        <v>48430.87</v>
      </c>
      <c r="R101" s="23">
        <f t="shared" si="10"/>
        <v>0.61522954776422767</v>
      </c>
      <c r="S101" s="23"/>
      <c r="T101" s="23"/>
      <c r="U101" s="19"/>
      <c r="V101" s="128"/>
      <c r="W101" s="8" t="str">
        <f t="shared" si="11"/>
        <v/>
      </c>
      <c r="X101" s="54"/>
      <c r="Y101" s="56"/>
      <c r="AA101" s="2"/>
      <c r="AB101" s="2"/>
      <c r="AC101" s="132"/>
    </row>
    <row r="102" spans="1:29" ht="15.75">
      <c r="A102" s="29" t="s">
        <v>535</v>
      </c>
      <c r="B102" s="3" t="s">
        <v>143</v>
      </c>
      <c r="C102" s="3" t="s">
        <v>119</v>
      </c>
      <c r="D102" s="3" t="s">
        <v>411</v>
      </c>
      <c r="E102" s="3" t="str">
        <f t="shared" si="7"/>
        <v>Direct</v>
      </c>
      <c r="F102" s="3" t="s">
        <v>121</v>
      </c>
      <c r="G102" s="3">
        <v>110</v>
      </c>
      <c r="H102" s="28">
        <v>1100</v>
      </c>
      <c r="I102" s="82"/>
      <c r="J102" s="116">
        <f t="shared" si="8"/>
        <v>1.085</v>
      </c>
      <c r="K102" s="124">
        <v>1193.5</v>
      </c>
      <c r="L102" s="22"/>
      <c r="M102" s="22"/>
      <c r="N102" s="22"/>
      <c r="O102" s="22"/>
      <c r="P102" s="23"/>
      <c r="Q102" s="23">
        <f t="shared" si="9"/>
        <v>1193.5</v>
      </c>
      <c r="R102" s="23">
        <f t="shared" si="10"/>
        <v>1.085</v>
      </c>
      <c r="S102" s="23"/>
      <c r="T102" s="23"/>
      <c r="U102" s="19"/>
      <c r="V102" s="128"/>
      <c r="W102" s="8" t="str">
        <f t="shared" si="11"/>
        <v/>
      </c>
      <c r="X102" s="54"/>
      <c r="Y102" s="56"/>
      <c r="AA102" s="2"/>
      <c r="AB102" s="2"/>
      <c r="AC102" s="132"/>
    </row>
    <row r="103" spans="1:29" ht="15.75">
      <c r="A103" s="29" t="s">
        <v>536</v>
      </c>
      <c r="B103" s="3" t="s">
        <v>140</v>
      </c>
      <c r="C103" s="9" t="s">
        <v>62</v>
      </c>
      <c r="D103" s="3" t="s">
        <v>104</v>
      </c>
      <c r="E103" s="3" t="str">
        <f t="shared" si="7"/>
        <v>Direct</v>
      </c>
      <c r="F103" s="3" t="s">
        <v>46</v>
      </c>
      <c r="G103" s="3">
        <f>4*112</f>
        <v>448</v>
      </c>
      <c r="H103" s="28">
        <f>G103*210</f>
        <v>94080</v>
      </c>
      <c r="I103" s="82"/>
      <c r="J103" s="116">
        <f t="shared" si="8"/>
        <v>1.02</v>
      </c>
      <c r="K103" s="124">
        <v>95961.600000000006</v>
      </c>
      <c r="L103" s="106"/>
      <c r="M103" s="22"/>
      <c r="N103" s="22"/>
      <c r="O103" s="22"/>
      <c r="P103" s="23"/>
      <c r="Q103" s="23">
        <f t="shared" si="9"/>
        <v>95961.600000000006</v>
      </c>
      <c r="R103" s="23">
        <f t="shared" si="10"/>
        <v>1.02</v>
      </c>
      <c r="S103" s="23"/>
      <c r="T103" s="23"/>
      <c r="U103" s="19"/>
      <c r="V103" s="128"/>
      <c r="W103" s="8" t="str">
        <f t="shared" si="11"/>
        <v/>
      </c>
      <c r="X103" s="54"/>
      <c r="Y103" s="56"/>
      <c r="AA103" s="2"/>
      <c r="AB103" s="2"/>
      <c r="AC103" s="132"/>
    </row>
    <row r="104" spans="1:29" ht="15.75">
      <c r="A104" s="29" t="s">
        <v>537</v>
      </c>
      <c r="B104" s="3" t="s">
        <v>103</v>
      </c>
      <c r="C104" s="9" t="s">
        <v>62</v>
      </c>
      <c r="D104" s="3" t="s">
        <v>177</v>
      </c>
      <c r="E104" s="3" t="str">
        <f t="shared" si="7"/>
        <v>Direct</v>
      </c>
      <c r="F104" s="10" t="s">
        <v>46</v>
      </c>
      <c r="G104" s="1">
        <v>80</v>
      </c>
      <c r="H104" s="27">
        <f>G104*210</f>
        <v>16800</v>
      </c>
      <c r="I104" s="82"/>
      <c r="J104" s="116">
        <f t="shared" si="8"/>
        <v>1.3049999999999999</v>
      </c>
      <c r="K104" s="124">
        <v>21924</v>
      </c>
      <c r="L104" s="22">
        <f>(489/23100)*16800</f>
        <v>355.63636363636368</v>
      </c>
      <c r="M104" s="22"/>
      <c r="N104" s="22"/>
      <c r="O104" s="22"/>
      <c r="P104" s="23"/>
      <c r="Q104" s="23">
        <f t="shared" si="9"/>
        <v>22279.636363636364</v>
      </c>
      <c r="R104" s="23">
        <f t="shared" si="10"/>
        <v>1.3261688311688311</v>
      </c>
      <c r="S104" s="23"/>
      <c r="T104" s="23"/>
      <c r="U104" s="19"/>
      <c r="V104" s="128"/>
      <c r="W104" s="8" t="str">
        <f t="shared" si="11"/>
        <v/>
      </c>
      <c r="X104" s="54"/>
      <c r="Y104" s="56"/>
      <c r="AA104" s="2"/>
      <c r="AB104" s="2"/>
      <c r="AC104" s="132"/>
    </row>
    <row r="105" spans="1:29" ht="15.75">
      <c r="A105" s="29" t="s">
        <v>538</v>
      </c>
      <c r="B105" s="3" t="s">
        <v>539</v>
      </c>
      <c r="C105" s="9" t="s">
        <v>62</v>
      </c>
      <c r="D105" s="3" t="s">
        <v>177</v>
      </c>
      <c r="E105" s="3" t="str">
        <f t="shared" si="7"/>
        <v>Direct</v>
      </c>
      <c r="F105" s="3" t="s">
        <v>46</v>
      </c>
      <c r="G105" s="3">
        <v>30</v>
      </c>
      <c r="H105" s="28">
        <f>G105*210</f>
        <v>6300</v>
      </c>
      <c r="I105" s="82"/>
      <c r="J105" s="116">
        <f t="shared" si="8"/>
        <v>1.7350000000000001</v>
      </c>
      <c r="K105" s="124">
        <v>10930.5</v>
      </c>
      <c r="L105" s="22">
        <f>(489/23100)*6300</f>
        <v>133.36363636363637</v>
      </c>
      <c r="M105" s="22"/>
      <c r="N105" s="22"/>
      <c r="O105" s="22"/>
      <c r="P105" s="23"/>
      <c r="Q105" s="23">
        <f t="shared" si="9"/>
        <v>11063.863636363636</v>
      </c>
      <c r="R105" s="23">
        <f t="shared" si="10"/>
        <v>1.756168831168831</v>
      </c>
      <c r="S105" s="23"/>
      <c r="T105" s="23"/>
      <c r="U105" s="19"/>
      <c r="V105" s="128"/>
      <c r="W105" s="8" t="str">
        <f t="shared" si="11"/>
        <v/>
      </c>
      <c r="X105" s="54"/>
      <c r="Y105" s="56"/>
      <c r="AA105" s="2"/>
      <c r="AB105" s="2"/>
      <c r="AC105" s="132"/>
    </row>
    <row r="106" spans="1:29" ht="15.75">
      <c r="A106" s="29" t="s">
        <v>540</v>
      </c>
      <c r="B106" s="3" t="s">
        <v>93</v>
      </c>
      <c r="C106" s="3" t="s">
        <v>90</v>
      </c>
      <c r="D106" s="3" t="s">
        <v>104</v>
      </c>
      <c r="E106" s="3" t="str">
        <f t="shared" si="7"/>
        <v>Direct</v>
      </c>
      <c r="F106" s="3" t="s">
        <v>59</v>
      </c>
      <c r="G106" s="3">
        <v>128</v>
      </c>
      <c r="H106" s="28">
        <f>G106*205</f>
        <v>26240</v>
      </c>
      <c r="I106" s="82"/>
      <c r="J106" s="116">
        <f t="shared" si="8"/>
        <v>0.59568140243902445</v>
      </c>
      <c r="K106" s="124">
        <v>15630.68</v>
      </c>
      <c r="L106" s="22"/>
      <c r="M106" s="22"/>
      <c r="N106" s="22"/>
      <c r="O106" s="22"/>
      <c r="P106" s="23"/>
      <c r="Q106" s="23">
        <f t="shared" si="9"/>
        <v>15630.68</v>
      </c>
      <c r="R106" s="23">
        <f t="shared" si="10"/>
        <v>0.59568140243902445</v>
      </c>
      <c r="S106" s="23"/>
      <c r="T106" s="23"/>
      <c r="U106" s="19"/>
      <c r="V106" s="128"/>
      <c r="W106" s="8" t="str">
        <f t="shared" si="11"/>
        <v/>
      </c>
      <c r="X106" s="54"/>
      <c r="Y106" s="56"/>
      <c r="AA106" s="2"/>
      <c r="AB106" s="2"/>
      <c r="AC106" s="132"/>
    </row>
    <row r="107" spans="1:29" ht="15.75">
      <c r="A107" s="29" t="s">
        <v>541</v>
      </c>
      <c r="B107" s="3" t="s">
        <v>93</v>
      </c>
      <c r="C107" s="9" t="s">
        <v>90</v>
      </c>
      <c r="D107" s="3" t="s">
        <v>542</v>
      </c>
      <c r="E107" s="3" t="str">
        <f t="shared" si="7"/>
        <v>Direct</v>
      </c>
      <c r="F107" s="3" t="s">
        <v>59</v>
      </c>
      <c r="G107" s="3">
        <v>128</v>
      </c>
      <c r="H107" s="28">
        <f>G107*205</f>
        <v>26240</v>
      </c>
      <c r="I107" s="82"/>
      <c r="J107" s="116">
        <f t="shared" si="8"/>
        <v>0.59040586890243907</v>
      </c>
      <c r="K107" s="124">
        <v>15492.25</v>
      </c>
      <c r="L107" s="22"/>
      <c r="M107" s="22"/>
      <c r="N107" s="22"/>
      <c r="O107" s="22"/>
      <c r="P107" s="23"/>
      <c r="Q107" s="23">
        <f t="shared" si="9"/>
        <v>15492.25</v>
      </c>
      <c r="R107" s="23">
        <f t="shared" si="10"/>
        <v>0.59040586890243907</v>
      </c>
      <c r="S107" s="23"/>
      <c r="T107" s="23"/>
      <c r="U107" s="19"/>
      <c r="V107" s="128"/>
      <c r="W107" s="8" t="str">
        <f t="shared" si="11"/>
        <v/>
      </c>
      <c r="X107" s="54"/>
      <c r="Y107" s="56"/>
      <c r="AA107" s="2"/>
      <c r="AB107" s="2"/>
      <c r="AC107" s="132"/>
    </row>
    <row r="108" spans="1:29" ht="15.75">
      <c r="A108" s="29" t="s">
        <v>543</v>
      </c>
      <c r="B108" s="3" t="s">
        <v>93</v>
      </c>
      <c r="C108" s="3" t="s">
        <v>90</v>
      </c>
      <c r="D108" s="3" t="s">
        <v>542</v>
      </c>
      <c r="E108" s="3" t="str">
        <f t="shared" si="7"/>
        <v>Direct</v>
      </c>
      <c r="F108" s="3" t="s">
        <v>59</v>
      </c>
      <c r="G108" s="3">
        <v>128</v>
      </c>
      <c r="H108" s="28">
        <f>G108*205</f>
        <v>26240</v>
      </c>
      <c r="I108" s="82"/>
      <c r="J108" s="116">
        <f t="shared" si="8"/>
        <v>0.5989146341463415</v>
      </c>
      <c r="K108" s="124">
        <v>15715.52</v>
      </c>
      <c r="L108" s="22"/>
      <c r="M108" s="22"/>
      <c r="N108" s="22"/>
      <c r="O108" s="22"/>
      <c r="P108" s="23"/>
      <c r="Q108" s="23">
        <f t="shared" si="9"/>
        <v>15715.52</v>
      </c>
      <c r="R108" s="23">
        <f t="shared" si="10"/>
        <v>0.5989146341463415</v>
      </c>
      <c r="S108" s="23"/>
      <c r="T108" s="23"/>
      <c r="U108" s="19"/>
      <c r="V108" s="128"/>
      <c r="W108" s="8" t="str">
        <f t="shared" si="11"/>
        <v/>
      </c>
      <c r="X108" s="54"/>
      <c r="Y108" s="56"/>
      <c r="AA108" s="2"/>
      <c r="AB108" s="2"/>
      <c r="AC108" s="132"/>
    </row>
    <row r="109" spans="1:29" ht="15.75">
      <c r="A109" s="29" t="s">
        <v>544</v>
      </c>
      <c r="B109" s="3" t="s">
        <v>93</v>
      </c>
      <c r="C109" s="9" t="s">
        <v>90</v>
      </c>
      <c r="D109" s="3" t="s">
        <v>97</v>
      </c>
      <c r="E109" s="3" t="str">
        <f t="shared" si="7"/>
        <v>Direct</v>
      </c>
      <c r="F109" s="10" t="s">
        <v>59</v>
      </c>
      <c r="G109" s="1">
        <f>2*128</f>
        <v>256</v>
      </c>
      <c r="H109" s="27">
        <f>G109*205</f>
        <v>52480</v>
      </c>
      <c r="I109" s="82"/>
      <c r="J109" s="116">
        <f t="shared" si="8"/>
        <v>0.57954763719512192</v>
      </c>
      <c r="K109" s="124">
        <v>30414.66</v>
      </c>
      <c r="L109" s="22"/>
      <c r="M109" s="22"/>
      <c r="N109" s="22"/>
      <c r="O109" s="22"/>
      <c r="P109" s="23"/>
      <c r="Q109" s="23">
        <f t="shared" si="9"/>
        <v>30414.66</v>
      </c>
      <c r="R109" s="23">
        <f t="shared" si="10"/>
        <v>0.57954763719512192</v>
      </c>
      <c r="S109" s="23"/>
      <c r="T109" s="23"/>
      <c r="U109" s="19"/>
      <c r="V109" s="128"/>
      <c r="W109" s="8" t="str">
        <f t="shared" si="11"/>
        <v/>
      </c>
      <c r="X109" s="54"/>
      <c r="Y109" s="56"/>
      <c r="AA109" s="2"/>
      <c r="AB109" s="2"/>
      <c r="AC109" s="132"/>
    </row>
    <row r="110" spans="1:29" ht="15.75">
      <c r="A110" s="29" t="s">
        <v>545</v>
      </c>
      <c r="B110" s="3" t="s">
        <v>57</v>
      </c>
      <c r="C110" s="9" t="s">
        <v>58</v>
      </c>
      <c r="D110" s="3" t="s">
        <v>30</v>
      </c>
      <c r="E110" s="3" t="str">
        <f t="shared" si="7"/>
        <v>Hiwa</v>
      </c>
      <c r="F110" s="10" t="s">
        <v>59</v>
      </c>
      <c r="G110" s="1">
        <v>280</v>
      </c>
      <c r="H110" s="27">
        <f>G110*190</f>
        <v>53200</v>
      </c>
      <c r="I110" s="82"/>
      <c r="J110" s="116">
        <f t="shared" si="8"/>
        <v>0.63582744360902255</v>
      </c>
      <c r="K110" s="124">
        <v>33826.019999999997</v>
      </c>
      <c r="L110" s="22">
        <v>4418</v>
      </c>
      <c r="M110" s="22"/>
      <c r="N110" s="22">
        <v>550</v>
      </c>
      <c r="O110" s="22">
        <v>2633</v>
      </c>
      <c r="P110" s="23"/>
      <c r="Q110" s="23">
        <f t="shared" si="9"/>
        <v>41427.019999999997</v>
      </c>
      <c r="R110" s="23">
        <f t="shared" si="10"/>
        <v>0.77870338345864654</v>
      </c>
      <c r="S110" s="23"/>
      <c r="T110" s="23"/>
      <c r="U110" s="19"/>
      <c r="V110" s="128"/>
      <c r="W110" s="8" t="str">
        <f t="shared" si="11"/>
        <v/>
      </c>
      <c r="X110" s="54"/>
      <c r="Y110" s="56" t="s">
        <v>546</v>
      </c>
      <c r="Z110" s="8">
        <v>45419</v>
      </c>
      <c r="AA110" s="2"/>
      <c r="AB110" s="2"/>
      <c r="AC110" s="132"/>
    </row>
    <row r="111" spans="1:29" ht="15.75">
      <c r="A111" s="29"/>
      <c r="B111" s="3" t="s">
        <v>57</v>
      </c>
      <c r="C111" s="9" t="s">
        <v>58</v>
      </c>
      <c r="D111" s="3" t="s">
        <v>30</v>
      </c>
      <c r="E111" s="3" t="str">
        <f t="shared" si="7"/>
        <v>Hiwa</v>
      </c>
      <c r="F111" s="10" t="s">
        <v>59</v>
      </c>
      <c r="G111" s="1">
        <v>140</v>
      </c>
      <c r="H111" s="27">
        <v>26600</v>
      </c>
      <c r="I111" s="82"/>
      <c r="J111" s="116">
        <v>0.77900000000000003</v>
      </c>
      <c r="K111" s="124">
        <f>+H111*J111</f>
        <v>20721.400000000001</v>
      </c>
      <c r="L111" s="22"/>
      <c r="M111" s="22">
        <v>3001.38</v>
      </c>
      <c r="N111" s="22"/>
      <c r="O111" s="22"/>
      <c r="P111" s="23"/>
      <c r="Q111" s="23">
        <f t="shared" si="9"/>
        <v>23722.780000000002</v>
      </c>
      <c r="R111" s="23">
        <f t="shared" si="10"/>
        <v>0.89183383458646626</v>
      </c>
      <c r="S111" s="23"/>
      <c r="T111" s="23"/>
      <c r="U111" s="19"/>
      <c r="V111" s="128"/>
      <c r="W111" s="8" t="str">
        <f t="shared" si="11"/>
        <v/>
      </c>
      <c r="X111" s="54"/>
      <c r="Y111" s="56"/>
      <c r="AA111" s="2"/>
      <c r="AB111" s="2"/>
      <c r="AC111" s="132"/>
    </row>
    <row r="112" spans="1:29" ht="15.75">
      <c r="A112" s="29" t="s">
        <v>547</v>
      </c>
      <c r="B112" s="3" t="s">
        <v>548</v>
      </c>
      <c r="C112" s="9" t="s">
        <v>34</v>
      </c>
      <c r="D112" s="3" t="s">
        <v>468</v>
      </c>
      <c r="E112" s="3" t="str">
        <f t="shared" si="7"/>
        <v>Direct</v>
      </c>
      <c r="F112" s="10" t="s">
        <v>121</v>
      </c>
      <c r="G112" s="1">
        <v>16</v>
      </c>
      <c r="H112" s="27">
        <f>2400+800</f>
        <v>3200</v>
      </c>
      <c r="I112" s="82"/>
      <c r="J112" s="116">
        <f t="shared" ref="J112:J141" si="12">+K112/H112</f>
        <v>4.25</v>
      </c>
      <c r="K112" s="124">
        <f>10200+3400</f>
        <v>13600</v>
      </c>
      <c r="L112" s="22"/>
      <c r="M112" s="22"/>
      <c r="N112" s="22"/>
      <c r="O112" s="22"/>
      <c r="P112" s="23"/>
      <c r="Q112" s="23">
        <f t="shared" si="9"/>
        <v>13600</v>
      </c>
      <c r="R112" s="23">
        <f t="shared" si="10"/>
        <v>4.25</v>
      </c>
      <c r="S112" s="23"/>
      <c r="T112" s="23"/>
      <c r="U112" s="19"/>
      <c r="V112" s="128"/>
      <c r="W112" s="8" t="str">
        <f t="shared" si="11"/>
        <v/>
      </c>
      <c r="X112" s="54"/>
      <c r="Y112" s="56"/>
      <c r="AA112" s="2"/>
      <c r="AB112" s="2"/>
      <c r="AC112" s="132"/>
    </row>
    <row r="113" spans="1:29" ht="15.75">
      <c r="A113" s="29" t="s">
        <v>549</v>
      </c>
      <c r="B113" s="3" t="s">
        <v>550</v>
      </c>
      <c r="C113" s="9" t="s">
        <v>126</v>
      </c>
      <c r="D113" s="3" t="s">
        <v>421</v>
      </c>
      <c r="E113" s="3" t="str">
        <f t="shared" si="7"/>
        <v>Direct</v>
      </c>
      <c r="F113" s="10" t="s">
        <v>128</v>
      </c>
      <c r="G113" s="1">
        <v>4</v>
      </c>
      <c r="H113" s="27">
        <v>880</v>
      </c>
      <c r="I113" s="82"/>
      <c r="J113" s="116">
        <f t="shared" si="12"/>
        <v>1.4</v>
      </c>
      <c r="K113" s="124">
        <v>1232</v>
      </c>
      <c r="L113" s="22">
        <f>324-54</f>
        <v>270</v>
      </c>
      <c r="M113" s="22"/>
      <c r="N113" s="22"/>
      <c r="O113" s="22"/>
      <c r="P113" s="23"/>
      <c r="Q113" s="23">
        <f t="shared" si="9"/>
        <v>1502</v>
      </c>
      <c r="R113" s="23">
        <f t="shared" si="10"/>
        <v>1.7068181818181818</v>
      </c>
      <c r="S113" s="23"/>
      <c r="T113" s="23"/>
      <c r="U113" s="19"/>
      <c r="V113" s="128"/>
      <c r="W113" s="8" t="str">
        <f t="shared" si="11"/>
        <v/>
      </c>
      <c r="X113" s="54"/>
      <c r="Y113" s="56"/>
      <c r="AA113" s="2"/>
      <c r="AB113" s="2"/>
      <c r="AC113" s="132"/>
    </row>
    <row r="114" spans="1:29" ht="15.75">
      <c r="A114" s="29" t="s">
        <v>551</v>
      </c>
      <c r="B114" s="3" t="s">
        <v>93</v>
      </c>
      <c r="C114" s="9" t="s">
        <v>90</v>
      </c>
      <c r="D114" s="3" t="s">
        <v>485</v>
      </c>
      <c r="E114" s="3" t="str">
        <f t="shared" si="7"/>
        <v>Direct</v>
      </c>
      <c r="F114" s="10" t="s">
        <v>59</v>
      </c>
      <c r="G114" s="1">
        <v>116</v>
      </c>
      <c r="H114" s="27">
        <f>G114*205</f>
        <v>23780</v>
      </c>
      <c r="I114" s="82"/>
      <c r="J114" s="116">
        <f t="shared" si="12"/>
        <v>0.60018460891505465</v>
      </c>
      <c r="K114" s="124">
        <v>14272.39</v>
      </c>
      <c r="L114" s="106"/>
      <c r="M114" s="22"/>
      <c r="N114" s="22"/>
      <c r="O114" s="22"/>
      <c r="P114" s="23"/>
      <c r="Q114" s="23">
        <f t="shared" si="9"/>
        <v>14272.39</v>
      </c>
      <c r="R114" s="23">
        <f t="shared" si="10"/>
        <v>0.60018460891505465</v>
      </c>
      <c r="S114" s="23"/>
      <c r="T114" s="23"/>
      <c r="U114" s="19"/>
      <c r="V114" s="128"/>
      <c r="W114" s="8" t="str">
        <f t="shared" si="11"/>
        <v/>
      </c>
      <c r="X114" s="54"/>
      <c r="Y114" s="56"/>
      <c r="AA114" s="2"/>
      <c r="AB114" s="2"/>
      <c r="AC114" s="132"/>
    </row>
    <row r="115" spans="1:29" ht="15.75">
      <c r="A115" s="29" t="s">
        <v>552</v>
      </c>
      <c r="B115" s="3" t="s">
        <v>89</v>
      </c>
      <c r="C115" s="9" t="s">
        <v>90</v>
      </c>
      <c r="D115" s="3" t="s">
        <v>30</v>
      </c>
      <c r="E115" s="3" t="str">
        <f t="shared" si="7"/>
        <v>Hiwa</v>
      </c>
      <c r="F115" s="10" t="s">
        <v>59</v>
      </c>
      <c r="G115" s="1">
        <v>128</v>
      </c>
      <c r="H115" s="27">
        <v>26240</v>
      </c>
      <c r="I115" s="82"/>
      <c r="J115" s="116">
        <f t="shared" si="12"/>
        <v>0.58893902439024393</v>
      </c>
      <c r="K115" s="124">
        <v>15453.76</v>
      </c>
      <c r="L115" s="22">
        <v>736</v>
      </c>
      <c r="M115" s="22">
        <v>1855</v>
      </c>
      <c r="N115" s="22">
        <v>150</v>
      </c>
      <c r="O115" s="22">
        <f>1348-150</f>
        <v>1198</v>
      </c>
      <c r="P115" s="23"/>
      <c r="Q115" s="23">
        <f t="shared" si="9"/>
        <v>19392.760000000002</v>
      </c>
      <c r="R115" s="23">
        <f t="shared" si="10"/>
        <v>0.73905335365853664</v>
      </c>
      <c r="S115" s="23"/>
      <c r="T115" s="23"/>
      <c r="U115" s="19"/>
      <c r="V115" s="128"/>
      <c r="W115" s="8" t="str">
        <f t="shared" si="11"/>
        <v/>
      </c>
      <c r="X115" s="80"/>
      <c r="Y115" s="72">
        <v>353059</v>
      </c>
      <c r="Z115" s="8">
        <v>45411</v>
      </c>
      <c r="AA115" s="2"/>
      <c r="AB115" s="2"/>
      <c r="AC115" s="132"/>
    </row>
    <row r="116" spans="1:29" ht="15.75">
      <c r="A116" s="29" t="s">
        <v>553</v>
      </c>
      <c r="B116" s="3" t="s">
        <v>125</v>
      </c>
      <c r="C116" s="3" t="s">
        <v>126</v>
      </c>
      <c r="D116" s="3" t="s">
        <v>465</v>
      </c>
      <c r="E116" s="3" t="str">
        <f t="shared" si="7"/>
        <v>Direct</v>
      </c>
      <c r="F116" s="3" t="s">
        <v>128</v>
      </c>
      <c r="G116" s="3">
        <v>4</v>
      </c>
      <c r="H116" s="28">
        <v>880</v>
      </c>
      <c r="I116" s="82"/>
      <c r="J116" s="116">
        <f t="shared" si="12"/>
        <v>0.83</v>
      </c>
      <c r="K116" s="124">
        <v>730.4</v>
      </c>
      <c r="L116" s="22"/>
      <c r="M116" s="22"/>
      <c r="N116" s="22"/>
      <c r="O116" s="22"/>
      <c r="P116" s="23"/>
      <c r="Q116" s="23">
        <f t="shared" si="9"/>
        <v>730.4</v>
      </c>
      <c r="R116" s="23">
        <f t="shared" si="10"/>
        <v>0.83</v>
      </c>
      <c r="S116" s="23"/>
      <c r="T116" s="23"/>
      <c r="U116" s="19"/>
      <c r="V116" s="128"/>
      <c r="W116" s="8" t="str">
        <f t="shared" si="11"/>
        <v/>
      </c>
      <c r="X116" s="54"/>
      <c r="Y116" s="56"/>
      <c r="AA116" s="2"/>
      <c r="AB116" s="2"/>
      <c r="AC116" s="132"/>
    </row>
    <row r="117" spans="1:29" ht="15.75">
      <c r="A117" s="29" t="s">
        <v>554</v>
      </c>
      <c r="B117" s="3" t="s">
        <v>555</v>
      </c>
      <c r="C117" s="3" t="s">
        <v>34</v>
      </c>
      <c r="D117" s="3" t="s">
        <v>556</v>
      </c>
      <c r="E117" s="3" t="str">
        <f t="shared" si="7"/>
        <v>Direct</v>
      </c>
      <c r="F117" s="3" t="s">
        <v>121</v>
      </c>
      <c r="G117" s="3">
        <v>75</v>
      </c>
      <c r="H117" s="28">
        <f>G117*20</f>
        <v>1500</v>
      </c>
      <c r="I117" s="82"/>
      <c r="J117" s="116">
        <f t="shared" si="12"/>
        <v>9.6999999999999993</v>
      </c>
      <c r="K117" s="124">
        <v>14550</v>
      </c>
      <c r="L117" s="22"/>
      <c r="M117" s="22"/>
      <c r="N117" s="22"/>
      <c r="O117" s="22"/>
      <c r="P117" s="23"/>
      <c r="Q117" s="23">
        <f t="shared" si="9"/>
        <v>14550</v>
      </c>
      <c r="R117" s="23">
        <f t="shared" si="10"/>
        <v>9.6999999999999993</v>
      </c>
      <c r="S117" s="23"/>
      <c r="T117" s="23"/>
      <c r="U117" s="19"/>
      <c r="V117" s="128"/>
      <c r="W117" s="8" t="str">
        <f t="shared" si="11"/>
        <v/>
      </c>
      <c r="X117" s="54"/>
      <c r="Y117" s="56"/>
      <c r="AA117" s="2"/>
      <c r="AB117" s="2"/>
      <c r="AC117" s="132"/>
    </row>
    <row r="118" spans="1:29" ht="15.75">
      <c r="A118" s="29" t="s">
        <v>557</v>
      </c>
      <c r="B118" s="3" t="s">
        <v>89</v>
      </c>
      <c r="C118" s="3" t="s">
        <v>90</v>
      </c>
      <c r="D118" s="3" t="s">
        <v>30</v>
      </c>
      <c r="E118" s="3" t="str">
        <f t="shared" si="7"/>
        <v>Hiwa</v>
      </c>
      <c r="F118" s="3" t="s">
        <v>59</v>
      </c>
      <c r="G118" s="3">
        <v>640</v>
      </c>
      <c r="H118" s="28">
        <v>131200</v>
      </c>
      <c r="I118" s="82"/>
      <c r="J118" s="116">
        <f t="shared" si="12"/>
        <v>0.59095106707317069</v>
      </c>
      <c r="K118" s="124">
        <v>77532.78</v>
      </c>
      <c r="L118" s="22">
        <v>3644</v>
      </c>
      <c r="M118" s="22">
        <v>8880</v>
      </c>
      <c r="N118" s="22">
        <f>170+750</f>
        <v>920</v>
      </c>
      <c r="O118" s="22">
        <f>6796+750</f>
        <v>7546</v>
      </c>
      <c r="P118" s="23">
        <f>18.74+67.48+18.74+67.48+67.48+67.48+67.48</f>
        <v>374.88000000000005</v>
      </c>
      <c r="Q118" s="23">
        <f t="shared" si="9"/>
        <v>98897.66</v>
      </c>
      <c r="R118" s="23">
        <f t="shared" si="10"/>
        <v>0.75379314024390243</v>
      </c>
      <c r="S118" s="23"/>
      <c r="T118" s="23"/>
      <c r="U118" s="19"/>
      <c r="V118" s="128"/>
      <c r="W118" s="8" t="str">
        <f t="shared" si="11"/>
        <v/>
      </c>
      <c r="X118" s="54"/>
      <c r="Y118" s="56" t="s">
        <v>558</v>
      </c>
      <c r="Z118" s="8">
        <v>45454</v>
      </c>
      <c r="AA118" s="2"/>
      <c r="AB118" s="2"/>
      <c r="AC118" s="132"/>
    </row>
    <row r="119" spans="1:29" ht="15.75">
      <c r="A119" s="29" t="s">
        <v>559</v>
      </c>
      <c r="B119" s="3" t="s">
        <v>143</v>
      </c>
      <c r="C119" s="3" t="s">
        <v>119</v>
      </c>
      <c r="D119" s="3" t="s">
        <v>411</v>
      </c>
      <c r="E119" s="3" t="str">
        <f t="shared" si="7"/>
        <v>Direct</v>
      </c>
      <c r="F119" s="3" t="s">
        <v>121</v>
      </c>
      <c r="G119" s="3">
        <v>110</v>
      </c>
      <c r="H119" s="28">
        <v>1100</v>
      </c>
      <c r="I119" s="82"/>
      <c r="J119" s="116">
        <f t="shared" si="12"/>
        <v>1.085</v>
      </c>
      <c r="K119" s="124">
        <v>1193.5</v>
      </c>
      <c r="L119" s="22"/>
      <c r="M119" s="22"/>
      <c r="N119" s="22"/>
      <c r="O119" s="22"/>
      <c r="P119" s="23"/>
      <c r="Q119" s="23">
        <f t="shared" si="9"/>
        <v>1193.5</v>
      </c>
      <c r="R119" s="23">
        <f t="shared" si="10"/>
        <v>1.085</v>
      </c>
      <c r="S119" s="23"/>
      <c r="T119" s="23"/>
      <c r="U119" s="19"/>
      <c r="V119" s="128"/>
      <c r="W119" s="8" t="str">
        <f t="shared" si="11"/>
        <v/>
      </c>
      <c r="X119" s="54"/>
      <c r="Y119" s="56"/>
      <c r="AA119" s="2"/>
      <c r="AB119" s="2"/>
      <c r="AC119" s="132"/>
    </row>
    <row r="120" spans="1:29" ht="15.75">
      <c r="A120" s="29" t="s">
        <v>560</v>
      </c>
      <c r="B120" s="3" t="s">
        <v>548</v>
      </c>
      <c r="C120" s="3" t="s">
        <v>34</v>
      </c>
      <c r="D120" s="3" t="s">
        <v>561</v>
      </c>
      <c r="E120" s="3" t="str">
        <f t="shared" si="7"/>
        <v>Direct</v>
      </c>
      <c r="F120" s="3" t="s">
        <v>121</v>
      </c>
      <c r="G120" s="3">
        <v>4</v>
      </c>
      <c r="H120" s="28">
        <v>800</v>
      </c>
      <c r="I120" s="82"/>
      <c r="J120" s="116">
        <f t="shared" si="12"/>
        <v>4.63</v>
      </c>
      <c r="K120" s="124">
        <v>3704</v>
      </c>
      <c r="L120" s="22">
        <v>200</v>
      </c>
      <c r="M120" s="22"/>
      <c r="N120" s="22"/>
      <c r="O120" s="22"/>
      <c r="P120" s="23"/>
      <c r="Q120" s="23">
        <f t="shared" si="9"/>
        <v>3904</v>
      </c>
      <c r="R120" s="23">
        <f t="shared" si="10"/>
        <v>4.88</v>
      </c>
      <c r="S120" s="23"/>
      <c r="T120" s="23"/>
      <c r="U120" s="19"/>
      <c r="V120" s="128"/>
      <c r="W120" s="8" t="str">
        <f t="shared" si="11"/>
        <v/>
      </c>
      <c r="X120" s="54"/>
      <c r="Y120" s="56"/>
      <c r="AA120" s="2"/>
      <c r="AB120" s="2"/>
      <c r="AC120" s="132"/>
    </row>
    <row r="121" spans="1:29" ht="15.75">
      <c r="A121" s="29" t="s">
        <v>562</v>
      </c>
      <c r="B121" s="3" t="s">
        <v>300</v>
      </c>
      <c r="C121" s="9" t="s">
        <v>34</v>
      </c>
      <c r="D121" s="3" t="s">
        <v>301</v>
      </c>
      <c r="E121" s="3" t="str">
        <f t="shared" si="7"/>
        <v>Direct</v>
      </c>
      <c r="F121" s="10" t="s">
        <v>563</v>
      </c>
      <c r="G121" s="1">
        <v>11</v>
      </c>
      <c r="H121" s="27">
        <v>220</v>
      </c>
      <c r="I121" s="82"/>
      <c r="J121" s="116">
        <f t="shared" si="12"/>
        <v>2.95</v>
      </c>
      <c r="K121" s="124">
        <v>649</v>
      </c>
      <c r="L121" s="22"/>
      <c r="M121" s="22"/>
      <c r="N121" s="22"/>
      <c r="O121" s="22"/>
      <c r="P121" s="23"/>
      <c r="Q121" s="23">
        <f t="shared" si="9"/>
        <v>649</v>
      </c>
      <c r="R121" s="23">
        <f t="shared" si="10"/>
        <v>2.95</v>
      </c>
      <c r="S121" s="23"/>
      <c r="T121" s="23"/>
      <c r="U121" s="19"/>
      <c r="V121" s="128"/>
      <c r="W121" s="8" t="str">
        <f t="shared" si="11"/>
        <v/>
      </c>
      <c r="X121" s="54"/>
      <c r="Y121" s="56"/>
      <c r="AA121" s="2"/>
      <c r="AB121" s="2"/>
      <c r="AC121" s="132"/>
    </row>
    <row r="122" spans="1:29" ht="15.75">
      <c r="A122" s="29" t="s">
        <v>564</v>
      </c>
      <c r="B122" s="3" t="s">
        <v>471</v>
      </c>
      <c r="C122" s="9" t="s">
        <v>34</v>
      </c>
      <c r="D122" s="3" t="s">
        <v>301</v>
      </c>
      <c r="E122" s="3" t="str">
        <f t="shared" si="7"/>
        <v>Direct</v>
      </c>
      <c r="F122" s="10" t="s">
        <v>563</v>
      </c>
      <c r="G122" s="1">
        <v>6</v>
      </c>
      <c r="H122" s="27">
        <v>120</v>
      </c>
      <c r="I122" s="82"/>
      <c r="J122" s="116">
        <f t="shared" si="12"/>
        <v>3.81</v>
      </c>
      <c r="K122" s="124">
        <v>457.2</v>
      </c>
      <c r="L122" s="22"/>
      <c r="M122" s="22"/>
      <c r="N122" s="22"/>
      <c r="O122" s="22"/>
      <c r="P122" s="23"/>
      <c r="Q122" s="23">
        <f t="shared" si="9"/>
        <v>457.2</v>
      </c>
      <c r="R122" s="23">
        <f t="shared" si="10"/>
        <v>3.81</v>
      </c>
      <c r="S122" s="23"/>
      <c r="T122" s="23"/>
      <c r="U122" s="19"/>
      <c r="V122" s="128"/>
      <c r="W122" s="8" t="str">
        <f t="shared" si="11"/>
        <v/>
      </c>
      <c r="X122" s="54"/>
      <c r="Y122" s="56"/>
      <c r="AA122" s="2"/>
      <c r="AB122" s="2"/>
      <c r="AC122" s="132"/>
    </row>
    <row r="123" spans="1:29" ht="15.75">
      <c r="A123" s="29" t="s">
        <v>565</v>
      </c>
      <c r="B123" s="3" t="s">
        <v>93</v>
      </c>
      <c r="C123" s="9" t="s">
        <v>90</v>
      </c>
      <c r="D123" s="3" t="s">
        <v>97</v>
      </c>
      <c r="E123" s="3" t="str">
        <f t="shared" si="7"/>
        <v>Direct</v>
      </c>
      <c r="F123" s="10" t="s">
        <v>59</v>
      </c>
      <c r="G123" s="1">
        <f>2*128</f>
        <v>256</v>
      </c>
      <c r="H123" s="27">
        <f>G123*205</f>
        <v>52480</v>
      </c>
      <c r="I123" s="82"/>
      <c r="J123" s="116">
        <f t="shared" si="12"/>
        <v>0.57587652439024395</v>
      </c>
      <c r="K123" s="124">
        <v>30222</v>
      </c>
      <c r="L123" s="22">
        <v>5369</v>
      </c>
      <c r="M123" s="22"/>
      <c r="N123" s="22"/>
      <c r="O123" s="22"/>
      <c r="P123" s="23"/>
      <c r="Q123" s="23">
        <f t="shared" si="9"/>
        <v>35591</v>
      </c>
      <c r="R123" s="23">
        <f t="shared" si="10"/>
        <v>0.67818216463414638</v>
      </c>
      <c r="S123" s="23"/>
      <c r="T123" s="23"/>
      <c r="U123" s="19"/>
      <c r="V123" s="128"/>
      <c r="W123" s="8" t="str">
        <f t="shared" si="11"/>
        <v/>
      </c>
      <c r="X123" s="54"/>
      <c r="Y123" s="56"/>
      <c r="AA123" s="2"/>
      <c r="AB123" s="2"/>
      <c r="AC123" s="132"/>
    </row>
    <row r="124" spans="1:29" ht="15.75">
      <c r="A124" s="29" t="s">
        <v>566</v>
      </c>
      <c r="B124" s="3" t="s">
        <v>567</v>
      </c>
      <c r="C124" s="3" t="s">
        <v>119</v>
      </c>
      <c r="D124" s="3" t="s">
        <v>568</v>
      </c>
      <c r="E124" s="3" t="str">
        <f t="shared" si="7"/>
        <v>Direct</v>
      </c>
      <c r="F124" s="3" t="s">
        <v>121</v>
      </c>
      <c r="G124" s="3"/>
      <c r="H124" s="28"/>
      <c r="I124" s="82"/>
      <c r="J124" s="116"/>
      <c r="K124" s="124"/>
      <c r="L124" s="22"/>
      <c r="M124" s="22"/>
      <c r="N124" s="22"/>
      <c r="O124" s="22"/>
      <c r="P124" s="23"/>
      <c r="Q124" s="23"/>
      <c r="R124" s="23" t="str">
        <f t="shared" si="10"/>
        <v/>
      </c>
      <c r="S124" s="23"/>
      <c r="T124" s="23"/>
      <c r="U124" s="19"/>
      <c r="V124" s="128"/>
      <c r="W124" s="8" t="str">
        <f t="shared" si="11"/>
        <v/>
      </c>
      <c r="X124" s="54"/>
      <c r="Y124" s="56"/>
      <c r="AA124" s="2"/>
      <c r="AB124" s="2"/>
      <c r="AC124" s="132"/>
    </row>
    <row r="125" spans="1:29" ht="15.75">
      <c r="A125" s="29" t="s">
        <v>569</v>
      </c>
      <c r="B125" s="3" t="s">
        <v>570</v>
      </c>
      <c r="C125" s="3" t="s">
        <v>119</v>
      </c>
      <c r="D125" s="13" t="s">
        <v>104</v>
      </c>
      <c r="E125" s="3" t="str">
        <f t="shared" si="7"/>
        <v>Direct</v>
      </c>
      <c r="F125" s="3" t="s">
        <v>121</v>
      </c>
      <c r="G125" s="65"/>
      <c r="H125" s="53"/>
      <c r="I125" s="82"/>
      <c r="J125" s="116"/>
      <c r="K125" s="124"/>
      <c r="L125" s="22"/>
      <c r="M125" s="22"/>
      <c r="N125" s="22"/>
      <c r="O125" s="22"/>
      <c r="P125" s="23"/>
      <c r="Q125" s="23"/>
      <c r="R125" s="23" t="str">
        <f t="shared" si="10"/>
        <v/>
      </c>
      <c r="S125" s="23"/>
      <c r="T125" s="23"/>
      <c r="U125" s="19"/>
      <c r="V125" s="128"/>
      <c r="W125" s="8" t="str">
        <f t="shared" si="11"/>
        <v/>
      </c>
      <c r="X125" s="54"/>
      <c r="Y125" s="56"/>
      <c r="AA125" s="2"/>
      <c r="AB125" s="2"/>
      <c r="AC125" s="132"/>
    </row>
    <row r="126" spans="1:29" ht="15.75">
      <c r="A126" s="29" t="s">
        <v>571</v>
      </c>
      <c r="B126" s="3" t="s">
        <v>183</v>
      </c>
      <c r="C126" s="3" t="s">
        <v>119</v>
      </c>
      <c r="D126" s="13" t="s">
        <v>184</v>
      </c>
      <c r="E126" s="3" t="str">
        <f t="shared" si="7"/>
        <v>Direct</v>
      </c>
      <c r="F126" s="3" t="s">
        <v>121</v>
      </c>
      <c r="G126" s="65">
        <v>4</v>
      </c>
      <c r="H126" s="53">
        <v>840</v>
      </c>
      <c r="I126" s="82"/>
      <c r="J126" s="116">
        <f t="shared" si="12"/>
        <v>2.1</v>
      </c>
      <c r="K126" s="124">
        <v>1764</v>
      </c>
      <c r="L126" s="22">
        <v>240</v>
      </c>
      <c r="M126" s="22"/>
      <c r="N126" s="22"/>
      <c r="O126" s="22"/>
      <c r="P126" s="23"/>
      <c r="Q126" s="23">
        <f t="shared" si="9"/>
        <v>2004</v>
      </c>
      <c r="R126" s="23">
        <f t="shared" si="10"/>
        <v>2.3857142857142857</v>
      </c>
      <c r="S126" s="23"/>
      <c r="T126" s="23"/>
      <c r="U126" s="19"/>
      <c r="V126" s="128"/>
      <c r="W126" s="8" t="str">
        <f t="shared" si="11"/>
        <v/>
      </c>
      <c r="X126" s="54"/>
      <c r="Y126" s="56"/>
      <c r="AA126" s="2"/>
      <c r="AB126" s="2"/>
      <c r="AC126" s="132"/>
    </row>
    <row r="127" spans="1:29" ht="15.75">
      <c r="A127" s="29" t="s">
        <v>572</v>
      </c>
      <c r="B127" s="3" t="s">
        <v>175</v>
      </c>
      <c r="C127" s="9" t="s">
        <v>176</v>
      </c>
      <c r="D127" s="13" t="s">
        <v>177</v>
      </c>
      <c r="E127" s="3" t="str">
        <f t="shared" si="7"/>
        <v>Direct</v>
      </c>
      <c r="F127" s="10" t="s">
        <v>128</v>
      </c>
      <c r="G127" s="1">
        <v>9</v>
      </c>
      <c r="H127" s="27">
        <v>216</v>
      </c>
      <c r="I127" s="82"/>
      <c r="J127" s="116">
        <f t="shared" si="12"/>
        <v>2.1999999999999997</v>
      </c>
      <c r="K127" s="124">
        <v>475.2</v>
      </c>
      <c r="L127" s="22"/>
      <c r="M127" s="22"/>
      <c r="N127" s="22"/>
      <c r="O127" s="22"/>
      <c r="P127" s="23"/>
      <c r="Q127" s="23">
        <f t="shared" si="9"/>
        <v>475.2</v>
      </c>
      <c r="R127" s="23">
        <f t="shared" si="10"/>
        <v>2.1999999999999997</v>
      </c>
      <c r="S127" s="23"/>
      <c r="T127" s="23"/>
      <c r="U127" s="19"/>
      <c r="V127" s="128"/>
      <c r="W127" s="8" t="str">
        <f t="shared" si="11"/>
        <v/>
      </c>
      <c r="X127" s="54"/>
      <c r="Y127" s="56"/>
      <c r="AA127" s="2"/>
      <c r="AB127" s="2"/>
      <c r="AC127" s="132"/>
    </row>
    <row r="128" spans="1:29" ht="15.75">
      <c r="A128" s="29" t="s">
        <v>573</v>
      </c>
      <c r="B128" s="3" t="s">
        <v>179</v>
      </c>
      <c r="C128" s="9" t="s">
        <v>176</v>
      </c>
      <c r="D128" s="13" t="s">
        <v>177</v>
      </c>
      <c r="E128" s="3" t="str">
        <f t="shared" si="7"/>
        <v>Direct</v>
      </c>
      <c r="F128" s="10" t="s">
        <v>128</v>
      </c>
      <c r="G128" s="1">
        <v>7</v>
      </c>
      <c r="H128" s="27">
        <v>168</v>
      </c>
      <c r="I128" s="82"/>
      <c r="J128" s="116">
        <f t="shared" si="12"/>
        <v>2.8</v>
      </c>
      <c r="K128" s="124">
        <v>470.4</v>
      </c>
      <c r="L128" s="22"/>
      <c r="M128" s="22"/>
      <c r="N128" s="22"/>
      <c r="O128" s="22"/>
      <c r="P128" s="23"/>
      <c r="Q128" s="23">
        <f t="shared" si="9"/>
        <v>470.4</v>
      </c>
      <c r="R128" s="23">
        <f t="shared" si="10"/>
        <v>2.8</v>
      </c>
      <c r="S128" s="23"/>
      <c r="T128" s="23"/>
      <c r="U128" s="19"/>
      <c r="V128" s="128"/>
      <c r="W128" s="8" t="str">
        <f t="shared" si="11"/>
        <v/>
      </c>
      <c r="X128" s="54"/>
      <c r="Y128" s="56"/>
      <c r="AA128" s="2"/>
      <c r="AB128" s="2"/>
      <c r="AC128" s="132"/>
    </row>
    <row r="129" spans="1:29" ht="15.75">
      <c r="A129" s="29" t="s">
        <v>574</v>
      </c>
      <c r="B129" s="3" t="s">
        <v>143</v>
      </c>
      <c r="C129" s="9" t="s">
        <v>119</v>
      </c>
      <c r="D129" s="3" t="s">
        <v>411</v>
      </c>
      <c r="E129" s="3" t="str">
        <f t="shared" si="7"/>
        <v>Direct</v>
      </c>
      <c r="F129" s="10" t="s">
        <v>121</v>
      </c>
      <c r="G129" s="1">
        <v>110</v>
      </c>
      <c r="H129" s="27">
        <v>1100</v>
      </c>
      <c r="I129" s="82"/>
      <c r="J129" s="116">
        <f t="shared" si="12"/>
        <v>1.085</v>
      </c>
      <c r="K129" s="124">
        <v>1193.5</v>
      </c>
      <c r="L129" s="22"/>
      <c r="M129" s="22"/>
      <c r="N129" s="22"/>
      <c r="O129" s="22"/>
      <c r="P129" s="23"/>
      <c r="Q129" s="23">
        <f t="shared" si="9"/>
        <v>1193.5</v>
      </c>
      <c r="R129" s="23">
        <f t="shared" si="10"/>
        <v>1.085</v>
      </c>
      <c r="S129" s="23"/>
      <c r="T129" s="23"/>
      <c r="U129" s="19"/>
      <c r="V129" s="128"/>
      <c r="W129" s="8" t="str">
        <f t="shared" si="11"/>
        <v/>
      </c>
      <c r="X129" s="54"/>
      <c r="Y129" s="56"/>
      <c r="AA129" s="2"/>
      <c r="AB129" s="2"/>
      <c r="AC129" s="132"/>
    </row>
    <row r="130" spans="1:29" ht="15.75">
      <c r="A130" s="29" t="s">
        <v>575</v>
      </c>
      <c r="B130" s="3" t="s">
        <v>446</v>
      </c>
      <c r="C130" s="9" t="s">
        <v>34</v>
      </c>
      <c r="D130" s="3" t="s">
        <v>447</v>
      </c>
      <c r="E130" s="3" t="str">
        <f t="shared" si="7"/>
        <v>Direct</v>
      </c>
      <c r="F130" s="10" t="s">
        <v>121</v>
      </c>
      <c r="G130" s="14">
        <v>30</v>
      </c>
      <c r="H130" s="81">
        <v>750</v>
      </c>
      <c r="I130" s="82"/>
      <c r="J130" s="116">
        <f t="shared" si="12"/>
        <v>1.52</v>
      </c>
      <c r="K130" s="124">
        <v>1140</v>
      </c>
      <c r="L130" s="22"/>
      <c r="M130" s="22"/>
      <c r="N130" s="22"/>
      <c r="O130" s="22"/>
      <c r="P130" s="23"/>
      <c r="Q130" s="23">
        <f t="shared" si="9"/>
        <v>1140</v>
      </c>
      <c r="R130" s="23">
        <f t="shared" si="10"/>
        <v>1.52</v>
      </c>
      <c r="S130" s="23"/>
      <c r="T130" s="23"/>
      <c r="U130" s="19"/>
      <c r="V130" s="128"/>
      <c r="W130" s="8" t="str">
        <f t="shared" si="11"/>
        <v/>
      </c>
      <c r="X130" s="54"/>
      <c r="Y130" s="56"/>
      <c r="AA130" s="2"/>
      <c r="AB130" s="2"/>
      <c r="AC130" s="132"/>
    </row>
    <row r="131" spans="1:29" ht="15.75">
      <c r="A131" s="29" t="s">
        <v>576</v>
      </c>
      <c r="B131" s="3" t="s">
        <v>577</v>
      </c>
      <c r="C131" s="3" t="s">
        <v>133</v>
      </c>
      <c r="D131" s="13" t="s">
        <v>134</v>
      </c>
      <c r="E131" s="3" t="str">
        <f t="shared" si="7"/>
        <v>Direct</v>
      </c>
      <c r="F131" s="3" t="s">
        <v>121</v>
      </c>
      <c r="G131" s="3">
        <v>20</v>
      </c>
      <c r="H131" s="28">
        <v>4400</v>
      </c>
      <c r="I131" s="82"/>
      <c r="J131" s="116">
        <f t="shared" si="12"/>
        <v>1.36</v>
      </c>
      <c r="K131" s="124">
        <v>5984</v>
      </c>
      <c r="L131" s="106"/>
      <c r="M131" s="22"/>
      <c r="N131" s="22"/>
      <c r="O131" s="22"/>
      <c r="P131" s="23"/>
      <c r="Q131" s="23">
        <f t="shared" si="9"/>
        <v>5984</v>
      </c>
      <c r="R131" s="23">
        <f t="shared" si="10"/>
        <v>1.36</v>
      </c>
      <c r="S131" s="23"/>
      <c r="T131" s="23"/>
      <c r="U131" s="19"/>
      <c r="V131" s="128"/>
      <c r="W131" s="8" t="str">
        <f t="shared" si="11"/>
        <v/>
      </c>
      <c r="X131" s="54"/>
      <c r="Y131" s="56"/>
      <c r="AA131" s="2"/>
      <c r="AB131" s="2"/>
      <c r="AC131" s="132"/>
    </row>
    <row r="132" spans="1:29" ht="15.75">
      <c r="A132" s="29" t="s">
        <v>578</v>
      </c>
      <c r="B132" s="3" t="s">
        <v>136</v>
      </c>
      <c r="C132" s="9" t="s">
        <v>133</v>
      </c>
      <c r="D132" s="13" t="s">
        <v>134</v>
      </c>
      <c r="E132" s="3" t="str">
        <f t="shared" ref="E132:E195" si="13">IF(B132="","",IF(D132="Godfroy","Godfroy",(IF(LEFT(B132,1)="1","Hiwa","Direct"))))</f>
        <v>Direct</v>
      </c>
      <c r="F132" s="10" t="s">
        <v>121</v>
      </c>
      <c r="G132" s="1">
        <v>20</v>
      </c>
      <c r="H132" s="27">
        <v>4400</v>
      </c>
      <c r="I132" s="82"/>
      <c r="J132" s="116">
        <f t="shared" si="12"/>
        <v>1.1599999999999999</v>
      </c>
      <c r="K132" s="124">
        <v>5104</v>
      </c>
      <c r="L132" s="22"/>
      <c r="M132" s="22"/>
      <c r="N132" s="22"/>
      <c r="O132" s="22"/>
      <c r="P132" s="23"/>
      <c r="Q132" s="23">
        <f t="shared" ref="Q132:Q194" si="14">K132+SUM(L132:P132)</f>
        <v>5104</v>
      </c>
      <c r="R132" s="23">
        <f t="shared" ref="R132:R195" si="15">IF(J132="","",+Q132/H132)</f>
        <v>1.1599999999999999</v>
      </c>
      <c r="S132" s="23"/>
      <c r="T132" s="23"/>
      <c r="U132" s="19"/>
      <c r="V132" s="128"/>
      <c r="W132" s="8" t="str">
        <f t="shared" ref="W132:W195" si="16">IF(V132&gt;0,(((H132/G132)*V132)*R132),"")</f>
        <v/>
      </c>
      <c r="X132" s="54"/>
      <c r="Y132" s="56"/>
      <c r="AA132" s="2"/>
      <c r="AB132" s="2"/>
      <c r="AC132" s="132"/>
    </row>
    <row r="133" spans="1:29" ht="15.75">
      <c r="A133" s="29" t="s">
        <v>579</v>
      </c>
      <c r="B133" s="3" t="s">
        <v>580</v>
      </c>
      <c r="C133" s="3" t="s">
        <v>581</v>
      </c>
      <c r="D133" s="13" t="s">
        <v>582</v>
      </c>
      <c r="E133" s="3" t="str">
        <f t="shared" si="13"/>
        <v>Direct</v>
      </c>
      <c r="F133" s="3" t="s">
        <v>121</v>
      </c>
      <c r="G133" s="3">
        <v>4</v>
      </c>
      <c r="H133" s="28">
        <v>880</v>
      </c>
      <c r="I133" s="82"/>
      <c r="J133" s="116">
        <f t="shared" si="12"/>
        <v>1</v>
      </c>
      <c r="K133" s="124">
        <v>880</v>
      </c>
      <c r="L133" s="22"/>
      <c r="M133" s="22"/>
      <c r="N133" s="22"/>
      <c r="O133" s="22"/>
      <c r="P133" s="23"/>
      <c r="Q133" s="23">
        <f t="shared" si="14"/>
        <v>880</v>
      </c>
      <c r="R133" s="23">
        <f t="shared" si="15"/>
        <v>1</v>
      </c>
      <c r="S133" s="23"/>
      <c r="T133" s="23"/>
      <c r="U133" s="19"/>
      <c r="V133" s="128"/>
      <c r="W133" s="8" t="str">
        <f t="shared" si="16"/>
        <v/>
      </c>
      <c r="X133" s="54"/>
      <c r="Y133" s="56"/>
      <c r="AA133" s="2"/>
      <c r="AB133" s="2"/>
      <c r="AC133" s="132"/>
    </row>
    <row r="134" spans="1:29" ht="15.75">
      <c r="A134" s="29" t="s">
        <v>53</v>
      </c>
      <c r="B134" s="3" t="s">
        <v>54</v>
      </c>
      <c r="C134" s="3" t="s">
        <v>385</v>
      </c>
      <c r="D134" s="3" t="s">
        <v>30</v>
      </c>
      <c r="E134" s="3" t="str">
        <f t="shared" si="13"/>
        <v>Hiwa</v>
      </c>
      <c r="F134" s="3" t="s">
        <v>46</v>
      </c>
      <c r="G134" s="3">
        <v>46</v>
      </c>
      <c r="H134" s="28">
        <f>G134*220</f>
        <v>10120</v>
      </c>
      <c r="I134" s="82"/>
      <c r="J134" s="116">
        <f t="shared" si="12"/>
        <v>1.35</v>
      </c>
      <c r="K134" s="124">
        <v>13662</v>
      </c>
      <c r="L134" s="106"/>
      <c r="M134" s="22">
        <v>61</v>
      </c>
      <c r="N134" s="22"/>
      <c r="O134" s="22">
        <f>582+33</f>
        <v>615</v>
      </c>
      <c r="P134" s="23">
        <f>(3*75.7)+75.7+75.7+75.7+75.7+59.76+59.76+59.76+59.76+43.82+43.82</f>
        <v>856.58</v>
      </c>
      <c r="Q134" s="23">
        <f t="shared" si="14"/>
        <v>15194.58</v>
      </c>
      <c r="R134" s="23">
        <f t="shared" si="15"/>
        <v>1.5014407114624506</v>
      </c>
      <c r="S134" s="23"/>
      <c r="T134" s="23">
        <v>22</v>
      </c>
      <c r="U134" s="19">
        <v>22</v>
      </c>
      <c r="V134" s="128">
        <v>22</v>
      </c>
      <c r="W134" s="8">
        <f t="shared" si="16"/>
        <v>7266.9730434782614</v>
      </c>
      <c r="X134" s="54"/>
      <c r="Y134" s="56">
        <v>354761</v>
      </c>
      <c r="Z134" s="8">
        <v>45447</v>
      </c>
      <c r="AA134" s="2"/>
      <c r="AB134" s="2"/>
      <c r="AC134" s="132"/>
    </row>
    <row r="135" spans="1:29" ht="15.75">
      <c r="A135" s="29" t="s">
        <v>583</v>
      </c>
      <c r="B135" s="3" t="s">
        <v>584</v>
      </c>
      <c r="C135" s="9" t="s">
        <v>385</v>
      </c>
      <c r="D135" s="3" t="s">
        <v>30</v>
      </c>
      <c r="E135" s="3" t="str">
        <f t="shared" si="13"/>
        <v>Hiwa</v>
      </c>
      <c r="F135" s="10" t="s">
        <v>46</v>
      </c>
      <c r="G135" s="1">
        <v>72</v>
      </c>
      <c r="H135" s="27">
        <f>G135*220</f>
        <v>15840</v>
      </c>
      <c r="I135" s="82"/>
      <c r="J135" s="116">
        <f t="shared" si="12"/>
        <v>1</v>
      </c>
      <c r="K135" s="124">
        <v>15840</v>
      </c>
      <c r="L135" s="22">
        <v>295</v>
      </c>
      <c r="M135" s="22">
        <v>60.78</v>
      </c>
      <c r="N135" s="22"/>
      <c r="O135" s="22">
        <v>911</v>
      </c>
      <c r="P135" s="23">
        <f>(3*41.7)+41.7+41.7+11.91+11.91+11.91+11.91+11.91+11.91+11.91</f>
        <v>291.87000000000006</v>
      </c>
      <c r="Q135" s="23">
        <f t="shared" si="14"/>
        <v>17398.650000000001</v>
      </c>
      <c r="R135" s="23">
        <f t="shared" si="15"/>
        <v>1.0983996212121212</v>
      </c>
      <c r="S135" s="23"/>
      <c r="T135" s="23">
        <v>8</v>
      </c>
      <c r="U135" s="19">
        <v>0</v>
      </c>
      <c r="V135" s="128">
        <v>0</v>
      </c>
      <c r="W135" s="8" t="str">
        <f t="shared" si="16"/>
        <v/>
      </c>
      <c r="X135" s="54"/>
      <c r="Y135" s="56">
        <v>354762</v>
      </c>
      <c r="Z135" s="8">
        <v>45447</v>
      </c>
      <c r="AA135" s="2"/>
      <c r="AB135" s="2"/>
      <c r="AC135" s="132"/>
    </row>
    <row r="136" spans="1:29" ht="15.75">
      <c r="A136" s="29" t="s">
        <v>585</v>
      </c>
      <c r="B136" s="3" t="s">
        <v>93</v>
      </c>
      <c r="C136" s="9" t="s">
        <v>90</v>
      </c>
      <c r="D136" s="3" t="s">
        <v>94</v>
      </c>
      <c r="E136" s="3" t="str">
        <f t="shared" si="13"/>
        <v>Direct</v>
      </c>
      <c r="F136" s="10" t="s">
        <v>59</v>
      </c>
      <c r="G136" s="1">
        <v>128</v>
      </c>
      <c r="H136" s="27">
        <v>26240</v>
      </c>
      <c r="I136" s="82"/>
      <c r="J136" s="116">
        <f t="shared" si="12"/>
        <v>0.53614824695121954</v>
      </c>
      <c r="K136" s="124">
        <v>14068.53</v>
      </c>
      <c r="L136" s="22">
        <v>906</v>
      </c>
      <c r="M136" s="22"/>
      <c r="N136" s="22"/>
      <c r="O136" s="22"/>
      <c r="P136" s="23"/>
      <c r="Q136" s="23">
        <f t="shared" si="14"/>
        <v>14974.53</v>
      </c>
      <c r="R136" s="23">
        <f t="shared" si="15"/>
        <v>0.5706756859756098</v>
      </c>
      <c r="S136" s="23"/>
      <c r="T136" s="23"/>
      <c r="U136" s="19"/>
      <c r="V136" s="128"/>
      <c r="W136" s="8" t="str">
        <f t="shared" si="16"/>
        <v/>
      </c>
      <c r="X136" s="54"/>
      <c r="Y136" s="56"/>
      <c r="AA136" s="2"/>
      <c r="AB136" s="2"/>
      <c r="AC136" s="132"/>
    </row>
    <row r="137" spans="1:29" ht="15.75">
      <c r="A137" s="29" t="s">
        <v>586</v>
      </c>
      <c r="B137" s="3" t="s">
        <v>93</v>
      </c>
      <c r="C137" s="3" t="s">
        <v>90</v>
      </c>
      <c r="D137" s="3" t="s">
        <v>97</v>
      </c>
      <c r="E137" s="3" t="str">
        <f t="shared" si="13"/>
        <v>Direct</v>
      </c>
      <c r="F137" s="3" t="s">
        <v>59</v>
      </c>
      <c r="G137" s="3">
        <f t="shared" ref="G137:G138" si="17">2*128</f>
        <v>256</v>
      </c>
      <c r="H137" s="28">
        <f>G137*205</f>
        <v>52480</v>
      </c>
      <c r="I137" s="82"/>
      <c r="J137" s="116">
        <f t="shared" si="12"/>
        <v>0.57781916920731713</v>
      </c>
      <c r="K137" s="124">
        <v>30323.95</v>
      </c>
      <c r="L137" s="22">
        <v>5276.36</v>
      </c>
      <c r="M137" s="22"/>
      <c r="N137" s="22"/>
      <c r="O137" s="22"/>
      <c r="P137" s="23"/>
      <c r="Q137" s="23">
        <f t="shared" si="14"/>
        <v>35600.31</v>
      </c>
      <c r="R137" s="23">
        <f t="shared" si="15"/>
        <v>0.67835956554878041</v>
      </c>
      <c r="S137" s="23"/>
      <c r="T137" s="23"/>
      <c r="U137" s="19"/>
      <c r="V137" s="128"/>
      <c r="W137" s="8" t="str">
        <f t="shared" si="16"/>
        <v/>
      </c>
      <c r="X137" s="54"/>
      <c r="Y137" s="56"/>
      <c r="AA137" s="2"/>
      <c r="AB137" s="2"/>
      <c r="AC137" s="132"/>
    </row>
    <row r="138" spans="1:29" ht="15.75">
      <c r="A138" s="29" t="s">
        <v>587</v>
      </c>
      <c r="B138" s="3" t="s">
        <v>93</v>
      </c>
      <c r="C138" s="3" t="s">
        <v>90</v>
      </c>
      <c r="D138" s="3" t="s">
        <v>97</v>
      </c>
      <c r="E138" s="3" t="str">
        <f t="shared" si="13"/>
        <v>Direct</v>
      </c>
      <c r="F138" s="3" t="s">
        <v>59</v>
      </c>
      <c r="G138" s="3">
        <f t="shared" si="17"/>
        <v>256</v>
      </c>
      <c r="H138" s="28">
        <f>G138*205</f>
        <v>52480</v>
      </c>
      <c r="I138" s="82"/>
      <c r="J138" s="116">
        <f t="shared" si="12"/>
        <v>0.56932964939024389</v>
      </c>
      <c r="K138" s="124">
        <v>29878.42</v>
      </c>
      <c r="L138" s="22">
        <v>6250</v>
      </c>
      <c r="M138" s="22"/>
      <c r="N138" s="22"/>
      <c r="O138" s="22"/>
      <c r="P138" s="23"/>
      <c r="Q138" s="23">
        <f t="shared" si="14"/>
        <v>36128.42</v>
      </c>
      <c r="R138" s="23">
        <f t="shared" si="15"/>
        <v>0.68842263719512187</v>
      </c>
      <c r="S138" s="23"/>
      <c r="T138" s="23"/>
      <c r="U138" s="19"/>
      <c r="V138" s="128"/>
      <c r="W138" s="8" t="str">
        <f t="shared" si="16"/>
        <v/>
      </c>
      <c r="X138" s="54"/>
      <c r="Y138" s="56"/>
      <c r="AA138" s="2"/>
      <c r="AB138" s="2"/>
      <c r="AC138" s="132"/>
    </row>
    <row r="139" spans="1:29" ht="15.75">
      <c r="A139" s="29" t="s">
        <v>56</v>
      </c>
      <c r="B139" s="3" t="s">
        <v>57</v>
      </c>
      <c r="C139" s="3" t="s">
        <v>58</v>
      </c>
      <c r="D139" s="3" t="s">
        <v>30</v>
      </c>
      <c r="E139" s="3" t="str">
        <f t="shared" si="13"/>
        <v>Hiwa</v>
      </c>
      <c r="F139" s="3" t="s">
        <v>59</v>
      </c>
      <c r="G139" s="3">
        <v>124</v>
      </c>
      <c r="H139" s="28">
        <f>G139*190</f>
        <v>23560</v>
      </c>
      <c r="I139" s="82"/>
      <c r="J139" s="116">
        <f t="shared" si="12"/>
        <v>0.63635526315789481</v>
      </c>
      <c r="K139" s="124">
        <v>14992.53</v>
      </c>
      <c r="L139" s="22">
        <f>((2250/1.0749)/140)*124</f>
        <v>1853.9930624775725</v>
      </c>
      <c r="M139" s="22">
        <v>2573.5</v>
      </c>
      <c r="N139" s="22">
        <f>275+165+78</f>
        <v>518</v>
      </c>
      <c r="O139" s="22">
        <f>1505-172</f>
        <v>1333</v>
      </c>
      <c r="P139" s="23">
        <f>108.29+68.99+68.99+68.99+68.99+68.99+68.99+68.99+68.99+68.99+68.99+68.99</f>
        <v>867.18000000000006</v>
      </c>
      <c r="Q139" s="23">
        <f t="shared" si="14"/>
        <v>22138.203062477573</v>
      </c>
      <c r="R139" s="23">
        <f t="shared" si="15"/>
        <v>0.93965208244811427</v>
      </c>
      <c r="S139" s="23"/>
      <c r="T139" s="23">
        <v>79</v>
      </c>
      <c r="U139" s="19">
        <v>79</v>
      </c>
      <c r="V139" s="128">
        <v>79</v>
      </c>
      <c r="W139" s="8">
        <f t="shared" si="16"/>
        <v>14104.177757546195</v>
      </c>
      <c r="X139" s="54"/>
      <c r="Y139" s="56">
        <v>356799</v>
      </c>
      <c r="Z139" s="8">
        <v>45482</v>
      </c>
      <c r="AA139" s="2"/>
      <c r="AB139" s="2"/>
      <c r="AC139" s="132"/>
    </row>
    <row r="140" spans="1:29" ht="15.75">
      <c r="A140" s="29" t="s">
        <v>588</v>
      </c>
      <c r="B140" s="3" t="s">
        <v>285</v>
      </c>
      <c r="C140" s="3" t="s">
        <v>58</v>
      </c>
      <c r="D140" s="3" t="s">
        <v>30</v>
      </c>
      <c r="E140" s="3" t="str">
        <f t="shared" si="13"/>
        <v>Hiwa</v>
      </c>
      <c r="F140" s="3" t="s">
        <v>59</v>
      </c>
      <c r="G140" s="3">
        <v>16</v>
      </c>
      <c r="H140" s="28">
        <f>G140*190</f>
        <v>3040</v>
      </c>
      <c r="I140" s="82"/>
      <c r="J140" s="116">
        <f t="shared" si="12"/>
        <v>1.5678322368421054</v>
      </c>
      <c r="K140" s="124">
        <v>4766.21</v>
      </c>
      <c r="L140" s="22">
        <f>((2250/1.0749)/140)*16</f>
        <v>239.22491128742871</v>
      </c>
      <c r="M140" s="22">
        <v>854.32</v>
      </c>
      <c r="N140" s="22"/>
      <c r="O140" s="22">
        <v>172</v>
      </c>
      <c r="P140" s="23"/>
      <c r="Q140" s="23">
        <f t="shared" si="14"/>
        <v>6031.7549112874285</v>
      </c>
      <c r="R140" s="23">
        <f t="shared" si="15"/>
        <v>1.9841299050287593</v>
      </c>
      <c r="S140" s="23"/>
      <c r="T140" s="23"/>
      <c r="U140" s="19"/>
      <c r="V140" s="128"/>
      <c r="W140" s="8" t="str">
        <f t="shared" si="16"/>
        <v/>
      </c>
      <c r="X140" s="54"/>
      <c r="Y140" s="56">
        <v>356800</v>
      </c>
      <c r="Z140" s="8">
        <v>45482</v>
      </c>
      <c r="AA140" s="2"/>
      <c r="AB140" s="2"/>
      <c r="AC140" s="132"/>
    </row>
    <row r="141" spans="1:29" ht="15.75">
      <c r="A141" s="29" t="s">
        <v>589</v>
      </c>
      <c r="B141" s="3" t="s">
        <v>89</v>
      </c>
      <c r="C141" s="9" t="s">
        <v>90</v>
      </c>
      <c r="D141" s="3" t="s">
        <v>30</v>
      </c>
      <c r="E141" s="3" t="str">
        <f t="shared" si="13"/>
        <v>Hiwa</v>
      </c>
      <c r="F141" s="3" t="s">
        <v>59</v>
      </c>
      <c r="G141" s="3">
        <f>4*128</f>
        <v>512</v>
      </c>
      <c r="H141" s="28">
        <f>G141*205</f>
        <v>104960</v>
      </c>
      <c r="I141" s="82"/>
      <c r="J141" s="116">
        <f t="shared" si="12"/>
        <v>0.59645855564024386</v>
      </c>
      <c r="K141" s="124">
        <v>62604.29</v>
      </c>
      <c r="L141" s="22">
        <v>2949</v>
      </c>
      <c r="M141" s="22"/>
      <c r="N141" s="22">
        <v>600</v>
      </c>
      <c r="O141" s="22">
        <v>4802</v>
      </c>
      <c r="P141" s="23"/>
      <c r="Q141" s="23">
        <f t="shared" si="14"/>
        <v>70955.290000000008</v>
      </c>
      <c r="R141" s="23">
        <f t="shared" si="15"/>
        <v>0.67602219893292692</v>
      </c>
      <c r="S141" s="23"/>
      <c r="T141" s="23">
        <v>8</v>
      </c>
      <c r="U141" s="19">
        <v>0</v>
      </c>
      <c r="V141" s="128">
        <v>0</v>
      </c>
      <c r="W141" s="8" t="str">
        <f t="shared" si="16"/>
        <v/>
      </c>
      <c r="X141" s="54"/>
      <c r="Y141" s="56" t="s">
        <v>590</v>
      </c>
      <c r="Z141" s="8">
        <v>45489</v>
      </c>
      <c r="AA141" s="2"/>
      <c r="AB141" s="2"/>
      <c r="AC141" s="132"/>
    </row>
    <row r="142" spans="1:29" ht="15.75">
      <c r="A142" s="29"/>
      <c r="B142" s="3" t="s">
        <v>89</v>
      </c>
      <c r="C142" s="9" t="s">
        <v>90</v>
      </c>
      <c r="D142" s="13" t="s">
        <v>30</v>
      </c>
      <c r="E142" s="3" t="str">
        <f t="shared" si="13"/>
        <v>Hiwa</v>
      </c>
      <c r="F142" s="10" t="s">
        <v>59</v>
      </c>
      <c r="G142" s="1">
        <v>128</v>
      </c>
      <c r="H142" s="27">
        <f>+G142*205</f>
        <v>26240</v>
      </c>
      <c r="I142" s="82"/>
      <c r="J142" s="116">
        <v>0.67600000000000005</v>
      </c>
      <c r="K142" s="124">
        <f>+H142*J142</f>
        <v>17738.240000000002</v>
      </c>
      <c r="L142" s="22"/>
      <c r="M142" s="22">
        <f>1807.33+60.78</f>
        <v>1868.11</v>
      </c>
      <c r="N142" s="22"/>
      <c r="O142" s="22"/>
      <c r="P142" s="23">
        <f>71.23+119.96+119.96+71.23+119.96+36.38+119.96+119.96+119.96+119.02+119.02+7.5</f>
        <v>1144.1400000000001</v>
      </c>
      <c r="Q142" s="23">
        <f t="shared" si="14"/>
        <v>20750.490000000002</v>
      </c>
      <c r="R142" s="23">
        <f t="shared" si="15"/>
        <v>0.79079611280487816</v>
      </c>
      <c r="S142" s="23"/>
      <c r="T142" s="23"/>
      <c r="U142" s="19"/>
      <c r="V142" s="128"/>
      <c r="X142" s="54"/>
      <c r="Y142" s="56"/>
      <c r="AA142" s="2"/>
      <c r="AB142" s="2"/>
      <c r="AC142" s="132"/>
    </row>
    <row r="143" spans="1:29" ht="15.75">
      <c r="A143" s="29" t="s">
        <v>591</v>
      </c>
      <c r="B143" s="3" t="s">
        <v>143</v>
      </c>
      <c r="C143" s="9" t="s">
        <v>119</v>
      </c>
      <c r="D143" s="13" t="s">
        <v>411</v>
      </c>
      <c r="E143" s="3" t="str">
        <f t="shared" si="13"/>
        <v>Direct</v>
      </c>
      <c r="F143" s="10" t="s">
        <v>121</v>
      </c>
      <c r="G143" s="1">
        <v>110</v>
      </c>
      <c r="H143" s="27">
        <v>1100</v>
      </c>
      <c r="I143" s="82"/>
      <c r="J143" s="116">
        <f>+K143/H143</f>
        <v>1.085</v>
      </c>
      <c r="K143" s="124">
        <v>1193.5</v>
      </c>
      <c r="L143" s="22">
        <v>485</v>
      </c>
      <c r="M143" s="22"/>
      <c r="N143" s="22"/>
      <c r="O143" s="22"/>
      <c r="P143" s="23"/>
      <c r="Q143" s="23">
        <f t="shared" si="14"/>
        <v>1678.5</v>
      </c>
      <c r="R143" s="23">
        <f t="shared" si="15"/>
        <v>1.5259090909090909</v>
      </c>
      <c r="S143" s="23"/>
      <c r="T143" s="23"/>
      <c r="U143" s="19"/>
      <c r="V143" s="128"/>
      <c r="X143" s="54"/>
      <c r="Y143" s="56"/>
      <c r="AA143" s="2"/>
      <c r="AB143" s="2"/>
      <c r="AC143" s="132"/>
    </row>
    <row r="144" spans="1:29" ht="15.75">
      <c r="A144" s="29" t="s">
        <v>592</v>
      </c>
      <c r="B144" s="3" t="s">
        <v>593</v>
      </c>
      <c r="C144" s="9" t="s">
        <v>34</v>
      </c>
      <c r="D144" s="3" t="s">
        <v>594</v>
      </c>
      <c r="E144" s="3" t="str">
        <f t="shared" si="13"/>
        <v>Direct</v>
      </c>
      <c r="F144" s="10" t="s">
        <v>121</v>
      </c>
      <c r="G144" s="1">
        <v>5</v>
      </c>
      <c r="H144" s="27">
        <v>100</v>
      </c>
      <c r="I144" s="82"/>
      <c r="J144" s="116">
        <f>+K144/H144</f>
        <v>8.43</v>
      </c>
      <c r="K144" s="124">
        <v>843</v>
      </c>
      <c r="L144" s="22">
        <v>200</v>
      </c>
      <c r="M144" s="22"/>
      <c r="N144" s="22"/>
      <c r="O144" s="22"/>
      <c r="P144" s="23"/>
      <c r="Q144" s="23">
        <f t="shared" si="14"/>
        <v>1043</v>
      </c>
      <c r="R144" s="23">
        <f t="shared" si="15"/>
        <v>10.43</v>
      </c>
      <c r="S144" s="23"/>
      <c r="T144" s="23"/>
      <c r="U144" s="19"/>
      <c r="V144" s="128"/>
      <c r="W144" s="8" t="str">
        <f t="shared" si="16"/>
        <v/>
      </c>
      <c r="X144" s="54"/>
      <c r="Y144" s="56"/>
      <c r="AA144" s="61"/>
      <c r="AB144" s="61"/>
      <c r="AC144" s="132"/>
    </row>
    <row r="145" spans="1:29" ht="15.75">
      <c r="A145" s="29" t="s">
        <v>595</v>
      </c>
      <c r="B145" s="3" t="s">
        <v>89</v>
      </c>
      <c r="C145" s="3" t="s">
        <v>90</v>
      </c>
      <c r="D145" s="3" t="s">
        <v>104</v>
      </c>
      <c r="E145" s="3" t="str">
        <f t="shared" si="13"/>
        <v>Hiwa</v>
      </c>
      <c r="F145" s="3" t="s">
        <v>128</v>
      </c>
      <c r="G145" s="3">
        <v>29</v>
      </c>
      <c r="H145" s="28">
        <v>5945</v>
      </c>
      <c r="I145" s="82"/>
      <c r="J145" s="116">
        <v>0.68600000000000005</v>
      </c>
      <c r="K145" s="124">
        <f>+H145*J145</f>
        <v>4078.2700000000004</v>
      </c>
      <c r="L145" s="22"/>
      <c r="M145" s="22">
        <v>474.53</v>
      </c>
      <c r="N145" s="22"/>
      <c r="O145" s="22"/>
      <c r="P145" s="23"/>
      <c r="Q145" s="23">
        <f t="shared" si="14"/>
        <v>4552.8</v>
      </c>
      <c r="R145" s="23">
        <f t="shared" si="15"/>
        <v>0.76582001682085787</v>
      </c>
      <c r="S145" s="23"/>
      <c r="T145" s="23"/>
      <c r="U145" s="19"/>
      <c r="V145" s="128"/>
      <c r="W145" s="8" t="str">
        <f t="shared" si="16"/>
        <v/>
      </c>
      <c r="X145" s="54"/>
      <c r="Y145" s="56">
        <v>354878</v>
      </c>
      <c r="Z145" s="8">
        <v>45442</v>
      </c>
      <c r="AA145" s="61"/>
      <c r="AB145" s="61"/>
      <c r="AC145" s="132"/>
    </row>
    <row r="146" spans="1:29" ht="15.75">
      <c r="A146" s="29" t="s">
        <v>596</v>
      </c>
      <c r="B146" s="3" t="s">
        <v>597</v>
      </c>
      <c r="C146" s="3" t="s">
        <v>34</v>
      </c>
      <c r="D146" s="3" t="s">
        <v>278</v>
      </c>
      <c r="E146" s="3" t="str">
        <f t="shared" si="13"/>
        <v>Direct</v>
      </c>
      <c r="F146" s="3" t="s">
        <v>121</v>
      </c>
      <c r="G146" s="3">
        <v>10</v>
      </c>
      <c r="H146" s="28">
        <v>200</v>
      </c>
      <c r="I146" s="82"/>
      <c r="J146" s="116">
        <f t="shared" ref="J146:J151" si="18">+K146/H146</f>
        <v>8.18</v>
      </c>
      <c r="K146" s="125">
        <v>1636</v>
      </c>
      <c r="L146" s="58"/>
      <c r="M146" s="58"/>
      <c r="N146" s="58"/>
      <c r="O146" s="58"/>
      <c r="P146" s="59"/>
      <c r="Q146" s="59">
        <f t="shared" si="14"/>
        <v>1636</v>
      </c>
      <c r="R146" s="59">
        <f t="shared" si="15"/>
        <v>8.18</v>
      </c>
      <c r="S146" s="59"/>
      <c r="T146" s="59"/>
      <c r="U146" s="104"/>
      <c r="V146" s="130"/>
      <c r="W146" s="8" t="str">
        <f t="shared" si="16"/>
        <v/>
      </c>
      <c r="X146" s="54"/>
      <c r="Y146" s="56"/>
      <c r="AA146" s="105"/>
      <c r="AB146" s="105"/>
      <c r="AC146" s="134"/>
    </row>
    <row r="147" spans="1:29" ht="15.75">
      <c r="A147" s="29" t="s">
        <v>598</v>
      </c>
      <c r="B147" s="3" t="s">
        <v>140</v>
      </c>
      <c r="C147" s="3" t="s">
        <v>62</v>
      </c>
      <c r="D147" s="3" t="s">
        <v>104</v>
      </c>
      <c r="E147" s="3" t="str">
        <f t="shared" si="13"/>
        <v>Direct</v>
      </c>
      <c r="F147" s="3" t="s">
        <v>46</v>
      </c>
      <c r="G147" s="3">
        <f>1*112</f>
        <v>112</v>
      </c>
      <c r="H147" s="28">
        <f>G147*210</f>
        <v>23520</v>
      </c>
      <c r="I147" s="82"/>
      <c r="J147" s="116">
        <f t="shared" si="18"/>
        <v>1.02</v>
      </c>
      <c r="K147" s="125">
        <v>23990.400000000001</v>
      </c>
      <c r="L147" s="58"/>
      <c r="M147" s="58">
        <v>188.02</v>
      </c>
      <c r="N147" s="58"/>
      <c r="O147" s="58"/>
      <c r="P147" s="59"/>
      <c r="Q147" s="59">
        <f t="shared" si="14"/>
        <v>24178.420000000002</v>
      </c>
      <c r="R147" s="59">
        <f t="shared" si="15"/>
        <v>1.0279940476190477</v>
      </c>
      <c r="S147" s="59"/>
      <c r="T147" s="59"/>
      <c r="U147" s="104"/>
      <c r="V147" s="130"/>
      <c r="W147" s="8" t="str">
        <f t="shared" si="16"/>
        <v/>
      </c>
      <c r="X147" s="54"/>
      <c r="Y147" s="56"/>
      <c r="AA147" s="105"/>
      <c r="AB147" s="105"/>
      <c r="AC147" s="134"/>
    </row>
    <row r="148" spans="1:29" ht="15.75">
      <c r="A148" s="29" t="s">
        <v>599</v>
      </c>
      <c r="B148" s="3" t="s">
        <v>93</v>
      </c>
      <c r="C148" s="9" t="s">
        <v>90</v>
      </c>
      <c r="D148" s="3" t="s">
        <v>600</v>
      </c>
      <c r="E148" s="3" t="str">
        <f t="shared" si="13"/>
        <v>Direct</v>
      </c>
      <c r="F148" s="10" t="s">
        <v>59</v>
      </c>
      <c r="G148" s="1">
        <v>104</v>
      </c>
      <c r="H148" s="27">
        <f>G148*205</f>
        <v>21320</v>
      </c>
      <c r="I148" s="82"/>
      <c r="J148" s="116">
        <f t="shared" si="18"/>
        <v>0.57997281377435439</v>
      </c>
      <c r="K148" s="125">
        <f>13644.8/1.1035</f>
        <v>12365.020389669235</v>
      </c>
      <c r="L148" s="58">
        <f>4651/1.1103</f>
        <v>4188.9579392956857</v>
      </c>
      <c r="M148" s="58"/>
      <c r="N148" s="58"/>
      <c r="O148" s="58"/>
      <c r="P148" s="59"/>
      <c r="Q148" s="59">
        <f t="shared" si="14"/>
        <v>16553.97832896492</v>
      </c>
      <c r="R148" s="59">
        <f t="shared" si="15"/>
        <v>0.77645301730604688</v>
      </c>
      <c r="S148" s="59"/>
      <c r="T148" s="59"/>
      <c r="U148" s="104"/>
      <c r="V148" s="130"/>
      <c r="W148" s="8" t="str">
        <f t="shared" si="16"/>
        <v/>
      </c>
      <c r="X148" s="54"/>
      <c r="Y148" s="56"/>
      <c r="AA148" s="105"/>
      <c r="AB148" s="105"/>
      <c r="AC148" s="134"/>
    </row>
    <row r="149" spans="1:29" ht="15.75">
      <c r="A149" s="29" t="s">
        <v>601</v>
      </c>
      <c r="B149" s="55" t="s">
        <v>214</v>
      </c>
      <c r="C149" s="9" t="s">
        <v>119</v>
      </c>
      <c r="D149" s="3" t="s">
        <v>468</v>
      </c>
      <c r="E149" s="3" t="str">
        <f t="shared" si="13"/>
        <v>Direct</v>
      </c>
      <c r="F149" s="3" t="s">
        <v>121</v>
      </c>
      <c r="G149" s="3">
        <v>2</v>
      </c>
      <c r="H149" s="28">
        <v>400</v>
      </c>
      <c r="I149" s="82"/>
      <c r="J149" s="116">
        <f t="shared" si="18"/>
        <v>1.3</v>
      </c>
      <c r="K149" s="125">
        <v>520</v>
      </c>
      <c r="L149" s="106"/>
      <c r="M149" s="58"/>
      <c r="N149" s="58"/>
      <c r="O149" s="58"/>
      <c r="P149" s="59"/>
      <c r="Q149" s="59">
        <f t="shared" si="14"/>
        <v>520</v>
      </c>
      <c r="R149" s="59">
        <f t="shared" si="15"/>
        <v>1.3</v>
      </c>
      <c r="S149" s="59"/>
      <c r="T149" s="59"/>
      <c r="U149" s="104"/>
      <c r="V149" s="130"/>
      <c r="W149" s="8" t="str">
        <f t="shared" si="16"/>
        <v/>
      </c>
      <c r="X149" s="54"/>
      <c r="Y149" s="56"/>
      <c r="AA149" s="105"/>
      <c r="AB149" s="105"/>
      <c r="AC149" s="134"/>
    </row>
    <row r="150" spans="1:29" ht="15.75">
      <c r="A150" s="29" t="s">
        <v>602</v>
      </c>
      <c r="B150" s="3" t="s">
        <v>143</v>
      </c>
      <c r="C150" s="9" t="s">
        <v>119</v>
      </c>
      <c r="D150" s="3" t="s">
        <v>411</v>
      </c>
      <c r="E150" s="3" t="str">
        <f t="shared" si="13"/>
        <v>Direct</v>
      </c>
      <c r="F150" s="10" t="s">
        <v>121</v>
      </c>
      <c r="G150" s="1">
        <v>110</v>
      </c>
      <c r="H150" s="27">
        <v>1100</v>
      </c>
      <c r="I150" s="82"/>
      <c r="J150" s="116">
        <f t="shared" si="18"/>
        <v>1.085</v>
      </c>
      <c r="K150" s="125">
        <v>1193.5</v>
      </c>
      <c r="L150" s="58">
        <v>485</v>
      </c>
      <c r="M150" s="58"/>
      <c r="N150" s="58"/>
      <c r="O150" s="58"/>
      <c r="P150" s="59"/>
      <c r="Q150" s="59">
        <f t="shared" si="14"/>
        <v>1678.5</v>
      </c>
      <c r="R150" s="59">
        <f t="shared" si="15"/>
        <v>1.5259090909090909</v>
      </c>
      <c r="S150" s="59"/>
      <c r="T150" s="59"/>
      <c r="U150" s="104"/>
      <c r="V150" s="130"/>
      <c r="W150" s="8" t="str">
        <f t="shared" si="16"/>
        <v/>
      </c>
      <c r="X150" s="54"/>
      <c r="Y150" s="56"/>
      <c r="AA150" s="105"/>
      <c r="AB150" s="105"/>
      <c r="AC150" s="134"/>
    </row>
    <row r="151" spans="1:29" ht="15.75">
      <c r="A151" s="29" t="s">
        <v>603</v>
      </c>
      <c r="B151" s="3" t="s">
        <v>89</v>
      </c>
      <c r="C151" s="9" t="s">
        <v>90</v>
      </c>
      <c r="D151" s="3" t="s">
        <v>30</v>
      </c>
      <c r="E151" s="3" t="str">
        <f t="shared" si="13"/>
        <v>Hiwa</v>
      </c>
      <c r="F151" s="10" t="s">
        <v>59</v>
      </c>
      <c r="G151" s="1">
        <f>2*128</f>
        <v>256</v>
      </c>
      <c r="H151" s="27">
        <f>G151*205</f>
        <v>52480</v>
      </c>
      <c r="I151" s="82"/>
      <c r="J151" s="116">
        <f t="shared" si="18"/>
        <v>0.59166127392068024</v>
      </c>
      <c r="K151" s="125">
        <f>33587.2/1.0817</f>
        <v>31050.383655357302</v>
      </c>
      <c r="L151" s="58">
        <f>1580/1.0817</f>
        <v>1460.6637699916796</v>
      </c>
      <c r="M151" s="58"/>
      <c r="N151" s="58">
        <f>300+340</f>
        <v>640</v>
      </c>
      <c r="O151" s="58">
        <f>2705.34-300</f>
        <v>2405.34</v>
      </c>
      <c r="P151" s="59"/>
      <c r="Q151" s="59">
        <f t="shared" si="14"/>
        <v>35556.387425348978</v>
      </c>
      <c r="R151" s="59">
        <f t="shared" si="15"/>
        <v>0.67752262624521675</v>
      </c>
      <c r="S151" s="59"/>
      <c r="T151" s="59"/>
      <c r="U151" s="104"/>
      <c r="V151" s="130"/>
      <c r="W151" s="8" t="str">
        <f t="shared" si="16"/>
        <v/>
      </c>
      <c r="X151" s="54"/>
      <c r="Y151" s="56" t="s">
        <v>604</v>
      </c>
      <c r="Z151" s="8">
        <v>45525</v>
      </c>
      <c r="AA151" s="105"/>
      <c r="AB151" s="105"/>
      <c r="AC151" s="134"/>
    </row>
    <row r="152" spans="1:29" ht="15.75">
      <c r="A152" s="29"/>
      <c r="B152" s="55" t="s">
        <v>89</v>
      </c>
      <c r="C152" s="55" t="s">
        <v>90</v>
      </c>
      <c r="D152" s="55" t="s">
        <v>30</v>
      </c>
      <c r="E152" s="55" t="str">
        <f t="shared" si="13"/>
        <v>Hiwa</v>
      </c>
      <c r="F152" s="55" t="s">
        <v>59</v>
      </c>
      <c r="G152" s="55">
        <v>128</v>
      </c>
      <c r="H152" s="56">
        <v>26240</v>
      </c>
      <c r="I152" s="82"/>
      <c r="J152" s="116">
        <f>R151</f>
        <v>0.67752262624521675</v>
      </c>
      <c r="K152" s="125">
        <f>J152*H152</f>
        <v>17778.193712674489</v>
      </c>
      <c r="L152" s="58"/>
      <c r="M152" s="58">
        <v>1851.61</v>
      </c>
      <c r="N152" s="58"/>
      <c r="O152" s="58"/>
      <c r="P152" s="59"/>
      <c r="Q152" s="59">
        <f t="shared" si="14"/>
        <v>19629.803712674489</v>
      </c>
      <c r="R152" s="59">
        <f t="shared" si="15"/>
        <v>0.74808703173302171</v>
      </c>
      <c r="S152" s="59"/>
      <c r="T152" s="59"/>
      <c r="U152" s="104"/>
      <c r="V152" s="130"/>
      <c r="W152" s="8" t="str">
        <f t="shared" si="16"/>
        <v/>
      </c>
      <c r="X152" s="54"/>
      <c r="Y152" s="56"/>
      <c r="AA152" s="105"/>
      <c r="AB152" s="105"/>
      <c r="AC152" s="134"/>
    </row>
    <row r="153" spans="1:29" ht="15.75">
      <c r="A153" s="29" t="s">
        <v>60</v>
      </c>
      <c r="B153" s="55" t="s">
        <v>389</v>
      </c>
      <c r="C153" s="55" t="s">
        <v>62</v>
      </c>
      <c r="D153" s="55" t="s">
        <v>63</v>
      </c>
      <c r="E153" s="55" t="str">
        <f t="shared" si="13"/>
        <v>Hiwa</v>
      </c>
      <c r="F153" s="55" t="s">
        <v>46</v>
      </c>
      <c r="G153" s="55">
        <v>112</v>
      </c>
      <c r="H153" s="56">
        <v>23520</v>
      </c>
      <c r="I153" s="82"/>
      <c r="J153" s="116">
        <f>+K153/H153</f>
        <v>1.335</v>
      </c>
      <c r="K153" s="125">
        <v>31399.200000000001</v>
      </c>
      <c r="L153" s="58"/>
      <c r="M153" s="58">
        <f>60.78+33.23</f>
        <v>94.009999999999991</v>
      </c>
      <c r="N153" s="58"/>
      <c r="O153" s="58">
        <v>1311.7</v>
      </c>
      <c r="P153" s="59">
        <f>140.08+39.22+39.22+39.22+39.22+39.22</f>
        <v>336.18000000000006</v>
      </c>
      <c r="Q153" s="59">
        <f t="shared" si="14"/>
        <v>33141.090000000004</v>
      </c>
      <c r="R153" s="59">
        <f t="shared" si="15"/>
        <v>1.4090599489795921</v>
      </c>
      <c r="S153" s="59"/>
      <c r="T153" s="59">
        <v>28</v>
      </c>
      <c r="U153" s="104">
        <v>28</v>
      </c>
      <c r="V153" s="130">
        <v>24</v>
      </c>
      <c r="W153" s="8">
        <f t="shared" si="16"/>
        <v>7101.6621428571443</v>
      </c>
      <c r="X153" s="54"/>
      <c r="Y153" s="56">
        <v>361283</v>
      </c>
      <c r="Z153" s="8">
        <v>45558</v>
      </c>
      <c r="AA153" s="105"/>
      <c r="AB153" s="105"/>
      <c r="AC153" s="134"/>
    </row>
    <row r="154" spans="1:29" ht="15.75">
      <c r="A154" s="29" t="s">
        <v>605</v>
      </c>
      <c r="B154" s="55" t="s">
        <v>93</v>
      </c>
      <c r="C154" s="55" t="s">
        <v>90</v>
      </c>
      <c r="D154" s="55" t="s">
        <v>97</v>
      </c>
      <c r="E154" s="55" t="str">
        <f t="shared" si="13"/>
        <v>Direct</v>
      </c>
      <c r="F154" s="55" t="s">
        <v>59</v>
      </c>
      <c r="G154" s="55">
        <f>3*128</f>
        <v>384</v>
      </c>
      <c r="H154" s="56">
        <f>G154*205</f>
        <v>78720</v>
      </c>
      <c r="I154" s="82"/>
      <c r="J154" s="116">
        <f>+K154/H154</f>
        <v>0.56943423952975758</v>
      </c>
      <c r="K154" s="125">
        <f>48806.4/1.0888</f>
        <v>44825.863335782517</v>
      </c>
      <c r="L154" s="58">
        <f>10170/1.0888</f>
        <v>9340.5584129316685</v>
      </c>
      <c r="M154" s="58"/>
      <c r="N154" s="58"/>
      <c r="O154" s="58"/>
      <c r="P154" s="59"/>
      <c r="Q154" s="59">
        <f t="shared" si="14"/>
        <v>54166.421748714187</v>
      </c>
      <c r="R154" s="59">
        <f t="shared" si="15"/>
        <v>0.68808970717370666</v>
      </c>
      <c r="S154" s="59"/>
      <c r="T154" s="59"/>
      <c r="U154" s="104"/>
      <c r="V154" s="130"/>
      <c r="W154" s="8" t="str">
        <f t="shared" si="16"/>
        <v/>
      </c>
      <c r="X154" s="54"/>
      <c r="Y154" s="56"/>
      <c r="AA154" s="105"/>
      <c r="AB154" s="105"/>
      <c r="AC154" s="134"/>
    </row>
    <row r="155" spans="1:29" ht="15.75">
      <c r="A155" s="29" t="s">
        <v>606</v>
      </c>
      <c r="B155" s="55" t="s">
        <v>82</v>
      </c>
      <c r="C155" s="55" t="s">
        <v>376</v>
      </c>
      <c r="D155" s="55" t="s">
        <v>73</v>
      </c>
      <c r="E155" s="55" t="str">
        <f t="shared" si="13"/>
        <v>Hiwa</v>
      </c>
      <c r="F155" s="55" t="s">
        <v>607</v>
      </c>
      <c r="G155" s="55">
        <v>128</v>
      </c>
      <c r="H155" s="56">
        <f>G155*204</f>
        <v>26112</v>
      </c>
      <c r="I155" s="82"/>
      <c r="J155" s="116">
        <f>+K155/H155</f>
        <v>0.61939539613571226</v>
      </c>
      <c r="K155" s="125">
        <f>17495.04/1.0817</f>
        <v>16173.652583895719</v>
      </c>
      <c r="L155" s="58">
        <f>790/1.0789</f>
        <v>732.22726851422749</v>
      </c>
      <c r="M155" s="58"/>
      <c r="N155" s="58"/>
      <c r="O155" s="58">
        <v>1222.67</v>
      </c>
      <c r="P155" s="59"/>
      <c r="Q155" s="59">
        <f t="shared" si="14"/>
        <v>18128.549852409946</v>
      </c>
      <c r="R155" s="59">
        <f t="shared" si="15"/>
        <v>0.69426125353898382</v>
      </c>
      <c r="S155" s="59"/>
      <c r="T155" s="59">
        <v>0</v>
      </c>
      <c r="U155" s="104"/>
      <c r="V155" s="130"/>
      <c r="W155" s="8" t="str">
        <f t="shared" si="16"/>
        <v/>
      </c>
      <c r="X155" s="54"/>
      <c r="Y155" s="56">
        <v>359115</v>
      </c>
      <c r="Z155" s="8">
        <v>45525</v>
      </c>
      <c r="AA155" s="105"/>
      <c r="AB155" s="105"/>
      <c r="AC155" s="134"/>
    </row>
    <row r="156" spans="1:29" ht="15.75">
      <c r="A156" s="29"/>
      <c r="B156" s="55" t="s">
        <v>82</v>
      </c>
      <c r="C156" s="55" t="s">
        <v>376</v>
      </c>
      <c r="D156" s="55" t="s">
        <v>73</v>
      </c>
      <c r="E156" s="55" t="str">
        <f t="shared" si="13"/>
        <v>Hiwa</v>
      </c>
      <c r="F156" s="55" t="s">
        <v>607</v>
      </c>
      <c r="G156" s="55">
        <v>128</v>
      </c>
      <c r="H156" s="56">
        <f>G156*204</f>
        <v>26112</v>
      </c>
      <c r="I156" s="82"/>
      <c r="J156" s="116">
        <f>R155</f>
        <v>0.69426125353898382</v>
      </c>
      <c r="K156" s="125">
        <f>J156*H156</f>
        <v>18128.549852409946</v>
      </c>
      <c r="L156" s="58"/>
      <c r="M156" s="58">
        <f>1515.68+471.22</f>
        <v>1986.9</v>
      </c>
      <c r="N156" s="58"/>
      <c r="O156" s="58"/>
      <c r="P156" s="59">
        <f>26.24+26.24+26.24+26.24+26.24+26.24+26.24</f>
        <v>183.68</v>
      </c>
      <c r="Q156" s="59">
        <f t="shared" si="14"/>
        <v>20299.129852409947</v>
      </c>
      <c r="R156" s="59">
        <f t="shared" si="15"/>
        <v>0.77738701947035649</v>
      </c>
      <c r="S156" s="59"/>
      <c r="T156" s="59"/>
      <c r="U156" s="104"/>
      <c r="V156" s="130"/>
      <c r="W156" s="8" t="str">
        <f t="shared" si="16"/>
        <v/>
      </c>
      <c r="X156" s="54"/>
      <c r="Y156" s="56"/>
      <c r="AA156" s="105"/>
      <c r="AB156" s="105"/>
      <c r="AC156" s="134"/>
    </row>
    <row r="157" spans="1:29" ht="15.75">
      <c r="A157" s="29" t="s">
        <v>64</v>
      </c>
      <c r="B157" s="55" t="s">
        <v>65</v>
      </c>
      <c r="C157" s="55" t="s">
        <v>375</v>
      </c>
      <c r="D157" s="55" t="s">
        <v>30</v>
      </c>
      <c r="E157" s="55" t="str">
        <f t="shared" si="13"/>
        <v>Hiwa</v>
      </c>
      <c r="F157" s="55" t="s">
        <v>46</v>
      </c>
      <c r="G157" s="55">
        <v>96</v>
      </c>
      <c r="H157" s="56">
        <v>19200</v>
      </c>
      <c r="I157" s="82"/>
      <c r="J157" s="116">
        <f t="shared" ref="J157:J162" si="19">+K157/H157</f>
        <v>1.8336847895846704</v>
      </c>
      <c r="K157" s="125">
        <f>38400/1.0907</f>
        <v>35206.74796002567</v>
      </c>
      <c r="L157" s="58">
        <v>800</v>
      </c>
      <c r="M157" s="58">
        <v>61</v>
      </c>
      <c r="N157" s="58">
        <v>38</v>
      </c>
      <c r="O157" s="58">
        <v>1008.94</v>
      </c>
      <c r="P157" s="59">
        <f>96.09+96.09+96.09+96.09+96.09+96.09+96.06+96.06</f>
        <v>768.66000000000008</v>
      </c>
      <c r="Q157" s="59">
        <f t="shared" si="14"/>
        <v>37883.347960025669</v>
      </c>
      <c r="R157" s="59">
        <f t="shared" si="15"/>
        <v>1.9730910395846701</v>
      </c>
      <c r="S157" s="59"/>
      <c r="T157" s="59">
        <v>72</v>
      </c>
      <c r="U157" s="104">
        <v>72</v>
      </c>
      <c r="V157" s="130">
        <v>20</v>
      </c>
      <c r="W157" s="8">
        <f t="shared" si="16"/>
        <v>7892.3641583386807</v>
      </c>
      <c r="X157" s="54"/>
      <c r="Y157" s="56">
        <v>359055</v>
      </c>
      <c r="Z157" s="8">
        <v>45525</v>
      </c>
      <c r="AA157" s="105"/>
      <c r="AB157" s="105"/>
      <c r="AC157" s="134"/>
    </row>
    <row r="158" spans="1:29" ht="15.75">
      <c r="A158" s="29" t="s">
        <v>67</v>
      </c>
      <c r="B158" s="3" t="s">
        <v>68</v>
      </c>
      <c r="C158" s="9" t="s">
        <v>375</v>
      </c>
      <c r="D158" s="3" t="s">
        <v>30</v>
      </c>
      <c r="E158" s="3" t="str">
        <f t="shared" si="13"/>
        <v>Hiwa</v>
      </c>
      <c r="F158" s="10" t="s">
        <v>46</v>
      </c>
      <c r="G158" s="1">
        <v>240</v>
      </c>
      <c r="H158" s="27">
        <v>4800</v>
      </c>
      <c r="I158" s="82"/>
      <c r="J158" s="116">
        <f t="shared" si="19"/>
        <v>1.8336847895846704</v>
      </c>
      <c r="K158" s="125">
        <f>9600/1.0907</f>
        <v>8801.6869900064175</v>
      </c>
      <c r="L158" s="58">
        <v>350</v>
      </c>
      <c r="M158" s="58">
        <v>60.78</v>
      </c>
      <c r="N158" s="58"/>
      <c r="O158" s="58">
        <v>351.35</v>
      </c>
      <c r="P158" s="59">
        <f>57.36+57.36+57.36+57.36+57.36+57.36+57.36+47.8</f>
        <v>449.32000000000005</v>
      </c>
      <c r="Q158" s="59">
        <f t="shared" si="14"/>
        <v>10013.136990006418</v>
      </c>
      <c r="R158" s="59">
        <f t="shared" si="15"/>
        <v>2.0860702062513372</v>
      </c>
      <c r="S158" s="59"/>
      <c r="T158" s="59">
        <v>240</v>
      </c>
      <c r="U158" s="104">
        <v>200</v>
      </c>
      <c r="V158" s="130">
        <v>200</v>
      </c>
      <c r="W158" s="8">
        <f t="shared" si="16"/>
        <v>8344.2808250053495</v>
      </c>
      <c r="X158" s="54"/>
      <c r="Y158" s="56">
        <v>359056</v>
      </c>
      <c r="Z158" s="8">
        <v>45525</v>
      </c>
      <c r="AA158" s="105"/>
      <c r="AB158" s="105"/>
      <c r="AC158" s="134"/>
    </row>
    <row r="159" spans="1:29" ht="15.75">
      <c r="A159" s="29" t="s">
        <v>608</v>
      </c>
      <c r="B159" s="3" t="s">
        <v>103</v>
      </c>
      <c r="C159" s="3" t="s">
        <v>62</v>
      </c>
      <c r="D159" s="3" t="s">
        <v>116</v>
      </c>
      <c r="E159" s="3" t="str">
        <f t="shared" si="13"/>
        <v>Direct</v>
      </c>
      <c r="F159" s="3" t="s">
        <v>31</v>
      </c>
      <c r="G159" s="3">
        <v>112</v>
      </c>
      <c r="H159" s="28">
        <f>G159*210</f>
        <v>23520</v>
      </c>
      <c r="I159" s="82"/>
      <c r="J159" s="116">
        <f t="shared" si="19"/>
        <v>1.2749999999999999</v>
      </c>
      <c r="K159" s="125">
        <v>29988</v>
      </c>
      <c r="L159" s="58"/>
      <c r="M159" s="58"/>
      <c r="N159" s="58"/>
      <c r="O159" s="58"/>
      <c r="P159" s="59"/>
      <c r="Q159" s="59">
        <f t="shared" si="14"/>
        <v>29988</v>
      </c>
      <c r="R159" s="59">
        <f t="shared" si="15"/>
        <v>1.2749999999999999</v>
      </c>
      <c r="S159" s="59"/>
      <c r="T159" s="59"/>
      <c r="U159" s="104"/>
      <c r="V159" s="130"/>
      <c r="W159" s="8" t="str">
        <f t="shared" si="16"/>
        <v/>
      </c>
      <c r="X159" s="54"/>
      <c r="Y159" s="56"/>
      <c r="AA159" s="105"/>
      <c r="AB159" s="105"/>
      <c r="AC159" s="134"/>
    </row>
    <row r="160" spans="1:29" ht="15.75">
      <c r="A160" s="29" t="s">
        <v>609</v>
      </c>
      <c r="B160" s="3" t="s">
        <v>610</v>
      </c>
      <c r="C160" s="3" t="s">
        <v>119</v>
      </c>
      <c r="D160" s="3" t="s">
        <v>177</v>
      </c>
      <c r="E160" s="3" t="str">
        <f t="shared" si="13"/>
        <v>Direct</v>
      </c>
      <c r="F160" s="3" t="s">
        <v>36</v>
      </c>
      <c r="G160" s="3">
        <v>43</v>
      </c>
      <c r="H160" s="28">
        <v>301</v>
      </c>
      <c r="I160" s="82"/>
      <c r="J160" s="116">
        <f t="shared" si="19"/>
        <v>4.6800000000000006</v>
      </c>
      <c r="K160" s="125">
        <v>1408.68</v>
      </c>
      <c r="L160" s="58"/>
      <c r="M160" s="58"/>
      <c r="N160" s="58"/>
      <c r="O160" s="58"/>
      <c r="P160" s="59"/>
      <c r="Q160" s="59">
        <f t="shared" si="14"/>
        <v>1408.68</v>
      </c>
      <c r="R160" s="59">
        <f t="shared" si="15"/>
        <v>4.6800000000000006</v>
      </c>
      <c r="S160" s="59"/>
      <c r="T160" s="59"/>
      <c r="U160" s="104"/>
      <c r="V160" s="130"/>
      <c r="W160" s="8" t="str">
        <f t="shared" si="16"/>
        <v/>
      </c>
      <c r="X160" s="54"/>
      <c r="Y160" s="56"/>
      <c r="AA160" s="105"/>
      <c r="AB160" s="105"/>
      <c r="AC160" s="134"/>
    </row>
    <row r="161" spans="1:29" ht="15.75">
      <c r="A161" s="29" t="s">
        <v>611</v>
      </c>
      <c r="B161" s="55" t="s">
        <v>442</v>
      </c>
      <c r="C161" s="55" t="s">
        <v>34</v>
      </c>
      <c r="D161" s="55" t="s">
        <v>468</v>
      </c>
      <c r="E161" s="55" t="str">
        <f t="shared" si="13"/>
        <v>Direct</v>
      </c>
      <c r="F161" s="55" t="s">
        <v>121</v>
      </c>
      <c r="G161" s="55">
        <v>4</v>
      </c>
      <c r="H161" s="56">
        <v>800</v>
      </c>
      <c r="I161" s="82"/>
      <c r="J161" s="116"/>
      <c r="K161" s="125"/>
      <c r="L161" s="58"/>
      <c r="M161" s="58"/>
      <c r="N161" s="58"/>
      <c r="O161" s="58"/>
      <c r="P161" s="59"/>
      <c r="Q161" s="59"/>
      <c r="R161" s="59" t="str">
        <f t="shared" si="15"/>
        <v/>
      </c>
      <c r="S161" s="59"/>
      <c r="T161" s="59"/>
      <c r="U161" s="104"/>
      <c r="V161" s="130"/>
      <c r="W161" s="8" t="str">
        <f t="shared" si="16"/>
        <v/>
      </c>
      <c r="X161" s="54"/>
      <c r="Y161" s="56"/>
      <c r="AA161" s="105"/>
      <c r="AB161" s="105"/>
      <c r="AC161" s="134"/>
    </row>
    <row r="162" spans="1:29" ht="15.75">
      <c r="A162" s="29" t="s">
        <v>612</v>
      </c>
      <c r="B162" s="55" t="s">
        <v>186</v>
      </c>
      <c r="C162" s="55" t="s">
        <v>29</v>
      </c>
      <c r="D162" s="55" t="s">
        <v>112</v>
      </c>
      <c r="E162" s="55" t="str">
        <f t="shared" si="13"/>
        <v>Direct</v>
      </c>
      <c r="F162" s="55" t="s">
        <v>46</v>
      </c>
      <c r="G162" s="55">
        <v>80</v>
      </c>
      <c r="H162" s="56">
        <f>G162*215</f>
        <v>17200</v>
      </c>
      <c r="I162" s="82"/>
      <c r="J162" s="116">
        <f t="shared" si="19"/>
        <v>0.88705234159779622</v>
      </c>
      <c r="K162" s="125">
        <f>16615.2/1.089</f>
        <v>15257.300275482095</v>
      </c>
      <c r="L162" s="58">
        <v>1513.25</v>
      </c>
      <c r="M162" s="58"/>
      <c r="N162" s="58"/>
      <c r="O162" s="58"/>
      <c r="P162" s="59"/>
      <c r="Q162" s="59">
        <f t="shared" si="14"/>
        <v>16770.550275482095</v>
      </c>
      <c r="R162" s="59">
        <f t="shared" si="15"/>
        <v>0.97503199276058694</v>
      </c>
      <c r="S162" s="59"/>
      <c r="T162" s="59"/>
      <c r="U162" s="104"/>
      <c r="V162" s="130"/>
      <c r="W162" s="8" t="str">
        <f t="shared" si="16"/>
        <v/>
      </c>
      <c r="X162" s="54"/>
      <c r="Y162" s="56"/>
      <c r="AA162" s="105"/>
      <c r="AB162" s="105"/>
      <c r="AC162" s="134"/>
    </row>
    <row r="163" spans="1:29" ht="15.75">
      <c r="A163" s="29" t="s">
        <v>69</v>
      </c>
      <c r="B163" s="55" t="s">
        <v>186</v>
      </c>
      <c r="C163" s="55" t="s">
        <v>29</v>
      </c>
      <c r="D163" s="55" t="s">
        <v>70</v>
      </c>
      <c r="E163" s="55" t="str">
        <f t="shared" si="13"/>
        <v>Direct</v>
      </c>
      <c r="F163" s="55" t="s">
        <v>46</v>
      </c>
      <c r="G163" s="55">
        <v>80</v>
      </c>
      <c r="H163" s="56">
        <f>G163*215</f>
        <v>17200</v>
      </c>
      <c r="I163" s="82"/>
      <c r="J163" s="116">
        <v>0.90500000000000003</v>
      </c>
      <c r="K163" s="125">
        <f>17200/1.105</f>
        <v>15565.610859728507</v>
      </c>
      <c r="L163" s="58">
        <v>1580</v>
      </c>
      <c r="M163" s="58">
        <v>60.78</v>
      </c>
      <c r="N163" s="58"/>
      <c r="O163" s="58">
        <v>1077.8</v>
      </c>
      <c r="P163" s="59">
        <f>123.05+123.05+123.05</f>
        <v>369.15</v>
      </c>
      <c r="Q163" s="59">
        <f t="shared" si="14"/>
        <v>18653.340859728509</v>
      </c>
      <c r="R163" s="59">
        <f t="shared" si="15"/>
        <v>1.0844965616121227</v>
      </c>
      <c r="S163" s="59"/>
      <c r="T163" s="59">
        <v>80</v>
      </c>
      <c r="U163" s="104">
        <v>80</v>
      </c>
      <c r="V163" s="130">
        <v>40</v>
      </c>
      <c r="W163" s="8">
        <f t="shared" si="16"/>
        <v>9326.6704298642562</v>
      </c>
      <c r="X163" s="54"/>
      <c r="Y163" s="56">
        <v>362336</v>
      </c>
      <c r="Z163" s="8">
        <v>45610</v>
      </c>
      <c r="AA163" s="105"/>
      <c r="AB163" s="105"/>
      <c r="AC163" s="134"/>
    </row>
    <row r="164" spans="1:29" ht="15.75">
      <c r="A164" s="29" t="s">
        <v>613</v>
      </c>
      <c r="B164" s="55" t="s">
        <v>548</v>
      </c>
      <c r="C164" s="55" t="s">
        <v>34</v>
      </c>
      <c r="D164" s="55" t="s">
        <v>561</v>
      </c>
      <c r="E164" s="55" t="str">
        <f t="shared" si="13"/>
        <v>Direct</v>
      </c>
      <c r="F164" s="55" t="s">
        <v>121</v>
      </c>
      <c r="G164" s="55">
        <v>4</v>
      </c>
      <c r="H164" s="56">
        <v>800</v>
      </c>
      <c r="I164" s="82"/>
      <c r="J164" s="116">
        <f t="shared" ref="J164:J176" si="20">+K164/H164</f>
        <v>4.63</v>
      </c>
      <c r="K164" s="125">
        <v>3704</v>
      </c>
      <c r="L164" s="58">
        <v>200</v>
      </c>
      <c r="M164" s="58"/>
      <c r="N164" s="58"/>
      <c r="O164" s="58"/>
      <c r="P164" s="59"/>
      <c r="Q164" s="59">
        <f t="shared" si="14"/>
        <v>3904</v>
      </c>
      <c r="R164" s="59">
        <f t="shared" si="15"/>
        <v>4.88</v>
      </c>
      <c r="S164" s="59"/>
      <c r="T164" s="59"/>
      <c r="U164" s="104"/>
      <c r="V164" s="130"/>
      <c r="W164" s="8" t="str">
        <f t="shared" si="16"/>
        <v/>
      </c>
      <c r="X164" s="54"/>
      <c r="Y164" s="56"/>
      <c r="AA164" s="105"/>
      <c r="AB164" s="105"/>
      <c r="AC164" s="134"/>
    </row>
    <row r="165" spans="1:29" ht="15.75">
      <c r="A165" s="29" t="s">
        <v>614</v>
      </c>
      <c r="B165" s="55" t="s">
        <v>72</v>
      </c>
      <c r="C165" s="55" t="s">
        <v>385</v>
      </c>
      <c r="D165" s="55" t="s">
        <v>73</v>
      </c>
      <c r="E165" s="55" t="str">
        <f t="shared" si="13"/>
        <v>Hiwa</v>
      </c>
      <c r="F165" s="55" t="s">
        <v>46</v>
      </c>
      <c r="G165" s="55">
        <v>136</v>
      </c>
      <c r="H165" s="56">
        <f>G165*190</f>
        <v>25840</v>
      </c>
      <c r="I165" s="82"/>
      <c r="J165" s="116">
        <f t="shared" si="20"/>
        <v>1.5</v>
      </c>
      <c r="K165" s="125">
        <v>38760</v>
      </c>
      <c r="L165" s="58"/>
      <c r="M165" s="58">
        <v>61</v>
      </c>
      <c r="N165" s="58"/>
      <c r="O165" s="58">
        <v>1394.21</v>
      </c>
      <c r="P165" s="59">
        <f>176.68+36.38+36.68+36.38+36.38</f>
        <v>322.5</v>
      </c>
      <c r="Q165" s="59">
        <f t="shared" si="14"/>
        <v>40537.71</v>
      </c>
      <c r="R165" s="59">
        <f t="shared" si="15"/>
        <v>1.5687968266253869</v>
      </c>
      <c r="S165" s="59"/>
      <c r="T165" s="59"/>
      <c r="U165" s="104"/>
      <c r="V165" s="130"/>
      <c r="W165" s="8" t="str">
        <f t="shared" si="16"/>
        <v/>
      </c>
      <c r="X165" s="54"/>
      <c r="Y165" s="56">
        <v>357873</v>
      </c>
      <c r="Z165" s="8">
        <v>45502</v>
      </c>
      <c r="AA165" s="105"/>
      <c r="AB165" s="105"/>
      <c r="AC165" s="134"/>
    </row>
    <row r="166" spans="1:29" ht="15.75">
      <c r="A166" s="29" t="s">
        <v>615</v>
      </c>
      <c r="B166" s="55" t="s">
        <v>143</v>
      </c>
      <c r="C166" s="55" t="s">
        <v>119</v>
      </c>
      <c r="D166" s="55" t="s">
        <v>411</v>
      </c>
      <c r="E166" s="55" t="str">
        <f t="shared" si="13"/>
        <v>Direct</v>
      </c>
      <c r="F166" s="55" t="s">
        <v>121</v>
      </c>
      <c r="G166" s="55">
        <v>110</v>
      </c>
      <c r="H166" s="56">
        <v>1100</v>
      </c>
      <c r="I166" s="82"/>
      <c r="J166" s="116">
        <f t="shared" si="20"/>
        <v>1.085</v>
      </c>
      <c r="K166" s="125">
        <v>1193.5</v>
      </c>
      <c r="L166" s="58">
        <v>485</v>
      </c>
      <c r="M166" s="58"/>
      <c r="N166" s="58"/>
      <c r="O166" s="58"/>
      <c r="P166" s="59"/>
      <c r="Q166" s="59">
        <f t="shared" si="14"/>
        <v>1678.5</v>
      </c>
      <c r="R166" s="59">
        <f t="shared" si="15"/>
        <v>1.5259090909090909</v>
      </c>
      <c r="S166" s="59"/>
      <c r="T166" s="59"/>
      <c r="U166" s="104"/>
      <c r="V166" s="130"/>
      <c r="W166" s="8" t="str">
        <f t="shared" si="16"/>
        <v/>
      </c>
      <c r="X166" s="54"/>
      <c r="Y166" s="56"/>
      <c r="AA166" s="105"/>
      <c r="AB166" s="105"/>
      <c r="AC166" s="134"/>
    </row>
    <row r="167" spans="1:29" ht="15.75">
      <c r="A167" s="29" t="s">
        <v>71</v>
      </c>
      <c r="B167" s="55" t="s">
        <v>72</v>
      </c>
      <c r="C167" s="55" t="s">
        <v>385</v>
      </c>
      <c r="D167" s="55" t="s">
        <v>73</v>
      </c>
      <c r="E167" s="55" t="str">
        <f t="shared" si="13"/>
        <v>Hiwa</v>
      </c>
      <c r="F167" s="55" t="s">
        <v>46</v>
      </c>
      <c r="G167" s="55">
        <v>136</v>
      </c>
      <c r="H167" s="56">
        <f>G167*190</f>
        <v>25840</v>
      </c>
      <c r="I167" s="82"/>
      <c r="J167" s="116">
        <f t="shared" si="20"/>
        <v>1.5</v>
      </c>
      <c r="K167" s="125">
        <v>38760</v>
      </c>
      <c r="L167" s="58"/>
      <c r="M167" s="58">
        <v>61</v>
      </c>
      <c r="N167" s="58"/>
      <c r="O167" s="58">
        <v>1396.79</v>
      </c>
      <c r="P167" s="59">
        <f>176.68+72.75+72.75+72.75+72.75+72.75</f>
        <v>540.43000000000006</v>
      </c>
      <c r="Q167" s="59">
        <f t="shared" si="14"/>
        <v>40758.22</v>
      </c>
      <c r="R167" s="59">
        <f t="shared" si="15"/>
        <v>1.5773304953560372</v>
      </c>
      <c r="S167" s="59"/>
      <c r="T167" s="59">
        <v>56</v>
      </c>
      <c r="U167" s="104">
        <v>56</v>
      </c>
      <c r="V167" s="130">
        <v>56</v>
      </c>
      <c r="W167" s="8">
        <f t="shared" si="16"/>
        <v>16782.796470588237</v>
      </c>
      <c r="X167" s="54"/>
      <c r="Y167" s="56">
        <v>361363</v>
      </c>
      <c r="Z167" s="8">
        <v>45560</v>
      </c>
      <c r="AA167" s="105"/>
      <c r="AB167" s="105"/>
      <c r="AC167" s="134"/>
    </row>
    <row r="168" spans="1:29" ht="15.75">
      <c r="A168" s="29" t="s">
        <v>74</v>
      </c>
      <c r="B168" s="55" t="s">
        <v>72</v>
      </c>
      <c r="C168" s="55" t="s">
        <v>385</v>
      </c>
      <c r="D168" s="55" t="s">
        <v>73</v>
      </c>
      <c r="E168" s="55" t="str">
        <f t="shared" si="13"/>
        <v>Hiwa</v>
      </c>
      <c r="F168" s="55" t="s">
        <v>46</v>
      </c>
      <c r="G168" s="55">
        <v>136</v>
      </c>
      <c r="H168" s="56">
        <f>G168*190</f>
        <v>25840</v>
      </c>
      <c r="I168" s="82"/>
      <c r="J168" s="116">
        <f t="shared" si="20"/>
        <v>1.5</v>
      </c>
      <c r="K168" s="125">
        <v>38760</v>
      </c>
      <c r="L168" s="58"/>
      <c r="M168" s="58"/>
      <c r="N168" s="58"/>
      <c r="O168" s="58"/>
      <c r="P168" s="59"/>
      <c r="Q168" s="59">
        <f t="shared" si="14"/>
        <v>38760</v>
      </c>
      <c r="R168" s="59">
        <f t="shared" si="15"/>
        <v>1.5</v>
      </c>
      <c r="S168" s="59"/>
      <c r="T168" s="59"/>
      <c r="U168" s="104"/>
      <c r="V168" s="130"/>
      <c r="W168" s="8" t="str">
        <f t="shared" si="16"/>
        <v/>
      </c>
      <c r="X168" s="54"/>
      <c r="Y168" s="56"/>
      <c r="AA168" s="105"/>
      <c r="AB168" s="105"/>
      <c r="AC168" s="134"/>
    </row>
    <row r="169" spans="1:29" ht="15.75">
      <c r="A169" s="29" t="s">
        <v>616</v>
      </c>
      <c r="B169" s="55" t="s">
        <v>93</v>
      </c>
      <c r="C169" s="55" t="s">
        <v>90</v>
      </c>
      <c r="D169" s="55" t="s">
        <v>97</v>
      </c>
      <c r="E169" s="55" t="str">
        <f t="shared" si="13"/>
        <v>Direct</v>
      </c>
      <c r="F169" s="55" t="s">
        <v>59</v>
      </c>
      <c r="G169" s="55">
        <v>256</v>
      </c>
      <c r="H169" s="56">
        <f>G169*205</f>
        <v>52480</v>
      </c>
      <c r="I169" s="82"/>
      <c r="J169" s="116">
        <f t="shared" si="20"/>
        <v>0.56719421827829108</v>
      </c>
      <c r="K169" s="125">
        <f>32537.6/1.0931</f>
        <v>29766.352575244717</v>
      </c>
      <c r="L169" s="58">
        <f>8710/1.1084</f>
        <v>7858.1739444243949</v>
      </c>
      <c r="M169" s="58"/>
      <c r="N169" s="58"/>
      <c r="O169" s="58"/>
      <c r="P169" s="59"/>
      <c r="Q169" s="59">
        <f t="shared" si="14"/>
        <v>37624.526519669111</v>
      </c>
      <c r="R169" s="59">
        <f t="shared" si="15"/>
        <v>0.71693076447540227</v>
      </c>
      <c r="S169" s="59"/>
      <c r="T169" s="59"/>
      <c r="U169" s="104"/>
      <c r="V169" s="130"/>
      <c r="W169" s="8" t="str">
        <f t="shared" si="16"/>
        <v/>
      </c>
      <c r="X169" s="54"/>
      <c r="Y169" s="56"/>
      <c r="AA169" s="105"/>
      <c r="AB169" s="105"/>
      <c r="AC169" s="134"/>
    </row>
    <row r="170" spans="1:29" ht="15.75">
      <c r="A170" s="29" t="s">
        <v>617</v>
      </c>
      <c r="B170" s="55" t="s">
        <v>618</v>
      </c>
      <c r="C170" s="55" t="s">
        <v>126</v>
      </c>
      <c r="D170" s="55" t="s">
        <v>619</v>
      </c>
      <c r="E170" s="55" t="str">
        <f t="shared" si="13"/>
        <v>Direct</v>
      </c>
      <c r="F170" s="55" t="s">
        <v>128</v>
      </c>
      <c r="G170" s="55">
        <f>7*4</f>
        <v>28</v>
      </c>
      <c r="H170" s="56">
        <f>+G170*220</f>
        <v>6160</v>
      </c>
      <c r="I170" s="82"/>
      <c r="J170" s="116">
        <f t="shared" si="20"/>
        <v>1.35</v>
      </c>
      <c r="K170" s="125">
        <v>8316</v>
      </c>
      <c r="L170" s="58">
        <v>468</v>
      </c>
      <c r="M170" s="58"/>
      <c r="N170" s="58"/>
      <c r="O170" s="58"/>
      <c r="P170" s="59"/>
      <c r="Q170" s="59">
        <f t="shared" si="14"/>
        <v>8784</v>
      </c>
      <c r="R170" s="59">
        <f t="shared" si="15"/>
        <v>1.4259740259740259</v>
      </c>
      <c r="S170" s="59"/>
      <c r="T170" s="59"/>
      <c r="U170" s="104"/>
      <c r="V170" s="130"/>
      <c r="W170" s="8" t="str">
        <f t="shared" si="16"/>
        <v/>
      </c>
      <c r="X170" s="54"/>
      <c r="Y170" s="56"/>
      <c r="AA170" s="105"/>
      <c r="AB170" s="105"/>
      <c r="AC170" s="134"/>
    </row>
    <row r="171" spans="1:29" ht="15.75">
      <c r="A171" s="29" t="s">
        <v>620</v>
      </c>
      <c r="B171" s="55" t="s">
        <v>106</v>
      </c>
      <c r="C171" s="55" t="s">
        <v>62</v>
      </c>
      <c r="D171" s="55" t="s">
        <v>116</v>
      </c>
      <c r="E171" s="55" t="str">
        <f t="shared" si="13"/>
        <v>Direct</v>
      </c>
      <c r="F171" s="55" t="s">
        <v>31</v>
      </c>
      <c r="G171" s="55">
        <f>2*112</f>
        <v>224</v>
      </c>
      <c r="H171" s="56">
        <f>G171*210</f>
        <v>47040</v>
      </c>
      <c r="I171" s="82"/>
      <c r="J171" s="116">
        <f t="shared" si="20"/>
        <v>1.335</v>
      </c>
      <c r="K171" s="125">
        <v>62798.400000000001</v>
      </c>
      <c r="L171" s="58">
        <v>4870</v>
      </c>
      <c r="M171" s="58">
        <f>90+60</f>
        <v>150</v>
      </c>
      <c r="N171" s="58">
        <f>(((360+345)-360)+540)+230</f>
        <v>1115</v>
      </c>
      <c r="O171" s="58"/>
      <c r="P171" s="59"/>
      <c r="Q171" s="59">
        <f t="shared" si="14"/>
        <v>68933.399999999994</v>
      </c>
      <c r="R171" s="59">
        <f t="shared" si="15"/>
        <v>1.4654209183673468</v>
      </c>
      <c r="S171" s="59"/>
      <c r="T171" s="59"/>
      <c r="U171" s="104"/>
      <c r="V171" s="130"/>
      <c r="W171" s="8" t="str">
        <f t="shared" si="16"/>
        <v/>
      </c>
      <c r="X171" s="54"/>
      <c r="Y171" s="56"/>
      <c r="AA171" s="105"/>
      <c r="AB171" s="105"/>
      <c r="AC171" s="134"/>
    </row>
    <row r="172" spans="1:29" ht="15.75">
      <c r="A172" s="29" t="s">
        <v>621</v>
      </c>
      <c r="B172" s="55" t="s">
        <v>143</v>
      </c>
      <c r="C172" s="55" t="s">
        <v>119</v>
      </c>
      <c r="D172" s="55" t="s">
        <v>411</v>
      </c>
      <c r="E172" s="55" t="str">
        <f t="shared" si="13"/>
        <v>Direct</v>
      </c>
      <c r="F172" s="55" t="s">
        <v>121</v>
      </c>
      <c r="G172" s="55">
        <v>110</v>
      </c>
      <c r="H172" s="56">
        <v>1100</v>
      </c>
      <c r="I172" s="82"/>
      <c r="J172" s="116">
        <f t="shared" si="20"/>
        <v>1.085</v>
      </c>
      <c r="K172" s="125">
        <v>1193.5</v>
      </c>
      <c r="L172" s="58">
        <v>485</v>
      </c>
      <c r="M172" s="58"/>
      <c r="N172" s="58"/>
      <c r="O172" s="58"/>
      <c r="P172" s="59"/>
      <c r="Q172" s="59">
        <f t="shared" si="14"/>
        <v>1678.5</v>
      </c>
      <c r="R172" s="59">
        <f t="shared" si="15"/>
        <v>1.5259090909090909</v>
      </c>
      <c r="S172" s="59"/>
      <c r="T172" s="59"/>
      <c r="U172" s="104"/>
      <c r="V172" s="130"/>
      <c r="W172" s="8" t="str">
        <f t="shared" si="16"/>
        <v/>
      </c>
      <c r="X172" s="54"/>
      <c r="Y172" s="56"/>
      <c r="AA172" s="105"/>
      <c r="AB172" s="105"/>
      <c r="AC172" s="134"/>
    </row>
    <row r="173" spans="1:29" ht="15.75">
      <c r="A173" s="29" t="s">
        <v>622</v>
      </c>
      <c r="B173" s="55" t="s">
        <v>93</v>
      </c>
      <c r="C173" s="55" t="s">
        <v>90</v>
      </c>
      <c r="D173" s="55" t="s">
        <v>97</v>
      </c>
      <c r="E173" s="55" t="str">
        <f t="shared" si="13"/>
        <v>Direct</v>
      </c>
      <c r="F173" s="55" t="s">
        <v>59</v>
      </c>
      <c r="G173" s="55">
        <f>3*128</f>
        <v>384</v>
      </c>
      <c r="H173" s="56">
        <f>G173*205</f>
        <v>78720</v>
      </c>
      <c r="I173" s="82"/>
      <c r="J173" s="116">
        <f t="shared" si="20"/>
        <v>0.55660292665409827</v>
      </c>
      <c r="K173" s="125">
        <f>48806.4/1.1139</f>
        <v>43815.782386210616</v>
      </c>
      <c r="L173" s="58">
        <f>13065/1.1139</f>
        <v>11729.06005925128</v>
      </c>
      <c r="M173" s="58"/>
      <c r="N173" s="58"/>
      <c r="O173" s="58"/>
      <c r="P173" s="59"/>
      <c r="Q173" s="59">
        <f t="shared" si="14"/>
        <v>55544.842445461894</v>
      </c>
      <c r="R173" s="59">
        <f t="shared" si="15"/>
        <v>0.70560013269133504</v>
      </c>
      <c r="S173" s="59"/>
      <c r="T173" s="59"/>
      <c r="U173" s="104"/>
      <c r="V173" s="130"/>
      <c r="W173" s="8" t="str">
        <f t="shared" si="16"/>
        <v/>
      </c>
      <c r="X173" s="54"/>
      <c r="Y173" s="56"/>
      <c r="AA173" s="105"/>
      <c r="AB173" s="105"/>
      <c r="AC173" s="134"/>
    </row>
    <row r="174" spans="1:29" ht="15.75">
      <c r="A174" s="29" t="s">
        <v>75</v>
      </c>
      <c r="B174" s="55" t="s">
        <v>68</v>
      </c>
      <c r="C174" s="55" t="s">
        <v>375</v>
      </c>
      <c r="D174" s="55" t="s">
        <v>30</v>
      </c>
      <c r="E174" s="55" t="str">
        <f t="shared" si="13"/>
        <v>Hiwa</v>
      </c>
      <c r="F174" s="55" t="s">
        <v>46</v>
      </c>
      <c r="G174" s="55">
        <v>972</v>
      </c>
      <c r="H174" s="56">
        <v>19440</v>
      </c>
      <c r="I174" s="82"/>
      <c r="J174" s="116">
        <f t="shared" si="20"/>
        <v>1.9102673553501577</v>
      </c>
      <c r="K174" s="125">
        <f>(42184.8/1.1041)-(1200/1.1196)</f>
        <v>37135.597388007067</v>
      </c>
      <c r="L174" s="58">
        <v>1636.58</v>
      </c>
      <c r="M174" s="58"/>
      <c r="N174" s="58"/>
      <c r="O174" s="58"/>
      <c r="P174" s="59">
        <f>232.29+232.29+232.29+232.29</f>
        <v>929.16</v>
      </c>
      <c r="Q174" s="59">
        <f t="shared" si="14"/>
        <v>39701.337388007065</v>
      </c>
      <c r="R174" s="59">
        <f t="shared" si="15"/>
        <v>2.0422498656382233</v>
      </c>
      <c r="S174" s="59"/>
      <c r="T174" s="59">
        <v>972</v>
      </c>
      <c r="U174" s="104">
        <v>972</v>
      </c>
      <c r="V174" s="130">
        <v>972</v>
      </c>
      <c r="W174" s="8">
        <f t="shared" si="16"/>
        <v>39701.337388007058</v>
      </c>
      <c r="X174" s="54"/>
      <c r="Y174" s="56">
        <v>362550</v>
      </c>
      <c r="Z174" s="8">
        <v>45587</v>
      </c>
      <c r="AA174" s="105"/>
      <c r="AB174" s="105"/>
      <c r="AC174" s="134"/>
    </row>
    <row r="175" spans="1:29" ht="15.75">
      <c r="A175" s="29" t="s">
        <v>76</v>
      </c>
      <c r="B175" s="55" t="s">
        <v>77</v>
      </c>
      <c r="C175" s="55" t="s">
        <v>375</v>
      </c>
      <c r="D175" s="55" t="s">
        <v>30</v>
      </c>
      <c r="E175" s="55" t="str">
        <f t="shared" si="13"/>
        <v>Hiwa</v>
      </c>
      <c r="F175" s="55" t="s">
        <v>46</v>
      </c>
      <c r="G175" s="55">
        <v>108</v>
      </c>
      <c r="H175" s="56">
        <v>2160</v>
      </c>
      <c r="I175" s="82"/>
      <c r="J175" s="116">
        <f t="shared" si="20"/>
        <v>1.7842586722217189</v>
      </c>
      <c r="K175" s="125">
        <f>4255.2/1.1041</f>
        <v>3853.9987319989127</v>
      </c>
      <c r="L175" s="58">
        <v>198.27</v>
      </c>
      <c r="M175" s="58"/>
      <c r="N175" s="58"/>
      <c r="O175" s="58"/>
      <c r="P175" s="59">
        <f>25.81+25.81+25.81+25.81</f>
        <v>103.24</v>
      </c>
      <c r="Q175" s="59">
        <f t="shared" si="14"/>
        <v>4155.5087319989125</v>
      </c>
      <c r="R175" s="59">
        <f t="shared" si="15"/>
        <v>1.9238466351846817</v>
      </c>
      <c r="S175" s="59"/>
      <c r="T175" s="59">
        <v>108</v>
      </c>
      <c r="U175" s="104">
        <v>108</v>
      </c>
      <c r="V175" s="130">
        <v>108</v>
      </c>
      <c r="W175" s="8">
        <f t="shared" si="16"/>
        <v>4155.5087319989125</v>
      </c>
      <c r="X175" s="54"/>
      <c r="Y175" s="56">
        <v>362551</v>
      </c>
      <c r="Z175" s="8">
        <v>45587</v>
      </c>
      <c r="AA175" s="105"/>
      <c r="AB175" s="105"/>
      <c r="AC175" s="134"/>
    </row>
    <row r="176" spans="1:29" ht="15.75">
      <c r="A176" s="29" t="s">
        <v>623</v>
      </c>
      <c r="B176" s="55" t="s">
        <v>89</v>
      </c>
      <c r="C176" s="55" t="s">
        <v>90</v>
      </c>
      <c r="D176" s="55" t="s">
        <v>30</v>
      </c>
      <c r="E176" s="55" t="str">
        <f t="shared" si="13"/>
        <v>Hiwa</v>
      </c>
      <c r="F176" s="55" t="s">
        <v>59</v>
      </c>
      <c r="G176" s="55">
        <v>384</v>
      </c>
      <c r="H176" s="56">
        <v>78720</v>
      </c>
      <c r="I176" s="82"/>
      <c r="J176" s="116">
        <f t="shared" si="20"/>
        <v>0.60378739365108403</v>
      </c>
      <c r="K176" s="125">
        <f>51955.2/1.0931</f>
        <v>47530.143628213336</v>
      </c>
      <c r="L176" s="58">
        <f>3570/1.1019</f>
        <v>3239.8584263544785</v>
      </c>
      <c r="M176" s="58"/>
      <c r="N176" s="58">
        <v>100</v>
      </c>
      <c r="O176" s="58">
        <v>3659.42</v>
      </c>
      <c r="P176" s="59">
        <v>450</v>
      </c>
      <c r="Q176" s="59">
        <f t="shared" si="14"/>
        <v>54979.422054567811</v>
      </c>
      <c r="R176" s="59">
        <f t="shared" si="15"/>
        <v>0.69841745496148133</v>
      </c>
      <c r="S176" s="59"/>
      <c r="T176" s="59"/>
      <c r="U176" s="104"/>
      <c r="V176" s="130"/>
      <c r="W176" s="8" t="str">
        <f t="shared" si="16"/>
        <v/>
      </c>
      <c r="X176" s="54"/>
      <c r="Y176" s="56" t="s">
        <v>624</v>
      </c>
      <c r="Z176" s="8">
        <v>45541</v>
      </c>
      <c r="AA176" s="105"/>
      <c r="AB176" s="105"/>
      <c r="AC176" s="134"/>
    </row>
    <row r="177" spans="1:29" ht="15.75">
      <c r="A177" s="29"/>
      <c r="B177" s="55" t="s">
        <v>89</v>
      </c>
      <c r="C177" s="55" t="s">
        <v>90</v>
      </c>
      <c r="D177" s="55" t="s">
        <v>30</v>
      </c>
      <c r="E177" s="55" t="str">
        <f t="shared" si="13"/>
        <v>Hiwa</v>
      </c>
      <c r="F177" s="55" t="s">
        <v>59</v>
      </c>
      <c r="G177" s="55">
        <v>128</v>
      </c>
      <c r="H177" s="56">
        <v>26240</v>
      </c>
      <c r="I177" s="82"/>
      <c r="J177" s="116">
        <v>0.69799999999999995</v>
      </c>
      <c r="K177" s="125">
        <f>H177*J177</f>
        <v>18315.52</v>
      </c>
      <c r="L177" s="58"/>
      <c r="M177" s="58">
        <f>1839.56+60.78</f>
        <v>1900.34</v>
      </c>
      <c r="N177" s="58"/>
      <c r="O177" s="58"/>
      <c r="P177" s="59"/>
      <c r="Q177" s="59">
        <f t="shared" si="14"/>
        <v>20215.86</v>
      </c>
      <c r="R177" s="59">
        <f t="shared" si="15"/>
        <v>0.77042149390243908</v>
      </c>
      <c r="S177" s="59"/>
      <c r="T177" s="59"/>
      <c r="U177" s="104"/>
      <c r="V177" s="130"/>
      <c r="W177" s="8" t="str">
        <f t="shared" si="16"/>
        <v/>
      </c>
      <c r="X177" s="54"/>
      <c r="Y177" s="56"/>
      <c r="AA177" s="105"/>
      <c r="AB177" s="105"/>
      <c r="AC177" s="134"/>
    </row>
    <row r="178" spans="1:29" ht="15.75">
      <c r="A178" s="29" t="s">
        <v>625</v>
      </c>
      <c r="B178" s="55" t="s">
        <v>103</v>
      </c>
      <c r="C178" s="55" t="s">
        <v>62</v>
      </c>
      <c r="D178" s="55" t="s">
        <v>177</v>
      </c>
      <c r="E178" s="55" t="str">
        <f t="shared" si="13"/>
        <v>Direct</v>
      </c>
      <c r="F178" s="55" t="s">
        <v>46</v>
      </c>
      <c r="G178" s="55">
        <v>80</v>
      </c>
      <c r="H178" s="56">
        <f>G178*210</f>
        <v>16800</v>
      </c>
      <c r="I178" s="82"/>
      <c r="J178" s="116">
        <f t="shared" ref="J178:J201" si="21">+K178/H178</f>
        <v>1.3049999999999999</v>
      </c>
      <c r="K178" s="125">
        <v>21924</v>
      </c>
      <c r="L178" s="58">
        <f>2172.5*(G178/(G178+G179))</f>
        <v>1580</v>
      </c>
      <c r="M178" s="58">
        <f>90+60</f>
        <v>150</v>
      </c>
      <c r="N178" s="58">
        <v>500</v>
      </c>
      <c r="O178" s="58"/>
      <c r="P178" s="59"/>
      <c r="Q178" s="59">
        <f t="shared" si="14"/>
        <v>24154</v>
      </c>
      <c r="R178" s="59">
        <f t="shared" si="15"/>
        <v>1.4377380952380951</v>
      </c>
      <c r="S178" s="59"/>
      <c r="T178" s="59"/>
      <c r="U178" s="104"/>
      <c r="V178" s="130"/>
      <c r="W178" s="8" t="str">
        <f t="shared" si="16"/>
        <v/>
      </c>
      <c r="X178" s="54"/>
      <c r="Y178" s="56"/>
      <c r="AA178" s="105"/>
      <c r="AB178" s="105"/>
      <c r="AC178" s="134"/>
    </row>
    <row r="179" spans="1:29" ht="15.75">
      <c r="A179" s="29" t="s">
        <v>626</v>
      </c>
      <c r="B179" s="55" t="s">
        <v>539</v>
      </c>
      <c r="C179" s="55" t="s">
        <v>62</v>
      </c>
      <c r="D179" s="55" t="s">
        <v>177</v>
      </c>
      <c r="E179" s="55" t="str">
        <f t="shared" si="13"/>
        <v>Direct</v>
      </c>
      <c r="F179" s="55" t="s">
        <v>46</v>
      </c>
      <c r="G179" s="55">
        <v>30</v>
      </c>
      <c r="H179" s="56">
        <f>G179*210</f>
        <v>6300</v>
      </c>
      <c r="I179" s="82"/>
      <c r="J179" s="116">
        <f t="shared" si="21"/>
        <v>1.7350000000000001</v>
      </c>
      <c r="K179" s="125">
        <v>10930.5</v>
      </c>
      <c r="L179" s="58">
        <f>2172.5*(G179/(G178+G179))</f>
        <v>592.5</v>
      </c>
      <c r="M179" s="58"/>
      <c r="N179" s="58"/>
      <c r="O179" s="58"/>
      <c r="P179" s="59"/>
      <c r="Q179" s="59">
        <f t="shared" si="14"/>
        <v>11523</v>
      </c>
      <c r="R179" s="59">
        <f t="shared" si="15"/>
        <v>1.829047619047619</v>
      </c>
      <c r="S179" s="59"/>
      <c r="T179" s="59"/>
      <c r="U179" s="104"/>
      <c r="V179" s="130"/>
      <c r="W179" s="8" t="str">
        <f t="shared" si="16"/>
        <v/>
      </c>
      <c r="X179" s="54"/>
      <c r="Y179" s="56"/>
      <c r="AA179" s="105"/>
      <c r="AB179" s="105"/>
      <c r="AC179" s="134"/>
    </row>
    <row r="180" spans="1:29" ht="15.75">
      <c r="A180" s="29" t="s">
        <v>627</v>
      </c>
      <c r="B180" s="55" t="s">
        <v>628</v>
      </c>
      <c r="C180" s="55" t="s">
        <v>34</v>
      </c>
      <c r="D180" s="55" t="s">
        <v>629</v>
      </c>
      <c r="E180" s="55" t="str">
        <f t="shared" si="13"/>
        <v>Direct</v>
      </c>
      <c r="F180" s="55" t="s">
        <v>121</v>
      </c>
      <c r="G180" s="55">
        <v>3</v>
      </c>
      <c r="H180" s="56">
        <v>60</v>
      </c>
      <c r="I180" s="82"/>
      <c r="J180" s="116">
        <f t="shared" si="21"/>
        <v>4.8600000000000003</v>
      </c>
      <c r="K180" s="125">
        <v>291.60000000000002</v>
      </c>
      <c r="L180" s="58">
        <v>80</v>
      </c>
      <c r="M180" s="58"/>
      <c r="N180" s="58"/>
      <c r="O180" s="58"/>
      <c r="P180" s="59"/>
      <c r="Q180" s="59">
        <f t="shared" si="14"/>
        <v>371.6</v>
      </c>
      <c r="R180" s="59">
        <f t="shared" si="15"/>
        <v>6.1933333333333334</v>
      </c>
      <c r="S180" s="59"/>
      <c r="T180" s="59"/>
      <c r="U180" s="104"/>
      <c r="V180" s="130"/>
      <c r="W180" s="8" t="str">
        <f t="shared" si="16"/>
        <v/>
      </c>
      <c r="X180" s="54"/>
      <c r="Y180" s="56"/>
      <c r="AA180" s="105"/>
      <c r="AB180" s="105"/>
      <c r="AC180" s="134"/>
    </row>
    <row r="181" spans="1:29" ht="15.75">
      <c r="A181" s="29" t="s">
        <v>630</v>
      </c>
      <c r="B181" s="55" t="s">
        <v>631</v>
      </c>
      <c r="C181" s="55" t="s">
        <v>34</v>
      </c>
      <c r="D181" s="55" t="s">
        <v>629</v>
      </c>
      <c r="E181" s="55" t="str">
        <f t="shared" si="13"/>
        <v>Direct</v>
      </c>
      <c r="F181" s="55" t="s">
        <v>121</v>
      </c>
      <c r="G181" s="55">
        <v>3</v>
      </c>
      <c r="H181" s="56">
        <v>60</v>
      </c>
      <c r="I181" s="82"/>
      <c r="J181" s="116">
        <f t="shared" si="21"/>
        <v>5.72</v>
      </c>
      <c r="K181" s="125">
        <v>343.2</v>
      </c>
      <c r="L181" s="58">
        <v>80</v>
      </c>
      <c r="M181" s="58"/>
      <c r="N181" s="58"/>
      <c r="O181" s="58"/>
      <c r="P181" s="59"/>
      <c r="Q181" s="59">
        <f t="shared" si="14"/>
        <v>423.2</v>
      </c>
      <c r="R181" s="59">
        <f t="shared" si="15"/>
        <v>7.0533333333333328</v>
      </c>
      <c r="S181" s="59"/>
      <c r="T181" s="59"/>
      <c r="U181" s="104"/>
      <c r="V181" s="130"/>
      <c r="W181" s="8" t="str">
        <f t="shared" si="16"/>
        <v/>
      </c>
      <c r="X181" s="54"/>
      <c r="Y181" s="56"/>
      <c r="AA181" s="105"/>
      <c r="AB181" s="105"/>
      <c r="AC181" s="134"/>
    </row>
    <row r="182" spans="1:29" ht="15.75">
      <c r="A182" s="29" t="s">
        <v>632</v>
      </c>
      <c r="B182" s="55" t="s">
        <v>633</v>
      </c>
      <c r="C182" s="55" t="s">
        <v>34</v>
      </c>
      <c r="D182" s="55" t="s">
        <v>629</v>
      </c>
      <c r="E182" s="55" t="str">
        <f t="shared" si="13"/>
        <v>Direct</v>
      </c>
      <c r="F182" s="55" t="s">
        <v>121</v>
      </c>
      <c r="G182" s="55">
        <v>3</v>
      </c>
      <c r="H182" s="56">
        <v>60</v>
      </c>
      <c r="I182" s="82"/>
      <c r="J182" s="116">
        <f t="shared" si="21"/>
        <v>8.1300000000000008</v>
      </c>
      <c r="K182" s="125">
        <v>487.8</v>
      </c>
      <c r="L182" s="58">
        <v>80</v>
      </c>
      <c r="M182" s="58"/>
      <c r="N182" s="58"/>
      <c r="O182" s="58"/>
      <c r="P182" s="59"/>
      <c r="Q182" s="59">
        <f t="shared" si="14"/>
        <v>567.79999999999995</v>
      </c>
      <c r="R182" s="59">
        <f t="shared" si="15"/>
        <v>9.4633333333333329</v>
      </c>
      <c r="S182" s="59"/>
      <c r="T182" s="59"/>
      <c r="U182" s="104"/>
      <c r="V182" s="130"/>
      <c r="W182" s="8" t="str">
        <f t="shared" si="16"/>
        <v/>
      </c>
      <c r="X182" s="54"/>
      <c r="Y182" s="56"/>
      <c r="AA182" s="105"/>
      <c r="AB182" s="105"/>
      <c r="AC182" s="134"/>
    </row>
    <row r="183" spans="1:29" ht="15.75">
      <c r="A183" s="29" t="s">
        <v>634</v>
      </c>
      <c r="B183" s="55" t="s">
        <v>93</v>
      </c>
      <c r="C183" s="55" t="s">
        <v>90</v>
      </c>
      <c r="D183" s="55" t="s">
        <v>94</v>
      </c>
      <c r="E183" s="55" t="str">
        <f t="shared" si="13"/>
        <v>Direct</v>
      </c>
      <c r="F183" s="55" t="s">
        <v>59</v>
      </c>
      <c r="G183" s="55">
        <v>128</v>
      </c>
      <c r="H183" s="56">
        <v>26240</v>
      </c>
      <c r="I183" s="82"/>
      <c r="J183" s="116">
        <f t="shared" si="21"/>
        <v>0.57163272597356196</v>
      </c>
      <c r="K183" s="125">
        <f>16793.6/1.1196</f>
        <v>14999.642729546265</v>
      </c>
      <c r="L183" s="58">
        <f>1841/1.1071</f>
        <v>1662.9030801192305</v>
      </c>
      <c r="M183" s="58"/>
      <c r="N183" s="58"/>
      <c r="O183" s="58"/>
      <c r="P183" s="59"/>
      <c r="Q183" s="59">
        <f t="shared" si="14"/>
        <v>16662.545809665495</v>
      </c>
      <c r="R183" s="59">
        <f t="shared" si="15"/>
        <v>0.63500555677078863</v>
      </c>
      <c r="S183" s="59"/>
      <c r="T183" s="59"/>
      <c r="U183" s="104"/>
      <c r="V183" s="130"/>
      <c r="W183" s="8" t="str">
        <f t="shared" si="16"/>
        <v/>
      </c>
      <c r="X183" s="54"/>
      <c r="Y183" s="56"/>
      <c r="AA183" s="105"/>
      <c r="AB183" s="105"/>
      <c r="AC183" s="134"/>
    </row>
    <row r="184" spans="1:29" ht="15.75">
      <c r="A184" s="29" t="s">
        <v>635</v>
      </c>
      <c r="B184" s="55" t="s">
        <v>175</v>
      </c>
      <c r="C184" s="55" t="s">
        <v>176</v>
      </c>
      <c r="D184" s="55" t="s">
        <v>177</v>
      </c>
      <c r="E184" s="55" t="str">
        <f t="shared" si="13"/>
        <v>Direct</v>
      </c>
      <c r="F184" s="55" t="s">
        <v>128</v>
      </c>
      <c r="G184" s="55">
        <v>12</v>
      </c>
      <c r="H184" s="56">
        <v>336</v>
      </c>
      <c r="I184" s="82"/>
      <c r="J184" s="116">
        <f t="shared" si="21"/>
        <v>2.2000000000000002</v>
      </c>
      <c r="K184" s="125">
        <v>739.2</v>
      </c>
      <c r="L184" s="58">
        <v>230</v>
      </c>
      <c r="M184" s="58"/>
      <c r="N184" s="58"/>
      <c r="O184" s="58"/>
      <c r="P184" s="59"/>
      <c r="Q184" s="59">
        <f t="shared" si="14"/>
        <v>969.2</v>
      </c>
      <c r="R184" s="59">
        <f t="shared" si="15"/>
        <v>2.8845238095238095</v>
      </c>
      <c r="S184" s="59"/>
      <c r="T184" s="59"/>
      <c r="U184" s="104"/>
      <c r="V184" s="130"/>
      <c r="W184" s="8" t="str">
        <f t="shared" si="16"/>
        <v/>
      </c>
      <c r="X184" s="54"/>
      <c r="Y184" s="56"/>
      <c r="AA184" s="105"/>
      <c r="AB184" s="105"/>
      <c r="AC184" s="134"/>
    </row>
    <row r="185" spans="1:29" ht="15.75">
      <c r="A185" s="29" t="s">
        <v>636</v>
      </c>
      <c r="B185" s="55" t="s">
        <v>179</v>
      </c>
      <c r="C185" s="55" t="s">
        <v>176</v>
      </c>
      <c r="D185" s="55" t="s">
        <v>177</v>
      </c>
      <c r="E185" s="55" t="str">
        <f t="shared" si="13"/>
        <v>Direct</v>
      </c>
      <c r="F185" s="55" t="s">
        <v>128</v>
      </c>
      <c r="G185" s="55">
        <v>10</v>
      </c>
      <c r="H185" s="56">
        <v>240</v>
      </c>
      <c r="I185" s="82"/>
      <c r="J185" s="116">
        <f t="shared" si="21"/>
        <v>2.8</v>
      </c>
      <c r="K185" s="125">
        <v>672</v>
      </c>
      <c r="L185" s="58">
        <v>230</v>
      </c>
      <c r="M185" s="58"/>
      <c r="N185" s="58"/>
      <c r="O185" s="58"/>
      <c r="P185" s="59"/>
      <c r="Q185" s="59">
        <f t="shared" si="14"/>
        <v>902</v>
      </c>
      <c r="R185" s="59">
        <f t="shared" si="15"/>
        <v>3.7583333333333333</v>
      </c>
      <c r="S185" s="59"/>
      <c r="T185" s="59"/>
      <c r="U185" s="104"/>
      <c r="V185" s="130"/>
      <c r="W185" s="8" t="str">
        <f t="shared" si="16"/>
        <v/>
      </c>
      <c r="X185" s="54"/>
      <c r="Y185" s="56"/>
      <c r="AA185" s="105"/>
      <c r="AB185" s="105"/>
      <c r="AC185" s="134"/>
    </row>
    <row r="186" spans="1:29" ht="15.75">
      <c r="A186" s="29" t="s">
        <v>637</v>
      </c>
      <c r="B186" s="55" t="s">
        <v>143</v>
      </c>
      <c r="C186" s="55" t="s">
        <v>119</v>
      </c>
      <c r="D186" s="55" t="s">
        <v>411</v>
      </c>
      <c r="E186" s="55" t="str">
        <f t="shared" si="13"/>
        <v>Direct</v>
      </c>
      <c r="F186" s="55" t="s">
        <v>121</v>
      </c>
      <c r="G186" s="55">
        <v>110</v>
      </c>
      <c r="H186" s="56">
        <v>1100</v>
      </c>
      <c r="I186" s="82"/>
      <c r="J186" s="116">
        <f t="shared" si="21"/>
        <v>1.085</v>
      </c>
      <c r="K186" s="125">
        <v>1193.5</v>
      </c>
      <c r="L186" s="58">
        <v>485</v>
      </c>
      <c r="M186" s="58"/>
      <c r="N186" s="58"/>
      <c r="O186" s="58"/>
      <c r="P186" s="59"/>
      <c r="Q186" s="59">
        <f t="shared" si="14"/>
        <v>1678.5</v>
      </c>
      <c r="R186" s="59">
        <f t="shared" si="15"/>
        <v>1.5259090909090909</v>
      </c>
      <c r="S186" s="59"/>
      <c r="T186" s="59"/>
      <c r="U186" s="104"/>
      <c r="V186" s="130"/>
      <c r="W186" s="8" t="str">
        <f t="shared" si="16"/>
        <v/>
      </c>
      <c r="X186" s="54"/>
      <c r="Y186" s="56"/>
      <c r="AA186" s="105"/>
      <c r="AB186" s="105"/>
      <c r="AC186" s="134"/>
    </row>
    <row r="187" spans="1:29" ht="15.75">
      <c r="A187" s="29" t="s">
        <v>638</v>
      </c>
      <c r="B187" s="55" t="s">
        <v>93</v>
      </c>
      <c r="C187" s="55" t="s">
        <v>90</v>
      </c>
      <c r="D187" s="55" t="s">
        <v>97</v>
      </c>
      <c r="E187" s="55" t="str">
        <f t="shared" si="13"/>
        <v>Direct</v>
      </c>
      <c r="F187" s="55" t="s">
        <v>59</v>
      </c>
      <c r="G187" s="55">
        <v>128</v>
      </c>
      <c r="H187" s="56">
        <f>G187*205</f>
        <v>26240</v>
      </c>
      <c r="I187" s="82"/>
      <c r="J187" s="116">
        <f t="shared" si="21"/>
        <v>0.55951628914357909</v>
      </c>
      <c r="K187" s="125">
        <f>16268.8/1.1081</f>
        <v>14681.707427127514</v>
      </c>
      <c r="L187" s="58">
        <f>4355/1.1156</f>
        <v>3903.7289351021873</v>
      </c>
      <c r="M187" s="58"/>
      <c r="N187" s="58"/>
      <c r="O187" s="58"/>
      <c r="P187" s="59"/>
      <c r="Q187" s="59">
        <f t="shared" si="14"/>
        <v>18585.436362229702</v>
      </c>
      <c r="R187" s="59">
        <f t="shared" si="15"/>
        <v>0.70828644673131491</v>
      </c>
      <c r="S187" s="59"/>
      <c r="T187" s="59"/>
      <c r="U187" s="104"/>
      <c r="V187" s="130"/>
      <c r="W187" s="8" t="str">
        <f t="shared" si="16"/>
        <v/>
      </c>
      <c r="X187" s="54"/>
      <c r="Y187" s="56"/>
      <c r="AA187" s="105"/>
      <c r="AB187" s="105"/>
      <c r="AC187" s="134"/>
    </row>
    <row r="188" spans="1:29" ht="15.75">
      <c r="A188" s="29" t="s">
        <v>639</v>
      </c>
      <c r="B188" s="55" t="s">
        <v>93</v>
      </c>
      <c r="C188" s="55" t="s">
        <v>90</v>
      </c>
      <c r="D188" s="55" t="s">
        <v>97</v>
      </c>
      <c r="E188" s="55" t="str">
        <f t="shared" si="13"/>
        <v>Direct</v>
      </c>
      <c r="F188" s="55" t="s">
        <v>59</v>
      </c>
      <c r="G188" s="55">
        <v>384</v>
      </c>
      <c r="H188" s="56">
        <f>G188*205</f>
        <v>78720</v>
      </c>
      <c r="I188" s="82"/>
      <c r="J188" s="116">
        <f t="shared" si="21"/>
        <v>0.57844510151080664</v>
      </c>
      <c r="K188" s="125">
        <f>49806.4/1.0938</f>
        <v>45535.198390930695</v>
      </c>
      <c r="L188" s="58">
        <f>(3*5855)/1.0847</f>
        <v>16193.417534802249</v>
      </c>
      <c r="M188" s="58"/>
      <c r="N188" s="58"/>
      <c r="O188" s="58"/>
      <c r="P188" s="59"/>
      <c r="Q188" s="59">
        <f t="shared" si="14"/>
        <v>61728.615925732942</v>
      </c>
      <c r="R188" s="59">
        <f t="shared" si="15"/>
        <v>0.78415416572323349</v>
      </c>
      <c r="S188" s="59"/>
      <c r="T188" s="59"/>
      <c r="U188" s="104"/>
      <c r="V188" s="130"/>
      <c r="W188" s="8" t="str">
        <f t="shared" si="16"/>
        <v/>
      </c>
      <c r="X188" s="54"/>
      <c r="Y188" s="56"/>
      <c r="AA188" s="105"/>
      <c r="AB188" s="105"/>
      <c r="AC188" s="134"/>
    </row>
    <row r="189" spans="1:29" ht="15.75">
      <c r="A189" s="29" t="s">
        <v>640</v>
      </c>
      <c r="B189" s="55" t="s">
        <v>93</v>
      </c>
      <c r="C189" s="55" t="s">
        <v>90</v>
      </c>
      <c r="D189" s="55" t="s">
        <v>101</v>
      </c>
      <c r="E189" s="55" t="str">
        <f t="shared" si="13"/>
        <v>Direct</v>
      </c>
      <c r="F189" s="55" t="s">
        <v>59</v>
      </c>
      <c r="G189" s="55">
        <v>128</v>
      </c>
      <c r="H189" s="56">
        <f>G189*205</f>
        <v>26240</v>
      </c>
      <c r="I189" s="82"/>
      <c r="J189" s="116">
        <f t="shared" si="21"/>
        <v>0.5215101169482087</v>
      </c>
      <c r="K189" s="125">
        <f>14743.6/1.0774</f>
        <v>13684.425468720996</v>
      </c>
      <c r="L189" s="58">
        <f>9004/1.0904</f>
        <v>8257.520176082171</v>
      </c>
      <c r="M189" s="58"/>
      <c r="N189" s="58"/>
      <c r="O189" s="58"/>
      <c r="P189" s="59"/>
      <c r="Q189" s="59">
        <f t="shared" si="14"/>
        <v>21941.945644803167</v>
      </c>
      <c r="R189" s="59">
        <f t="shared" si="15"/>
        <v>0.83620219682938901</v>
      </c>
      <c r="S189" s="59"/>
      <c r="T189" s="59"/>
      <c r="U189" s="104"/>
      <c r="V189" s="130"/>
      <c r="W189" s="8" t="str">
        <f t="shared" si="16"/>
        <v/>
      </c>
      <c r="X189" s="54"/>
      <c r="Y189" s="56"/>
      <c r="AA189" s="105"/>
      <c r="AB189" s="105"/>
      <c r="AC189" s="134"/>
    </row>
    <row r="190" spans="1:29" ht="15.75">
      <c r="A190" s="29" t="s">
        <v>641</v>
      </c>
      <c r="B190" s="55" t="s">
        <v>214</v>
      </c>
      <c r="C190" s="55" t="s">
        <v>119</v>
      </c>
      <c r="D190" s="55" t="s">
        <v>478</v>
      </c>
      <c r="E190" s="55" t="str">
        <f t="shared" si="13"/>
        <v>Direct</v>
      </c>
      <c r="F190" s="55" t="s">
        <v>121</v>
      </c>
      <c r="G190" s="55">
        <v>4</v>
      </c>
      <c r="H190" s="56">
        <f>+G190*200</f>
        <v>800</v>
      </c>
      <c r="I190" s="82"/>
      <c r="J190" s="116">
        <f t="shared" si="21"/>
        <v>1.3</v>
      </c>
      <c r="K190" s="125">
        <v>1040</v>
      </c>
      <c r="L190" s="58">
        <v>374</v>
      </c>
      <c r="M190" s="58"/>
      <c r="N190" s="58"/>
      <c r="O190" s="58"/>
      <c r="P190" s="59"/>
      <c r="Q190" s="59">
        <f t="shared" si="14"/>
        <v>1414</v>
      </c>
      <c r="R190" s="59">
        <f t="shared" si="15"/>
        <v>1.7675000000000001</v>
      </c>
      <c r="S190" s="59"/>
      <c r="T190" s="59"/>
      <c r="U190" s="104"/>
      <c r="V190" s="130"/>
      <c r="W190" s="8" t="str">
        <f t="shared" si="16"/>
        <v/>
      </c>
      <c r="X190" s="54"/>
      <c r="Y190" s="56"/>
      <c r="AA190" s="105"/>
      <c r="AB190" s="105"/>
      <c r="AC190" s="134"/>
    </row>
    <row r="191" spans="1:29" ht="15.75">
      <c r="A191" s="29" t="s">
        <v>642</v>
      </c>
      <c r="B191" s="55" t="s">
        <v>217</v>
      </c>
      <c r="C191" s="55" t="s">
        <v>119</v>
      </c>
      <c r="D191" s="55" t="s">
        <v>478</v>
      </c>
      <c r="E191" s="55" t="str">
        <f t="shared" si="13"/>
        <v>Direct</v>
      </c>
      <c r="F191" s="55" t="s">
        <v>121</v>
      </c>
      <c r="G191" s="55">
        <v>7</v>
      </c>
      <c r="H191" s="56">
        <f>+G191*5</f>
        <v>35</v>
      </c>
      <c r="I191" s="82"/>
      <c r="J191" s="116">
        <f t="shared" si="21"/>
        <v>4.7</v>
      </c>
      <c r="K191" s="125">
        <v>164.5</v>
      </c>
      <c r="L191" s="58"/>
      <c r="M191" s="58"/>
      <c r="N191" s="58"/>
      <c r="O191" s="58"/>
      <c r="P191" s="59"/>
      <c r="Q191" s="59">
        <f t="shared" si="14"/>
        <v>164.5</v>
      </c>
      <c r="R191" s="59">
        <f t="shared" si="15"/>
        <v>4.7</v>
      </c>
      <c r="S191" s="59"/>
      <c r="T191" s="59"/>
      <c r="U191" s="104"/>
      <c r="V191" s="130"/>
      <c r="W191" s="8" t="str">
        <f t="shared" si="16"/>
        <v/>
      </c>
      <c r="X191" s="54"/>
      <c r="Y191" s="56"/>
      <c r="AA191" s="105"/>
      <c r="AB191" s="105"/>
      <c r="AC191" s="134"/>
    </row>
    <row r="192" spans="1:29" ht="15.75">
      <c r="A192" s="29" t="s">
        <v>643</v>
      </c>
      <c r="B192" s="55" t="s">
        <v>106</v>
      </c>
      <c r="C192" s="55" t="s">
        <v>62</v>
      </c>
      <c r="D192" s="55" t="s">
        <v>116</v>
      </c>
      <c r="E192" s="55" t="str">
        <f t="shared" si="13"/>
        <v>Direct</v>
      </c>
      <c r="F192" s="55" t="s">
        <v>31</v>
      </c>
      <c r="G192" s="55">
        <f>2*112</f>
        <v>224</v>
      </c>
      <c r="H192" s="56">
        <f>G192*210</f>
        <v>47040</v>
      </c>
      <c r="I192" s="82"/>
      <c r="J192" s="116">
        <f t="shared" si="21"/>
        <v>1.335</v>
      </c>
      <c r="K192" s="125">
        <v>62798.400000000001</v>
      </c>
      <c r="L192" s="58">
        <v>4870</v>
      </c>
      <c r="M192" s="58">
        <v>162</v>
      </c>
      <c r="N192" s="58">
        <f>180+180+230</f>
        <v>590</v>
      </c>
      <c r="O192" s="58"/>
      <c r="P192" s="59"/>
      <c r="Q192" s="59">
        <f>K192+SUM(L192:P192)</f>
        <v>68420.399999999994</v>
      </c>
      <c r="R192" s="59">
        <f t="shared" si="15"/>
        <v>1.4545153061224489</v>
      </c>
      <c r="S192" s="59"/>
      <c r="T192" s="59"/>
      <c r="U192" s="104"/>
      <c r="V192" s="130"/>
      <c r="W192" s="8" t="str">
        <f t="shared" si="16"/>
        <v/>
      </c>
      <c r="X192" s="54"/>
      <c r="Y192" s="56"/>
      <c r="AA192" s="105"/>
      <c r="AB192" s="105"/>
      <c r="AC192" s="134"/>
    </row>
    <row r="193" spans="1:29" ht="15.75">
      <c r="A193" s="29" t="s">
        <v>644</v>
      </c>
      <c r="B193" s="55" t="s">
        <v>125</v>
      </c>
      <c r="C193" s="55" t="s">
        <v>126</v>
      </c>
      <c r="D193" s="55" t="s">
        <v>127</v>
      </c>
      <c r="E193" s="55" t="str">
        <f t="shared" si="13"/>
        <v>Direct</v>
      </c>
      <c r="F193" s="55" t="s">
        <v>128</v>
      </c>
      <c r="G193" s="55">
        <v>4</v>
      </c>
      <c r="H193" s="56">
        <v>880</v>
      </c>
      <c r="I193" s="82"/>
      <c r="J193" s="116">
        <f t="shared" si="21"/>
        <v>0.88</v>
      </c>
      <c r="K193" s="125">
        <v>774.4</v>
      </c>
      <c r="L193" s="58">
        <v>294</v>
      </c>
      <c r="M193" s="58"/>
      <c r="N193" s="58"/>
      <c r="O193" s="58"/>
      <c r="P193" s="59"/>
      <c r="Q193" s="59">
        <f t="shared" si="14"/>
        <v>1068.4000000000001</v>
      </c>
      <c r="R193" s="59">
        <f t="shared" si="15"/>
        <v>1.2140909090909091</v>
      </c>
      <c r="S193" s="59"/>
      <c r="T193" s="59"/>
      <c r="U193" s="104"/>
      <c r="V193" s="130"/>
      <c r="W193" s="8" t="str">
        <f t="shared" si="16"/>
        <v/>
      </c>
      <c r="X193" s="54"/>
      <c r="Y193" s="56"/>
      <c r="AA193" s="105"/>
      <c r="AB193" s="105"/>
      <c r="AC193" s="134"/>
    </row>
    <row r="194" spans="1:29" ht="15.75">
      <c r="A194" s="29" t="s">
        <v>645</v>
      </c>
      <c r="B194" s="55" t="s">
        <v>89</v>
      </c>
      <c r="C194" s="55" t="s">
        <v>90</v>
      </c>
      <c r="D194" s="55" t="s">
        <v>30</v>
      </c>
      <c r="E194" s="55" t="str">
        <f t="shared" si="13"/>
        <v>Hiwa</v>
      </c>
      <c r="F194" s="55" t="s">
        <v>59</v>
      </c>
      <c r="G194" s="55">
        <v>80</v>
      </c>
      <c r="H194" s="56">
        <f>+G194*205</f>
        <v>16400</v>
      </c>
      <c r="I194" s="82"/>
      <c r="J194" s="116">
        <f t="shared" si="21"/>
        <v>0.57486751100332356</v>
      </c>
      <c r="K194" s="125">
        <f>10496/1.1133</f>
        <v>9427.8271804545057</v>
      </c>
      <c r="L194" s="58">
        <f>(1546*(80/128))/1.1155</f>
        <v>866.20349619004935</v>
      </c>
      <c r="M194" s="58">
        <f>60.78+1137.61</f>
        <v>1198.3899999999999</v>
      </c>
      <c r="N194" s="58">
        <v>100</v>
      </c>
      <c r="O194" s="58">
        <v>898</v>
      </c>
      <c r="P194" s="59"/>
      <c r="Q194" s="59">
        <f t="shared" si="14"/>
        <v>12490.420676644555</v>
      </c>
      <c r="R194" s="59">
        <f t="shared" si="15"/>
        <v>0.76161101686857047</v>
      </c>
      <c r="S194" s="59"/>
      <c r="T194" s="59"/>
      <c r="U194" s="104"/>
      <c r="V194" s="130"/>
      <c r="W194" s="8" t="str">
        <f t="shared" si="16"/>
        <v/>
      </c>
      <c r="X194" s="54"/>
      <c r="Y194" s="56">
        <v>362318</v>
      </c>
      <c r="Z194" s="8">
        <v>45582</v>
      </c>
      <c r="AA194" s="105"/>
      <c r="AB194" s="105"/>
      <c r="AC194" s="134"/>
    </row>
    <row r="195" spans="1:29" ht="15.75">
      <c r="A195" s="29" t="s">
        <v>646</v>
      </c>
      <c r="B195" s="55" t="s">
        <v>292</v>
      </c>
      <c r="C195" s="55" t="s">
        <v>90</v>
      </c>
      <c r="D195" s="55" t="s">
        <v>30</v>
      </c>
      <c r="E195" s="55" t="str">
        <f t="shared" si="13"/>
        <v>Hiwa</v>
      </c>
      <c r="F195" s="55" t="s">
        <v>59</v>
      </c>
      <c r="G195" s="55">
        <v>48</v>
      </c>
      <c r="H195" s="56">
        <f>+G195*210</f>
        <v>10080</v>
      </c>
      <c r="I195" s="82"/>
      <c r="J195" s="116">
        <f t="shared" si="21"/>
        <v>0.70061977903530048</v>
      </c>
      <c r="K195" s="125">
        <f>7862.4/1.1133</f>
        <v>7062.247372675829</v>
      </c>
      <c r="L195" s="58">
        <f>(1546*(48/128))/1.1155</f>
        <v>519.72209771402959</v>
      </c>
      <c r="M195" s="58">
        <f>1831.16+423.36+60.78</f>
        <v>2315.3000000000002</v>
      </c>
      <c r="N195" s="58">
        <v>100</v>
      </c>
      <c r="O195" s="58">
        <v>552</v>
      </c>
      <c r="P195" s="59"/>
      <c r="Q195" s="59">
        <f>K195+SUM(L195:P195)</f>
        <v>10549.26947038986</v>
      </c>
      <c r="R195" s="59">
        <f t="shared" si="15"/>
        <v>1.046554510951375</v>
      </c>
      <c r="S195" s="59"/>
      <c r="T195" s="59"/>
      <c r="U195" s="104"/>
      <c r="V195" s="130"/>
      <c r="W195" s="8" t="str">
        <f t="shared" si="16"/>
        <v/>
      </c>
      <c r="X195" s="54"/>
      <c r="Y195" s="56">
        <v>362319</v>
      </c>
      <c r="Z195" s="8">
        <v>45582</v>
      </c>
      <c r="AA195" s="105"/>
      <c r="AB195" s="105"/>
      <c r="AC195" s="134"/>
    </row>
    <row r="196" spans="1:29" ht="15.75">
      <c r="A196" s="29" t="s">
        <v>647</v>
      </c>
      <c r="B196" s="55" t="s">
        <v>103</v>
      </c>
      <c r="C196" s="55" t="s">
        <v>62</v>
      </c>
      <c r="D196" s="55" t="s">
        <v>177</v>
      </c>
      <c r="E196" s="55" t="str">
        <f t="shared" ref="E196:E254" si="22">IF(B196="","",IF(D196="Godfroy","Godfroy",(IF(LEFT(B196,1)="1","Hiwa","Direct"))))</f>
        <v>Direct</v>
      </c>
      <c r="F196" s="55" t="s">
        <v>46</v>
      </c>
      <c r="G196" s="55">
        <v>110</v>
      </c>
      <c r="H196" s="56">
        <f>G196*210</f>
        <v>23100</v>
      </c>
      <c r="I196" s="82"/>
      <c r="J196" s="116">
        <f t="shared" si="21"/>
        <v>1.3049999999999999</v>
      </c>
      <c r="K196" s="125">
        <v>30145.5</v>
      </c>
      <c r="L196" s="58">
        <v>2021.25</v>
      </c>
      <c r="M196" s="58">
        <f>90+30</f>
        <v>120</v>
      </c>
      <c r="N196" s="58">
        <v>295</v>
      </c>
      <c r="O196" s="58"/>
      <c r="P196" s="59"/>
      <c r="Q196" s="59">
        <f t="shared" ref="Q196:Q249" si="23">K196+SUM(L196:P196)</f>
        <v>32581.75</v>
      </c>
      <c r="R196" s="59">
        <f t="shared" ref="R196:R247" si="24">IF(J196="","",+Q196/H196)</f>
        <v>1.410465367965368</v>
      </c>
      <c r="S196" s="59"/>
      <c r="T196" s="59"/>
      <c r="U196" s="104"/>
      <c r="V196" s="130"/>
      <c r="W196" s="8" t="str">
        <f t="shared" ref="W196:W254" si="25">IF(V196&gt;0,(((H196/G196)*V196)*R196),"")</f>
        <v/>
      </c>
      <c r="X196" s="54"/>
      <c r="Y196" s="56"/>
      <c r="AA196" s="105"/>
      <c r="AB196" s="105"/>
      <c r="AC196" s="134"/>
    </row>
    <row r="197" spans="1:29" ht="15.75">
      <c r="A197" s="29" t="s">
        <v>648</v>
      </c>
      <c r="B197" s="55" t="s">
        <v>143</v>
      </c>
      <c r="C197" s="55" t="s">
        <v>119</v>
      </c>
      <c r="D197" s="55" t="s">
        <v>411</v>
      </c>
      <c r="E197" s="55" t="str">
        <f t="shared" si="22"/>
        <v>Direct</v>
      </c>
      <c r="F197" s="55" t="s">
        <v>121</v>
      </c>
      <c r="G197" s="55">
        <v>110</v>
      </c>
      <c r="H197" s="56">
        <v>1100</v>
      </c>
      <c r="I197" s="82"/>
      <c r="J197" s="116">
        <f t="shared" si="21"/>
        <v>1.085</v>
      </c>
      <c r="K197" s="125">
        <v>1193.5</v>
      </c>
      <c r="L197" s="58">
        <v>485</v>
      </c>
      <c r="M197" s="58"/>
      <c r="N197" s="58"/>
      <c r="O197" s="58"/>
      <c r="P197" s="59"/>
      <c r="Q197" s="59">
        <f t="shared" si="23"/>
        <v>1678.5</v>
      </c>
      <c r="R197" s="59">
        <f t="shared" si="24"/>
        <v>1.5259090909090909</v>
      </c>
      <c r="S197" s="59"/>
      <c r="T197" s="59"/>
      <c r="U197" s="104"/>
      <c r="V197" s="130"/>
      <c r="W197" s="8" t="str">
        <f t="shared" si="25"/>
        <v/>
      </c>
      <c r="X197" s="54"/>
      <c r="Y197" s="56"/>
      <c r="AA197" s="105"/>
      <c r="AB197" s="105"/>
      <c r="AC197" s="134"/>
    </row>
    <row r="198" spans="1:29" ht="15.75">
      <c r="A198" s="29" t="s">
        <v>649</v>
      </c>
      <c r="B198" s="55" t="s">
        <v>143</v>
      </c>
      <c r="C198" s="55" t="s">
        <v>119</v>
      </c>
      <c r="D198" s="55" t="s">
        <v>317</v>
      </c>
      <c r="E198" s="55" t="str">
        <f t="shared" si="22"/>
        <v>Direct</v>
      </c>
      <c r="F198" s="55" t="s">
        <v>121</v>
      </c>
      <c r="G198" s="55">
        <v>110</v>
      </c>
      <c r="H198" s="56">
        <v>1100</v>
      </c>
      <c r="I198" s="82"/>
      <c r="J198" s="116">
        <f t="shared" si="21"/>
        <v>1.085</v>
      </c>
      <c r="K198" s="125">
        <v>1193.5</v>
      </c>
      <c r="L198" s="58">
        <v>485</v>
      </c>
      <c r="M198" s="58"/>
      <c r="N198" s="58"/>
      <c r="O198" s="58"/>
      <c r="P198" s="59"/>
      <c r="Q198" s="59">
        <f t="shared" si="23"/>
        <v>1678.5</v>
      </c>
      <c r="R198" s="59">
        <f t="shared" si="24"/>
        <v>1.5259090909090909</v>
      </c>
      <c r="S198" s="59"/>
      <c r="T198" s="59"/>
      <c r="U198" s="104"/>
      <c r="V198" s="130"/>
      <c r="W198" s="8" t="str">
        <f t="shared" si="25"/>
        <v/>
      </c>
      <c r="X198" s="54"/>
      <c r="Y198" s="56"/>
      <c r="AA198" s="105"/>
      <c r="AB198" s="105"/>
      <c r="AC198" s="134"/>
    </row>
    <row r="199" spans="1:29" ht="15.75">
      <c r="A199" s="29" t="s">
        <v>650</v>
      </c>
      <c r="B199" s="55" t="s">
        <v>143</v>
      </c>
      <c r="C199" s="55" t="s">
        <v>119</v>
      </c>
      <c r="D199" s="55" t="s">
        <v>411</v>
      </c>
      <c r="E199" s="55" t="str">
        <f t="shared" si="22"/>
        <v>Direct</v>
      </c>
      <c r="F199" s="55" t="s">
        <v>121</v>
      </c>
      <c r="G199" s="55">
        <v>110</v>
      </c>
      <c r="H199" s="56">
        <v>1100</v>
      </c>
      <c r="I199" s="82"/>
      <c r="J199" s="116">
        <f t="shared" si="21"/>
        <v>1.085</v>
      </c>
      <c r="K199" s="125">
        <v>1193.5</v>
      </c>
      <c r="L199" s="58">
        <v>485</v>
      </c>
      <c r="M199" s="58"/>
      <c r="N199" s="58"/>
      <c r="O199" s="58"/>
      <c r="P199" s="59"/>
      <c r="Q199" s="59">
        <f t="shared" si="23"/>
        <v>1678.5</v>
      </c>
      <c r="R199" s="59">
        <f t="shared" si="24"/>
        <v>1.5259090909090909</v>
      </c>
      <c r="S199" s="59"/>
      <c r="T199" s="59"/>
      <c r="U199" s="104"/>
      <c r="V199" s="130"/>
      <c r="W199" s="8" t="str">
        <f t="shared" si="25"/>
        <v/>
      </c>
      <c r="X199" s="54"/>
      <c r="Y199" s="56"/>
      <c r="AA199" s="105"/>
      <c r="AB199" s="105"/>
      <c r="AC199" s="134"/>
    </row>
    <row r="200" spans="1:29" ht="15.75">
      <c r="A200" s="29" t="s">
        <v>651</v>
      </c>
      <c r="B200" s="55" t="s">
        <v>89</v>
      </c>
      <c r="C200" s="55" t="s">
        <v>90</v>
      </c>
      <c r="D200" s="55" t="s">
        <v>30</v>
      </c>
      <c r="E200" s="55" t="str">
        <f t="shared" si="22"/>
        <v>Hiwa</v>
      </c>
      <c r="F200" s="55" t="s">
        <v>59</v>
      </c>
      <c r="G200" s="55">
        <v>256</v>
      </c>
      <c r="H200" s="56">
        <f>G200*205</f>
        <v>52480</v>
      </c>
      <c r="I200" s="82"/>
      <c r="J200" s="116">
        <f t="shared" si="21"/>
        <v>0.58634906092533212</v>
      </c>
      <c r="K200" s="125">
        <f>33587.2/1.0915</f>
        <v>30771.59871736143</v>
      </c>
      <c r="L200" s="58">
        <f>3092/1.0915</f>
        <v>2832.798900595511</v>
      </c>
      <c r="M200" s="58">
        <v>1863.35</v>
      </c>
      <c r="N200" s="58">
        <f>(400-400)+807+807</f>
        <v>1614</v>
      </c>
      <c r="O200" s="58">
        <v>2505.66</v>
      </c>
      <c r="P200" s="59">
        <f>7.56+119.96+59.98+59.98</f>
        <v>247.48</v>
      </c>
      <c r="Q200" s="59">
        <f t="shared" si="23"/>
        <v>39834.887617956942</v>
      </c>
      <c r="R200" s="59">
        <f t="shared" si="24"/>
        <v>0.7590489256470454</v>
      </c>
      <c r="S200" s="59"/>
      <c r="T200" s="59">
        <v>136</v>
      </c>
      <c r="U200" s="104">
        <v>64</v>
      </c>
      <c r="V200" s="130">
        <v>0</v>
      </c>
      <c r="W200" s="8" t="str">
        <f t="shared" si="25"/>
        <v/>
      </c>
      <c r="X200" s="54"/>
      <c r="Y200" s="56" t="s">
        <v>652</v>
      </c>
      <c r="Z200" s="8">
        <v>45604</v>
      </c>
      <c r="AA200" s="105"/>
      <c r="AB200" s="105"/>
      <c r="AC200" s="134"/>
    </row>
    <row r="201" spans="1:29" ht="15.75">
      <c r="A201" s="29" t="s">
        <v>653</v>
      </c>
      <c r="B201" s="55" t="s">
        <v>103</v>
      </c>
      <c r="C201" s="55" t="s">
        <v>62</v>
      </c>
      <c r="D201" s="55" t="s">
        <v>104</v>
      </c>
      <c r="E201" s="55" t="str">
        <f t="shared" si="22"/>
        <v>Direct</v>
      </c>
      <c r="F201" s="55" t="s">
        <v>31</v>
      </c>
      <c r="G201" s="55">
        <v>156</v>
      </c>
      <c r="H201" s="56">
        <f>G201*210</f>
        <v>32760</v>
      </c>
      <c r="I201" s="82"/>
      <c r="J201" s="116">
        <f t="shared" si="21"/>
        <v>1.2550000000000001</v>
      </c>
      <c r="K201" s="125">
        <v>41113.800000000003</v>
      </c>
      <c r="L201" s="58"/>
      <c r="M201" s="58">
        <f>(2*33.23)+(2*60.78)</f>
        <v>188.01999999999998</v>
      </c>
      <c r="N201" s="58"/>
      <c r="O201" s="58"/>
      <c r="P201" s="59"/>
      <c r="Q201" s="59">
        <f t="shared" si="23"/>
        <v>41301.82</v>
      </c>
      <c r="R201" s="59">
        <f t="shared" si="24"/>
        <v>1.2607393162393161</v>
      </c>
      <c r="S201" s="59"/>
      <c r="T201" s="59"/>
      <c r="U201" s="104"/>
      <c r="V201" s="130"/>
      <c r="W201" s="8" t="str">
        <f t="shared" si="25"/>
        <v/>
      </c>
      <c r="X201" s="54"/>
      <c r="Y201" s="56"/>
      <c r="AA201" s="105"/>
      <c r="AB201" s="105"/>
      <c r="AC201" s="134"/>
    </row>
    <row r="202" spans="1:29" ht="16.5" thickBot="1">
      <c r="A202" s="30" t="s">
        <v>654</v>
      </c>
      <c r="B202" s="31" t="s">
        <v>106</v>
      </c>
      <c r="C202" s="31" t="s">
        <v>62</v>
      </c>
      <c r="D202" s="31" t="s">
        <v>104</v>
      </c>
      <c r="E202" s="31" t="str">
        <f t="shared" si="22"/>
        <v>Direct</v>
      </c>
      <c r="F202" s="31" t="s">
        <v>31</v>
      </c>
      <c r="G202" s="31">
        <v>400</v>
      </c>
      <c r="H202" s="32">
        <f>G202*210</f>
        <v>84000</v>
      </c>
      <c r="I202" s="82"/>
      <c r="J202" s="126">
        <f t="shared" ref="J202:J222" si="26">IF(H202="","",+K202/H202)</f>
        <v>1.2649999999999999</v>
      </c>
      <c r="K202" s="127">
        <v>106260</v>
      </c>
      <c r="L202" s="50"/>
      <c r="M202" s="50">
        <f>(2*33.23)+(2*60.78)</f>
        <v>188.01999999999998</v>
      </c>
      <c r="N202" s="50"/>
      <c r="O202" s="50"/>
      <c r="P202" s="51"/>
      <c r="Q202" s="51">
        <f t="shared" si="23"/>
        <v>106448.02</v>
      </c>
      <c r="R202" s="51">
        <f t="shared" si="24"/>
        <v>1.2672383333333335</v>
      </c>
      <c r="S202" s="51"/>
      <c r="T202" s="51"/>
      <c r="U202" s="52"/>
      <c r="V202" s="131"/>
      <c r="W202" s="8" t="str">
        <f t="shared" si="25"/>
        <v/>
      </c>
      <c r="X202" s="30"/>
      <c r="Y202" s="32"/>
      <c r="AA202" s="62"/>
      <c r="AB202" s="62"/>
      <c r="AC202" s="135"/>
    </row>
    <row r="203" spans="1:29">
      <c r="A203" s="5" t="s">
        <v>78</v>
      </c>
      <c r="B203" s="5" t="s">
        <v>79</v>
      </c>
      <c r="C203" s="5" t="s">
        <v>80</v>
      </c>
      <c r="D203" s="5" t="s">
        <v>73</v>
      </c>
      <c r="E203" s="5" t="str">
        <f t="shared" si="22"/>
        <v>Hiwa</v>
      </c>
      <c r="F203" s="5" t="s">
        <v>31</v>
      </c>
      <c r="G203" s="5">
        <v>112</v>
      </c>
      <c r="H203" s="5">
        <v>24080</v>
      </c>
      <c r="J203" s="5">
        <f t="shared" si="26"/>
        <v>1.9651047756093174</v>
      </c>
      <c r="K203" s="12">
        <f>52614.8/1.1119</f>
        <v>47319.722996672361</v>
      </c>
      <c r="M203" s="8">
        <v>1917.72</v>
      </c>
      <c r="O203" s="8">
        <v>1309.5999999999999</v>
      </c>
      <c r="P203" s="5">
        <f>15.81+15.81+15.81</f>
        <v>47.43</v>
      </c>
      <c r="Q203" s="5">
        <f t="shared" si="23"/>
        <v>50594.472996672361</v>
      </c>
      <c r="R203" s="5">
        <f t="shared" si="24"/>
        <v>2.1010993769382211</v>
      </c>
      <c r="T203" s="5">
        <v>16</v>
      </c>
      <c r="U203" s="5">
        <v>16</v>
      </c>
      <c r="V203" s="15">
        <v>16</v>
      </c>
      <c r="W203" s="8">
        <f t="shared" si="25"/>
        <v>7227.7818566674805</v>
      </c>
      <c r="Y203" s="5">
        <v>362958</v>
      </c>
      <c r="Z203" s="8">
        <v>45601</v>
      </c>
    </row>
    <row r="204" spans="1:29">
      <c r="A204" s="5" t="s">
        <v>655</v>
      </c>
      <c r="B204" s="5" t="s">
        <v>656</v>
      </c>
      <c r="C204" s="5" t="s">
        <v>126</v>
      </c>
      <c r="D204" s="5" t="s">
        <v>657</v>
      </c>
      <c r="E204" s="5" t="str">
        <f t="shared" si="22"/>
        <v>Direct</v>
      </c>
      <c r="F204" s="5" t="s">
        <v>128</v>
      </c>
      <c r="G204" s="5">
        <v>20</v>
      </c>
      <c r="H204" s="5">
        <f t="shared" ref="H204:H209" si="27">G204*220</f>
        <v>4400</v>
      </c>
      <c r="J204" s="5">
        <f t="shared" si="26"/>
        <v>1.4</v>
      </c>
      <c r="K204" s="12">
        <v>6160</v>
      </c>
      <c r="L204" s="8">
        <v>242</v>
      </c>
      <c r="Q204" s="5">
        <f t="shared" si="23"/>
        <v>6402</v>
      </c>
      <c r="R204" s="5">
        <f t="shared" si="24"/>
        <v>1.4550000000000001</v>
      </c>
      <c r="W204" s="8" t="str">
        <f t="shared" si="25"/>
        <v/>
      </c>
    </row>
    <row r="205" spans="1:29">
      <c r="A205" s="5" t="s">
        <v>658</v>
      </c>
      <c r="B205" s="5" t="s">
        <v>659</v>
      </c>
      <c r="C205" s="5" t="s">
        <v>126</v>
      </c>
      <c r="D205" s="5" t="s">
        <v>657</v>
      </c>
      <c r="E205" s="5" t="str">
        <f t="shared" si="22"/>
        <v>Direct</v>
      </c>
      <c r="F205" s="5" t="s">
        <v>128</v>
      </c>
      <c r="G205" s="5">
        <v>28</v>
      </c>
      <c r="H205" s="5">
        <f t="shared" si="27"/>
        <v>6160</v>
      </c>
      <c r="J205" s="5">
        <f t="shared" si="26"/>
        <v>1.05</v>
      </c>
      <c r="K205" s="12">
        <v>6468</v>
      </c>
      <c r="L205" s="8">
        <v>242</v>
      </c>
      <c r="Q205" s="5">
        <f t="shared" si="23"/>
        <v>6710</v>
      </c>
      <c r="R205" s="5">
        <f t="shared" si="24"/>
        <v>1.0892857142857142</v>
      </c>
      <c r="W205" s="8" t="str">
        <f t="shared" si="25"/>
        <v/>
      </c>
    </row>
    <row r="206" spans="1:29">
      <c r="A206" s="5" t="s">
        <v>660</v>
      </c>
      <c r="B206" s="5" t="s">
        <v>153</v>
      </c>
      <c r="C206" s="5" t="s">
        <v>126</v>
      </c>
      <c r="D206" s="5" t="s">
        <v>657</v>
      </c>
      <c r="E206" s="5" t="str">
        <f t="shared" si="22"/>
        <v>Direct</v>
      </c>
      <c r="F206" s="5" t="s">
        <v>128</v>
      </c>
      <c r="G206" s="5">
        <v>16</v>
      </c>
      <c r="H206" s="5">
        <f t="shared" si="27"/>
        <v>3520</v>
      </c>
      <c r="J206" s="5">
        <f t="shared" si="26"/>
        <v>0.73</v>
      </c>
      <c r="K206" s="12">
        <v>2569.6</v>
      </c>
      <c r="L206" s="8">
        <v>241</v>
      </c>
      <c r="Q206" s="5">
        <f t="shared" si="23"/>
        <v>2810.6</v>
      </c>
      <c r="R206" s="5">
        <f t="shared" si="24"/>
        <v>0.79846590909090909</v>
      </c>
      <c r="W206" s="8" t="str">
        <f t="shared" si="25"/>
        <v/>
      </c>
    </row>
    <row r="207" spans="1:29">
      <c r="A207" s="5" t="s">
        <v>661</v>
      </c>
      <c r="B207" s="5" t="s">
        <v>662</v>
      </c>
      <c r="C207" s="5" t="s">
        <v>126</v>
      </c>
      <c r="D207" s="5" t="s">
        <v>657</v>
      </c>
      <c r="E207" s="5" t="str">
        <f t="shared" si="22"/>
        <v>Direct</v>
      </c>
      <c r="F207" s="5" t="s">
        <v>128</v>
      </c>
      <c r="G207" s="5">
        <v>8</v>
      </c>
      <c r="H207" s="5">
        <f t="shared" si="27"/>
        <v>1760</v>
      </c>
      <c r="J207" s="5">
        <f t="shared" si="26"/>
        <v>1</v>
      </c>
      <c r="K207" s="12">
        <v>1760</v>
      </c>
      <c r="L207" s="8">
        <v>241</v>
      </c>
      <c r="Q207" s="5">
        <f t="shared" si="23"/>
        <v>2001</v>
      </c>
      <c r="R207" s="5">
        <f t="shared" si="24"/>
        <v>1.1369318181818182</v>
      </c>
      <c r="W207" s="8" t="str">
        <f t="shared" si="25"/>
        <v/>
      </c>
    </row>
    <row r="208" spans="1:29">
      <c r="A208" s="5" t="s">
        <v>663</v>
      </c>
      <c r="B208" s="5" t="s">
        <v>664</v>
      </c>
      <c r="C208" s="5" t="s">
        <v>126</v>
      </c>
      <c r="D208" s="5" t="s">
        <v>657</v>
      </c>
      <c r="E208" s="5" t="str">
        <f t="shared" si="22"/>
        <v>Direct</v>
      </c>
      <c r="F208" s="5" t="s">
        <v>128</v>
      </c>
      <c r="G208" s="5">
        <v>16</v>
      </c>
      <c r="H208" s="5">
        <f t="shared" si="27"/>
        <v>3520</v>
      </c>
      <c r="J208" s="5">
        <f t="shared" si="26"/>
        <v>0.86</v>
      </c>
      <c r="K208" s="12">
        <v>3027.2</v>
      </c>
      <c r="L208" s="8">
        <v>242</v>
      </c>
      <c r="Q208" s="5">
        <f t="shared" si="23"/>
        <v>3269.2</v>
      </c>
      <c r="R208" s="5">
        <f t="shared" si="24"/>
        <v>0.92874999999999996</v>
      </c>
      <c r="W208" s="8" t="str">
        <f t="shared" si="25"/>
        <v/>
      </c>
    </row>
    <row r="209" spans="1:26">
      <c r="A209" s="5" t="s">
        <v>665</v>
      </c>
      <c r="B209" s="5" t="s">
        <v>666</v>
      </c>
      <c r="C209" s="5" t="s">
        <v>126</v>
      </c>
      <c r="D209" s="5" t="s">
        <v>657</v>
      </c>
      <c r="E209" s="5" t="str">
        <f t="shared" si="22"/>
        <v>Direct</v>
      </c>
      <c r="F209" s="5" t="s">
        <v>128</v>
      </c>
      <c r="G209" s="5">
        <v>16</v>
      </c>
      <c r="H209" s="5">
        <f t="shared" si="27"/>
        <v>3520</v>
      </c>
      <c r="J209" s="5">
        <f t="shared" si="26"/>
        <v>0.6</v>
      </c>
      <c r="K209" s="12">
        <v>2112</v>
      </c>
      <c r="L209" s="8">
        <v>242</v>
      </c>
      <c r="Q209" s="5">
        <f t="shared" si="23"/>
        <v>2354</v>
      </c>
      <c r="R209" s="5">
        <f t="shared" si="24"/>
        <v>0.66874999999999996</v>
      </c>
      <c r="W209" s="8" t="str">
        <f t="shared" si="25"/>
        <v/>
      </c>
    </row>
    <row r="210" spans="1:26">
      <c r="A210" s="5" t="s">
        <v>667</v>
      </c>
      <c r="B210" s="5" t="s">
        <v>143</v>
      </c>
      <c r="C210" s="5" t="s">
        <v>119</v>
      </c>
      <c r="D210" s="5" t="s">
        <v>411</v>
      </c>
      <c r="E210" s="5" t="str">
        <f t="shared" si="22"/>
        <v>Direct</v>
      </c>
      <c r="F210" s="5" t="s">
        <v>121</v>
      </c>
      <c r="G210" s="5">
        <v>110</v>
      </c>
      <c r="H210" s="5">
        <v>1100</v>
      </c>
      <c r="J210" s="5">
        <f t="shared" si="26"/>
        <v>1.085</v>
      </c>
      <c r="K210" s="12">
        <v>1193.5</v>
      </c>
      <c r="L210" s="8">
        <v>485</v>
      </c>
      <c r="Q210" s="5">
        <f t="shared" si="23"/>
        <v>1678.5</v>
      </c>
      <c r="R210" s="5">
        <f t="shared" si="24"/>
        <v>1.5259090909090909</v>
      </c>
      <c r="W210" s="8" t="str">
        <f t="shared" si="25"/>
        <v/>
      </c>
    </row>
    <row r="211" spans="1:26">
      <c r="A211" s="5" t="s">
        <v>81</v>
      </c>
      <c r="B211" s="5" t="s">
        <v>82</v>
      </c>
      <c r="C211" s="5" t="s">
        <v>376</v>
      </c>
      <c r="D211" s="5" t="s">
        <v>73</v>
      </c>
      <c r="E211" s="5" t="str">
        <f t="shared" si="22"/>
        <v>Hiwa</v>
      </c>
      <c r="F211" s="5" t="s">
        <v>59</v>
      </c>
      <c r="G211" s="5">
        <v>128</v>
      </c>
      <c r="H211" s="5">
        <f>G211*204</f>
        <v>26112</v>
      </c>
      <c r="J211" s="5">
        <f t="shared" si="26"/>
        <v>0.61734082742098972</v>
      </c>
      <c r="K211" s="12">
        <f>17495.04/1.0853</f>
        <v>16120.003685616883</v>
      </c>
      <c r="L211" s="8">
        <f>1546/1.0853</f>
        <v>1424.4909241684327</v>
      </c>
      <c r="M211" s="8">
        <v>3329.07</v>
      </c>
      <c r="O211" s="8">
        <v>1264.83</v>
      </c>
      <c r="P211" s="5">
        <f>119.96+52.48+52.48</f>
        <v>224.92</v>
      </c>
      <c r="Q211" s="5">
        <f t="shared" si="23"/>
        <v>22363.314609785317</v>
      </c>
      <c r="R211" s="5">
        <f t="shared" si="24"/>
        <v>0.85643821269092058</v>
      </c>
      <c r="T211" s="5">
        <v>56</v>
      </c>
      <c r="U211" s="5">
        <v>56</v>
      </c>
      <c r="V211" s="15">
        <v>56</v>
      </c>
      <c r="W211" s="8">
        <f t="shared" si="25"/>
        <v>9783.950141781077</v>
      </c>
      <c r="Y211" s="5">
        <v>363493</v>
      </c>
      <c r="Z211" s="8">
        <v>45608</v>
      </c>
    </row>
    <row r="212" spans="1:26">
      <c r="A212" s="5" t="s">
        <v>668</v>
      </c>
      <c r="B212" s="5" t="s">
        <v>93</v>
      </c>
      <c r="C212" s="5" t="s">
        <v>90</v>
      </c>
      <c r="D212" s="5" t="s">
        <v>94</v>
      </c>
      <c r="E212" s="5" t="str">
        <f t="shared" si="22"/>
        <v>Direct</v>
      </c>
      <c r="F212" s="5" t="s">
        <v>59</v>
      </c>
      <c r="G212" s="5">
        <v>128</v>
      </c>
      <c r="H212" s="5">
        <v>26240</v>
      </c>
      <c r="J212" s="5">
        <f t="shared" si="26"/>
        <v>0.60594584359022907</v>
      </c>
      <c r="K212" s="12">
        <f>16793.6/1.0562</f>
        <v>15900.01893580761</v>
      </c>
      <c r="L212" s="8">
        <f>1841/1.0495</f>
        <v>1754.168651738923</v>
      </c>
      <c r="Q212" s="5">
        <f t="shared" si="23"/>
        <v>17654.187587546534</v>
      </c>
      <c r="R212" s="5">
        <f t="shared" si="24"/>
        <v>0.67279678306198676</v>
      </c>
      <c r="W212" s="8" t="str">
        <f t="shared" si="25"/>
        <v/>
      </c>
    </row>
    <row r="213" spans="1:26">
      <c r="A213" s="5" t="s">
        <v>669</v>
      </c>
      <c r="B213" s="5" t="s">
        <v>93</v>
      </c>
      <c r="C213" s="5" t="s">
        <v>90</v>
      </c>
      <c r="D213" s="5" t="s">
        <v>112</v>
      </c>
      <c r="E213" s="5" t="str">
        <f t="shared" si="22"/>
        <v>Direct</v>
      </c>
      <c r="F213" s="5" t="s">
        <v>59</v>
      </c>
      <c r="G213" s="5">
        <v>112</v>
      </c>
      <c r="H213" s="5">
        <f>G213*205</f>
        <v>22960</v>
      </c>
      <c r="J213" s="5">
        <f t="shared" si="26"/>
        <v>0.59759817003431193</v>
      </c>
      <c r="K213" s="12">
        <f>14395.92/1.0492</f>
        <v>13720.853983987801</v>
      </c>
      <c r="L213" s="8">
        <f>(1841/1.0495)+1588.44</f>
        <v>3342.6086517389231</v>
      </c>
      <c r="M213" s="8">
        <v>1831.69</v>
      </c>
      <c r="N213" s="8">
        <v>300</v>
      </c>
      <c r="Q213" s="5">
        <f t="shared" si="23"/>
        <v>19195.152635726725</v>
      </c>
      <c r="R213" s="5">
        <f t="shared" si="24"/>
        <v>0.83602581166057166</v>
      </c>
      <c r="W213" s="8" t="str">
        <f t="shared" si="25"/>
        <v/>
      </c>
    </row>
    <row r="214" spans="1:26">
      <c r="A214" s="5" t="s">
        <v>670</v>
      </c>
      <c r="B214" s="5" t="s">
        <v>93</v>
      </c>
      <c r="C214" s="5" t="s">
        <v>90</v>
      </c>
      <c r="D214" s="5" t="s">
        <v>97</v>
      </c>
      <c r="E214" s="5" t="str">
        <f t="shared" si="22"/>
        <v>Direct</v>
      </c>
      <c r="F214" s="5" t="s">
        <v>59</v>
      </c>
      <c r="G214" s="5">
        <v>640</v>
      </c>
      <c r="H214" s="5">
        <f>G214*205</f>
        <v>131200</v>
      </c>
      <c r="J214" s="5">
        <f t="shared" si="26"/>
        <v>0.58701003597803447</v>
      </c>
      <c r="K214" s="12">
        <f>81344/1.0562</f>
        <v>77015.716720318116</v>
      </c>
      <c r="L214" s="8">
        <f>33265/1.0495</f>
        <v>31696.045736064789</v>
      </c>
      <c r="Q214" s="5">
        <f t="shared" si="23"/>
        <v>108711.7624563829</v>
      </c>
      <c r="R214" s="5">
        <f t="shared" si="24"/>
        <v>0.82859575042974776</v>
      </c>
      <c r="W214" s="8" t="str">
        <f t="shared" si="25"/>
        <v/>
      </c>
    </row>
    <row r="215" spans="1:26">
      <c r="A215" s="5" t="s">
        <v>671</v>
      </c>
      <c r="B215" s="5" t="s">
        <v>539</v>
      </c>
      <c r="C215" s="5" t="s">
        <v>62</v>
      </c>
      <c r="D215" s="5" t="s">
        <v>177</v>
      </c>
      <c r="E215" s="5" t="str">
        <f t="shared" si="22"/>
        <v>Direct</v>
      </c>
      <c r="F215" s="5" t="s">
        <v>31</v>
      </c>
      <c r="G215" s="5">
        <v>112</v>
      </c>
      <c r="H215" s="5">
        <v>23520</v>
      </c>
      <c r="J215" s="5">
        <f t="shared" si="26"/>
        <v>2.3050000000000002</v>
      </c>
      <c r="K215" s="12">
        <v>54213.599999999999</v>
      </c>
      <c r="L215" s="8">
        <v>1716.25</v>
      </c>
      <c r="M215" s="8">
        <f>90+30</f>
        <v>120</v>
      </c>
      <c r="Q215" s="5">
        <f t="shared" si="23"/>
        <v>56049.85</v>
      </c>
      <c r="R215" s="5">
        <f t="shared" si="24"/>
        <v>2.3830718537414963</v>
      </c>
      <c r="W215" s="8" t="str">
        <f t="shared" si="25"/>
        <v/>
      </c>
    </row>
    <row r="216" spans="1:26">
      <c r="A216" s="5" t="s">
        <v>672</v>
      </c>
      <c r="B216" s="5" t="s">
        <v>143</v>
      </c>
      <c r="C216" s="5" t="s">
        <v>119</v>
      </c>
      <c r="D216" s="5" t="s">
        <v>411</v>
      </c>
      <c r="E216" s="5" t="str">
        <f t="shared" si="22"/>
        <v>Direct</v>
      </c>
      <c r="F216" s="5" t="s">
        <v>121</v>
      </c>
      <c r="G216" s="5">
        <v>110</v>
      </c>
      <c r="H216" s="5">
        <v>1100</v>
      </c>
      <c r="J216" s="5">
        <f t="shared" si="26"/>
        <v>1.085</v>
      </c>
      <c r="K216" s="12">
        <v>1193.5</v>
      </c>
      <c r="L216" s="8">
        <v>485</v>
      </c>
      <c r="Q216" s="5">
        <f t="shared" si="23"/>
        <v>1678.5</v>
      </c>
      <c r="R216" s="5">
        <f t="shared" si="24"/>
        <v>1.5259090909090909</v>
      </c>
      <c r="W216" s="8" t="str">
        <f t="shared" si="25"/>
        <v/>
      </c>
    </row>
    <row r="217" spans="1:26">
      <c r="A217" s="5" t="s">
        <v>673</v>
      </c>
      <c r="B217" s="5" t="s">
        <v>143</v>
      </c>
      <c r="C217" s="5" t="s">
        <v>119</v>
      </c>
      <c r="D217" s="5" t="s">
        <v>411</v>
      </c>
      <c r="E217" s="5" t="str">
        <f t="shared" si="22"/>
        <v>Direct</v>
      </c>
      <c r="F217" s="5" t="s">
        <v>121</v>
      </c>
      <c r="G217" s="5">
        <v>110</v>
      </c>
      <c r="H217" s="5">
        <v>1100</v>
      </c>
      <c r="J217" s="5">
        <f t="shared" si="26"/>
        <v>1.085</v>
      </c>
      <c r="K217" s="12">
        <v>1193.5</v>
      </c>
      <c r="L217" s="8">
        <v>485</v>
      </c>
      <c r="Q217" s="5">
        <f t="shared" si="23"/>
        <v>1678.5</v>
      </c>
      <c r="R217" s="5">
        <f t="shared" si="24"/>
        <v>1.5259090909090909</v>
      </c>
      <c r="W217" s="8" t="str">
        <f t="shared" si="25"/>
        <v/>
      </c>
    </row>
    <row r="218" spans="1:26">
      <c r="A218" s="5" t="s">
        <v>674</v>
      </c>
      <c r="B218" s="5" t="s">
        <v>656</v>
      </c>
      <c r="C218" s="5" t="s">
        <v>126</v>
      </c>
      <c r="D218" s="5" t="s">
        <v>675</v>
      </c>
      <c r="E218" s="5" t="str">
        <f t="shared" si="22"/>
        <v>Direct</v>
      </c>
      <c r="F218" s="5" t="s">
        <v>128</v>
      </c>
      <c r="G218" s="5">
        <v>4</v>
      </c>
      <c r="H218" s="5">
        <v>880</v>
      </c>
      <c r="J218" s="5">
        <f t="shared" si="26"/>
        <v>1.4</v>
      </c>
      <c r="K218" s="12">
        <v>1232</v>
      </c>
      <c r="L218" s="8">
        <v>290</v>
      </c>
      <c r="Q218" s="5">
        <f t="shared" si="23"/>
        <v>1522</v>
      </c>
      <c r="R218" s="5">
        <f t="shared" si="24"/>
        <v>1.7295454545454545</v>
      </c>
      <c r="W218" s="8" t="str">
        <f t="shared" si="25"/>
        <v/>
      </c>
    </row>
    <row r="219" spans="1:26">
      <c r="A219" s="5" t="s">
        <v>676</v>
      </c>
      <c r="B219" s="5" t="s">
        <v>79</v>
      </c>
      <c r="C219" s="5" t="s">
        <v>80</v>
      </c>
      <c r="D219" s="5" t="s">
        <v>677</v>
      </c>
      <c r="E219" s="5" t="str">
        <f t="shared" si="22"/>
        <v>Hiwa</v>
      </c>
      <c r="F219" s="5" t="s">
        <v>31</v>
      </c>
      <c r="G219" s="5">
        <v>112</v>
      </c>
      <c r="H219" s="5">
        <v>24080</v>
      </c>
      <c r="J219" s="5">
        <f t="shared" si="26"/>
        <v>1.8053883899638923</v>
      </c>
      <c r="K219" s="12">
        <f>46956/1.0801</f>
        <v>43473.752430330525</v>
      </c>
      <c r="M219" s="8">
        <v>1757.6</v>
      </c>
      <c r="O219" s="8">
        <v>1315.45</v>
      </c>
      <c r="P219" s="5">
        <f>110.69</f>
        <v>110.69</v>
      </c>
      <c r="Q219" s="5">
        <f t="shared" si="23"/>
        <v>46657.492430330523</v>
      </c>
      <c r="R219" s="5">
        <f t="shared" si="24"/>
        <v>1.937603506242962</v>
      </c>
      <c r="T219" s="5">
        <v>0</v>
      </c>
      <c r="U219" s="5">
        <v>112</v>
      </c>
      <c r="V219" s="15">
        <v>0</v>
      </c>
      <c r="W219" s="8" t="str">
        <f t="shared" si="25"/>
        <v/>
      </c>
      <c r="Y219" s="5">
        <v>364602</v>
      </c>
      <c r="Z219" s="8">
        <v>45639</v>
      </c>
    </row>
    <row r="220" spans="1:26">
      <c r="A220" s="5" t="s">
        <v>678</v>
      </c>
      <c r="B220" s="5" t="s">
        <v>93</v>
      </c>
      <c r="C220" s="5" t="s">
        <v>90</v>
      </c>
      <c r="D220" s="5" t="s">
        <v>97</v>
      </c>
      <c r="E220" s="5" t="str">
        <f t="shared" si="22"/>
        <v>Direct</v>
      </c>
      <c r="F220" s="5" t="s">
        <v>59</v>
      </c>
      <c r="G220" s="5">
        <v>256</v>
      </c>
      <c r="H220" s="5">
        <f>G220*205</f>
        <v>52480</v>
      </c>
      <c r="J220" s="5">
        <f t="shared" si="26"/>
        <v>0.59070121951219501</v>
      </c>
      <c r="K220" s="12">
        <f>32537.6/1.0496</f>
        <v>30999.999999999996</v>
      </c>
      <c r="L220" s="8">
        <f>13306/1.0497</f>
        <v>12676.002667428787</v>
      </c>
      <c r="Q220" s="5">
        <f t="shared" si="23"/>
        <v>43676.00266742878</v>
      </c>
      <c r="R220" s="5">
        <f t="shared" si="24"/>
        <v>0.83224090448606669</v>
      </c>
      <c r="W220" s="8" t="str">
        <f t="shared" si="25"/>
        <v/>
      </c>
    </row>
    <row r="221" spans="1:26">
      <c r="A221" s="5" t="s">
        <v>84</v>
      </c>
      <c r="B221" s="5" t="s">
        <v>57</v>
      </c>
      <c r="C221" s="5" t="s">
        <v>58</v>
      </c>
      <c r="D221" s="5" t="s">
        <v>73</v>
      </c>
      <c r="E221" s="5" t="str">
        <f t="shared" si="22"/>
        <v>Hiwa</v>
      </c>
      <c r="F221" s="5" t="s">
        <v>59</v>
      </c>
      <c r="G221" s="5">
        <v>140</v>
      </c>
      <c r="H221" s="5">
        <f>G221*190</f>
        <v>26600</v>
      </c>
      <c r="J221" s="5">
        <f t="shared" si="26"/>
        <v>0.76094276094276092</v>
      </c>
      <c r="K221" s="12">
        <f>21040.6/1.0395</f>
        <v>20241.077441077439</v>
      </c>
      <c r="L221" s="8">
        <f>2350/1.0395</f>
        <v>2260.7022607022604</v>
      </c>
      <c r="Q221" s="5">
        <f t="shared" si="23"/>
        <v>22501.779701779698</v>
      </c>
      <c r="R221" s="5">
        <f t="shared" si="24"/>
        <v>0.84593156773607892</v>
      </c>
      <c r="W221" s="8" t="str">
        <f t="shared" si="25"/>
        <v/>
      </c>
    </row>
    <row r="222" spans="1:26">
      <c r="A222" s="5" t="s">
        <v>679</v>
      </c>
      <c r="B222" s="5" t="s">
        <v>125</v>
      </c>
      <c r="C222" s="5" t="s">
        <v>126</v>
      </c>
      <c r="D222" s="5" t="s">
        <v>127</v>
      </c>
      <c r="E222" s="5" t="str">
        <f t="shared" si="22"/>
        <v>Direct</v>
      </c>
      <c r="F222" s="5" t="s">
        <v>128</v>
      </c>
      <c r="G222" s="5">
        <v>4</v>
      </c>
      <c r="H222" s="5">
        <v>880</v>
      </c>
      <c r="J222" s="5">
        <f t="shared" si="26"/>
        <v>0.9</v>
      </c>
      <c r="K222" s="12">
        <v>792</v>
      </c>
      <c r="L222" s="8">
        <v>294</v>
      </c>
      <c r="Q222" s="5">
        <f t="shared" si="23"/>
        <v>1086</v>
      </c>
      <c r="R222" s="5">
        <f t="shared" si="24"/>
        <v>1.2340909090909091</v>
      </c>
      <c r="W222" s="8" t="str">
        <f t="shared" si="25"/>
        <v/>
      </c>
    </row>
    <row r="223" spans="1:26">
      <c r="A223" s="5" t="s">
        <v>680</v>
      </c>
      <c r="B223" s="5" t="s">
        <v>143</v>
      </c>
      <c r="C223" s="5" t="s">
        <v>119</v>
      </c>
      <c r="D223" s="5" t="s">
        <v>150</v>
      </c>
      <c r="E223" s="5" t="str">
        <f t="shared" si="22"/>
        <v>Direct</v>
      </c>
      <c r="F223" s="5" t="s">
        <v>121</v>
      </c>
      <c r="G223" s="5">
        <v>110</v>
      </c>
      <c r="H223" s="5">
        <v>1100</v>
      </c>
      <c r="J223" s="5">
        <f>IF(H223="","",+K223/H223)</f>
        <v>1.085</v>
      </c>
      <c r="K223" s="12">
        <v>1193.5</v>
      </c>
      <c r="L223" s="8">
        <v>480</v>
      </c>
      <c r="Q223" s="5">
        <f t="shared" si="23"/>
        <v>1673.5</v>
      </c>
      <c r="R223" s="5">
        <f t="shared" si="24"/>
        <v>1.5213636363636365</v>
      </c>
      <c r="W223" s="8" t="str">
        <f t="shared" si="25"/>
        <v/>
      </c>
    </row>
    <row r="224" spans="1:26">
      <c r="A224" s="5" t="s">
        <v>681</v>
      </c>
      <c r="B224" s="5" t="s">
        <v>136</v>
      </c>
      <c r="C224" s="5" t="s">
        <v>133</v>
      </c>
      <c r="D224" s="5" t="s">
        <v>134</v>
      </c>
      <c r="E224" s="5" t="str">
        <f t="shared" si="22"/>
        <v>Direct</v>
      </c>
      <c r="F224" s="5" t="s">
        <v>121</v>
      </c>
      <c r="G224" s="5">
        <v>20</v>
      </c>
      <c r="H224" s="5">
        <v>4400</v>
      </c>
      <c r="J224" s="5">
        <f t="shared" ref="J224:J247" si="28">IF(H224="","",+K224/H224)</f>
        <v>1.26</v>
      </c>
      <c r="K224" s="12">
        <v>5544</v>
      </c>
      <c r="L224" s="8">
        <f>680.65-95.65</f>
        <v>585</v>
      </c>
      <c r="Q224" s="5">
        <f t="shared" si="23"/>
        <v>6129</v>
      </c>
      <c r="R224" s="5">
        <f t="shared" si="24"/>
        <v>1.3929545454545456</v>
      </c>
      <c r="W224" s="8" t="str">
        <f t="shared" si="25"/>
        <v/>
      </c>
    </row>
    <row r="225" spans="1:25">
      <c r="A225" s="5" t="s">
        <v>682</v>
      </c>
      <c r="B225" s="5" t="s">
        <v>143</v>
      </c>
      <c r="C225" s="5" t="s">
        <v>119</v>
      </c>
      <c r="D225" s="5" t="s">
        <v>411</v>
      </c>
      <c r="E225" s="5" t="str">
        <f t="shared" si="22"/>
        <v>Direct</v>
      </c>
      <c r="F225" s="5" t="s">
        <v>121</v>
      </c>
      <c r="G225" s="5">
        <v>110</v>
      </c>
      <c r="H225" s="5">
        <v>1100</v>
      </c>
      <c r="J225" s="5">
        <f t="shared" si="28"/>
        <v>1.085</v>
      </c>
      <c r="K225" s="12">
        <v>1193.5</v>
      </c>
      <c r="L225" s="8">
        <v>485</v>
      </c>
      <c r="Q225" s="5">
        <f t="shared" si="23"/>
        <v>1678.5</v>
      </c>
      <c r="R225" s="5">
        <f t="shared" si="24"/>
        <v>1.5259090909090909</v>
      </c>
      <c r="W225" s="8" t="str">
        <f t="shared" si="25"/>
        <v/>
      </c>
    </row>
    <row r="226" spans="1:25">
      <c r="A226" s="5" t="s">
        <v>683</v>
      </c>
      <c r="B226" s="5" t="s">
        <v>224</v>
      </c>
      <c r="C226" s="5" t="s">
        <v>133</v>
      </c>
      <c r="D226" s="5" t="s">
        <v>657</v>
      </c>
      <c r="E226" s="5" t="str">
        <f t="shared" si="22"/>
        <v>Direct</v>
      </c>
      <c r="F226" s="5" t="s">
        <v>121</v>
      </c>
      <c r="G226" s="5">
        <v>4</v>
      </c>
      <c r="H226" s="5">
        <v>4000</v>
      </c>
      <c r="J226" s="5">
        <f t="shared" si="28"/>
        <v>1.52</v>
      </c>
      <c r="K226" s="12">
        <v>6080</v>
      </c>
      <c r="L226" s="8">
        <v>485</v>
      </c>
      <c r="Q226" s="5">
        <f t="shared" si="23"/>
        <v>6565</v>
      </c>
      <c r="R226" s="5">
        <f t="shared" si="24"/>
        <v>1.6412500000000001</v>
      </c>
      <c r="W226" s="8" t="str">
        <f t="shared" si="25"/>
        <v/>
      </c>
    </row>
    <row r="227" spans="1:25">
      <c r="A227" s="5" t="s">
        <v>684</v>
      </c>
      <c r="B227" s="5" t="s">
        <v>93</v>
      </c>
      <c r="C227" s="5" t="s">
        <v>90</v>
      </c>
      <c r="D227" s="5" t="s">
        <v>97</v>
      </c>
      <c r="E227" s="5" t="str">
        <f t="shared" si="22"/>
        <v>Direct</v>
      </c>
      <c r="F227" s="5" t="s">
        <v>59</v>
      </c>
      <c r="G227" s="5">
        <v>256</v>
      </c>
      <c r="H227" s="5">
        <f>G227*205</f>
        <v>52480</v>
      </c>
      <c r="J227" s="5">
        <f t="shared" si="28"/>
        <v>0.58210496666979628</v>
      </c>
      <c r="K227" s="12">
        <f>32537.6/1.0651</f>
        <v>30548.868650830907</v>
      </c>
      <c r="L227" s="8">
        <f>13306/1.039</f>
        <v>12806.544754571705</v>
      </c>
      <c r="Q227" s="5">
        <f t="shared" si="23"/>
        <v>43355.413405402614</v>
      </c>
      <c r="R227" s="5">
        <f t="shared" si="24"/>
        <v>0.82613211519440954</v>
      </c>
      <c r="W227" s="8" t="str">
        <f t="shared" si="25"/>
        <v/>
      </c>
    </row>
    <row r="228" spans="1:25">
      <c r="A228" s="5" t="s">
        <v>85</v>
      </c>
      <c r="B228" s="5" t="s">
        <v>86</v>
      </c>
      <c r="C228" s="5" t="s">
        <v>80</v>
      </c>
      <c r="D228" s="5" t="s">
        <v>87</v>
      </c>
      <c r="E228" s="5" t="str">
        <f t="shared" si="22"/>
        <v>Direct</v>
      </c>
      <c r="F228" s="5" t="s">
        <v>59</v>
      </c>
      <c r="G228" s="5">
        <v>112</v>
      </c>
      <c r="H228" s="5">
        <v>24080</v>
      </c>
      <c r="J228" s="5">
        <f t="shared" si="28"/>
        <v>1.6750737603502428</v>
      </c>
      <c r="K228" s="12">
        <f>42380.8/1.0507</f>
        <v>40335.776149233847</v>
      </c>
      <c r="Q228" s="5">
        <f t="shared" si="23"/>
        <v>40335.776149233847</v>
      </c>
      <c r="R228" s="5">
        <f t="shared" si="24"/>
        <v>1.6750737603502428</v>
      </c>
      <c r="W228" s="8" t="str">
        <f t="shared" si="25"/>
        <v/>
      </c>
    </row>
    <row r="229" spans="1:25">
      <c r="A229" s="5" t="s">
        <v>88</v>
      </c>
      <c r="B229" s="5" t="s">
        <v>89</v>
      </c>
      <c r="C229" s="5" t="s">
        <v>90</v>
      </c>
      <c r="D229" s="5" t="s">
        <v>30</v>
      </c>
      <c r="E229" s="5" t="str">
        <f t="shared" si="22"/>
        <v>Hiwa</v>
      </c>
      <c r="F229" s="5" t="s">
        <v>59</v>
      </c>
      <c r="G229" s="5">
        <v>256</v>
      </c>
      <c r="H229" s="5">
        <f>G229*205</f>
        <v>52480</v>
      </c>
      <c r="J229" s="5">
        <f t="shared" si="28"/>
        <v>0.61004670670098182</v>
      </c>
      <c r="K229" s="12">
        <f>33587.2/1.0491</f>
        <v>32015.251167667524</v>
      </c>
      <c r="L229" s="8">
        <f>3092/1.0491</f>
        <v>2947.2881517491187</v>
      </c>
      <c r="M229" s="8">
        <v>1991.26</v>
      </c>
      <c r="O229" s="8">
        <v>2480.44</v>
      </c>
      <c r="Q229" s="5">
        <f t="shared" si="23"/>
        <v>39434.239319416643</v>
      </c>
      <c r="R229" s="5">
        <f t="shared" si="24"/>
        <v>0.75141462117790858</v>
      </c>
      <c r="V229" s="15">
        <f>25+128</f>
        <v>153</v>
      </c>
      <c r="W229" s="8">
        <f t="shared" si="25"/>
        <v>23568.119593245101</v>
      </c>
      <c r="Y229" s="5" t="s">
        <v>685</v>
      </c>
    </row>
    <row r="230" spans="1:25">
      <c r="A230" s="5" t="s">
        <v>686</v>
      </c>
      <c r="B230" s="5" t="s">
        <v>143</v>
      </c>
      <c r="C230" s="5" t="s">
        <v>119</v>
      </c>
      <c r="D230" s="5" t="s">
        <v>411</v>
      </c>
      <c r="E230" s="5" t="str">
        <f t="shared" si="22"/>
        <v>Direct</v>
      </c>
      <c r="F230" s="5" t="s">
        <v>121</v>
      </c>
      <c r="G230" s="5">
        <v>110</v>
      </c>
      <c r="H230" s="5">
        <v>1100</v>
      </c>
      <c r="J230" s="5">
        <f t="shared" si="28"/>
        <v>1.085</v>
      </c>
      <c r="K230" s="12">
        <v>1193.5</v>
      </c>
      <c r="L230" s="8">
        <v>485</v>
      </c>
      <c r="Q230" s="5">
        <f t="shared" si="23"/>
        <v>1678.5</v>
      </c>
      <c r="R230" s="5">
        <f t="shared" si="24"/>
        <v>1.5259090909090909</v>
      </c>
      <c r="W230" s="8" t="str">
        <f t="shared" si="25"/>
        <v/>
      </c>
    </row>
    <row r="231" spans="1:25">
      <c r="A231" s="5" t="s">
        <v>92</v>
      </c>
      <c r="B231" s="5" t="s">
        <v>93</v>
      </c>
      <c r="C231" s="5" t="s">
        <v>90</v>
      </c>
      <c r="D231" s="5" t="s">
        <v>94</v>
      </c>
      <c r="E231" s="5" t="str">
        <f t="shared" si="22"/>
        <v>Direct</v>
      </c>
      <c r="F231" s="5" t="s">
        <v>59</v>
      </c>
      <c r="G231" s="5">
        <v>128</v>
      </c>
      <c r="H231" s="5">
        <v>26240</v>
      </c>
      <c r="J231" s="5">
        <f t="shared" si="28"/>
        <v>0</v>
      </c>
      <c r="Q231" s="5">
        <f t="shared" si="23"/>
        <v>0</v>
      </c>
      <c r="R231" s="5">
        <f t="shared" si="24"/>
        <v>0</v>
      </c>
      <c r="W231" s="8" t="str">
        <f t="shared" si="25"/>
        <v/>
      </c>
    </row>
    <row r="232" spans="1:25">
      <c r="A232" s="5" t="s">
        <v>95</v>
      </c>
      <c r="B232" s="5" t="s">
        <v>82</v>
      </c>
      <c r="C232" s="5" t="s">
        <v>376</v>
      </c>
      <c r="D232" s="5" t="s">
        <v>73</v>
      </c>
      <c r="E232" s="5" t="str">
        <f t="shared" si="22"/>
        <v>Hiwa</v>
      </c>
      <c r="F232" s="5" t="s">
        <v>59</v>
      </c>
      <c r="G232" s="5">
        <v>128</v>
      </c>
      <c r="H232" s="5">
        <f>G232*204</f>
        <v>26112</v>
      </c>
      <c r="J232" s="5">
        <f t="shared" si="28"/>
        <v>0</v>
      </c>
      <c r="Q232" s="5">
        <f t="shared" si="23"/>
        <v>0</v>
      </c>
      <c r="R232" s="5">
        <f t="shared" si="24"/>
        <v>0</v>
      </c>
      <c r="W232" s="8" t="str">
        <f t="shared" si="25"/>
        <v/>
      </c>
    </row>
    <row r="233" spans="1:25">
      <c r="A233" s="5" t="s">
        <v>96</v>
      </c>
      <c r="B233" s="5" t="s">
        <v>93</v>
      </c>
      <c r="C233" s="5" t="s">
        <v>90</v>
      </c>
      <c r="D233" s="5" t="s">
        <v>97</v>
      </c>
      <c r="E233" s="5" t="str">
        <f t="shared" si="22"/>
        <v>Direct</v>
      </c>
      <c r="F233" s="5" t="s">
        <v>59</v>
      </c>
      <c r="G233" s="5">
        <v>256</v>
      </c>
      <c r="H233" s="5">
        <f>G233*205</f>
        <v>52480</v>
      </c>
      <c r="J233" s="5">
        <f t="shared" si="28"/>
        <v>0</v>
      </c>
      <c r="Q233" s="5">
        <f t="shared" si="23"/>
        <v>0</v>
      </c>
      <c r="R233" s="5">
        <f t="shared" si="24"/>
        <v>0</v>
      </c>
      <c r="W233" s="8" t="str">
        <f t="shared" si="25"/>
        <v/>
      </c>
    </row>
    <row r="234" spans="1:25">
      <c r="A234" s="5" t="s">
        <v>98</v>
      </c>
      <c r="B234" s="5" t="s">
        <v>93</v>
      </c>
      <c r="C234" s="5" t="s">
        <v>90</v>
      </c>
      <c r="D234" s="5" t="s">
        <v>94</v>
      </c>
      <c r="E234" s="5" t="str">
        <f t="shared" si="22"/>
        <v>Direct</v>
      </c>
      <c r="F234" s="5" t="s">
        <v>59</v>
      </c>
      <c r="G234" s="5">
        <v>128</v>
      </c>
      <c r="H234" s="5">
        <v>26240</v>
      </c>
      <c r="J234" s="5">
        <f t="shared" si="28"/>
        <v>0</v>
      </c>
      <c r="Q234" s="5">
        <f t="shared" si="23"/>
        <v>0</v>
      </c>
      <c r="R234" s="5">
        <f t="shared" si="24"/>
        <v>0</v>
      </c>
      <c r="W234" s="8" t="str">
        <f t="shared" si="25"/>
        <v/>
      </c>
    </row>
    <row r="235" spans="1:25">
      <c r="A235" s="5" t="s">
        <v>99</v>
      </c>
      <c r="B235" s="5" t="s">
        <v>93</v>
      </c>
      <c r="C235" s="5" t="s">
        <v>90</v>
      </c>
      <c r="D235" s="5" t="s">
        <v>97</v>
      </c>
      <c r="E235" s="5" t="str">
        <f t="shared" si="22"/>
        <v>Direct</v>
      </c>
      <c r="F235" s="5" t="s">
        <v>59</v>
      </c>
      <c r="G235" s="5">
        <v>128</v>
      </c>
      <c r="H235" s="5">
        <f>G235*205</f>
        <v>26240</v>
      </c>
      <c r="J235" s="5">
        <f t="shared" si="28"/>
        <v>0</v>
      </c>
      <c r="Q235" s="5">
        <f t="shared" si="23"/>
        <v>0</v>
      </c>
      <c r="R235" s="5">
        <f t="shared" si="24"/>
        <v>0</v>
      </c>
      <c r="W235" s="8" t="str">
        <f t="shared" si="25"/>
        <v/>
      </c>
    </row>
    <row r="236" spans="1:25">
      <c r="A236" s="5" t="s">
        <v>100</v>
      </c>
      <c r="B236" s="5" t="s">
        <v>93</v>
      </c>
      <c r="C236" s="5" t="s">
        <v>90</v>
      </c>
      <c r="D236" s="5" t="s">
        <v>101</v>
      </c>
      <c r="E236" s="5" t="str">
        <f t="shared" si="22"/>
        <v>Direct</v>
      </c>
      <c r="F236" s="5" t="s">
        <v>59</v>
      </c>
      <c r="G236" s="5">
        <v>256</v>
      </c>
      <c r="H236" s="5">
        <f>G236*205</f>
        <v>52480</v>
      </c>
      <c r="J236" s="5">
        <f t="shared" si="28"/>
        <v>0</v>
      </c>
      <c r="Q236" s="5">
        <f t="shared" si="23"/>
        <v>0</v>
      </c>
      <c r="R236" s="5">
        <f t="shared" si="24"/>
        <v>0</v>
      </c>
      <c r="W236" s="8" t="str">
        <f t="shared" si="25"/>
        <v/>
      </c>
    </row>
    <row r="237" spans="1:25">
      <c r="A237" s="5" t="s">
        <v>687</v>
      </c>
      <c r="B237" s="5" t="s">
        <v>175</v>
      </c>
      <c r="C237" s="5" t="s">
        <v>176</v>
      </c>
      <c r="D237" s="5" t="s">
        <v>177</v>
      </c>
      <c r="E237" s="5" t="str">
        <f t="shared" si="22"/>
        <v>Direct</v>
      </c>
      <c r="F237" s="5" t="s">
        <v>128</v>
      </c>
      <c r="G237" s="5">
        <v>12</v>
      </c>
      <c r="H237" s="5">
        <v>336</v>
      </c>
      <c r="J237" s="5">
        <f t="shared" si="28"/>
        <v>2.2000000000000002</v>
      </c>
      <c r="K237" s="12">
        <v>739.2</v>
      </c>
      <c r="L237" s="8">
        <f>230</f>
        <v>230</v>
      </c>
      <c r="Q237" s="5">
        <f t="shared" si="23"/>
        <v>969.2</v>
      </c>
      <c r="R237" s="5">
        <f t="shared" si="24"/>
        <v>2.8845238095238095</v>
      </c>
      <c r="W237" s="8" t="str">
        <f t="shared" si="25"/>
        <v/>
      </c>
    </row>
    <row r="238" spans="1:25">
      <c r="A238" s="5" t="s">
        <v>688</v>
      </c>
      <c r="B238" s="5" t="s">
        <v>179</v>
      </c>
      <c r="C238" s="5" t="s">
        <v>176</v>
      </c>
      <c r="D238" s="5" t="s">
        <v>177</v>
      </c>
      <c r="E238" s="5" t="str">
        <f t="shared" si="22"/>
        <v>Direct</v>
      </c>
      <c r="F238" s="5" t="s">
        <v>128</v>
      </c>
      <c r="G238" s="5">
        <v>10</v>
      </c>
      <c r="H238" s="5">
        <v>240</v>
      </c>
      <c r="J238" s="5">
        <f t="shared" si="28"/>
        <v>2.8</v>
      </c>
      <c r="K238" s="12">
        <v>672</v>
      </c>
      <c r="L238" s="8">
        <v>230</v>
      </c>
      <c r="Q238" s="5">
        <f t="shared" si="23"/>
        <v>902</v>
      </c>
      <c r="R238" s="5">
        <f t="shared" si="24"/>
        <v>3.7583333333333333</v>
      </c>
      <c r="W238" s="8" t="str">
        <f t="shared" si="25"/>
        <v/>
      </c>
    </row>
    <row r="239" spans="1:25">
      <c r="A239" s="5" t="s">
        <v>102</v>
      </c>
      <c r="B239" s="5" t="s">
        <v>103</v>
      </c>
      <c r="C239" s="5" t="s">
        <v>62</v>
      </c>
      <c r="D239" s="5" t="s">
        <v>104</v>
      </c>
      <c r="E239" s="5" t="str">
        <f t="shared" si="22"/>
        <v>Direct</v>
      </c>
      <c r="F239" s="5" t="s">
        <v>31</v>
      </c>
      <c r="G239" s="5">
        <v>112</v>
      </c>
      <c r="H239" s="5">
        <f>G239*210</f>
        <v>23520</v>
      </c>
      <c r="J239" s="5">
        <f t="shared" si="28"/>
        <v>1.284</v>
      </c>
      <c r="K239" s="12">
        <f>30199.68</f>
        <v>30199.68</v>
      </c>
      <c r="Q239" s="5">
        <f t="shared" si="23"/>
        <v>30199.68</v>
      </c>
      <c r="R239" s="5">
        <f t="shared" si="24"/>
        <v>1.284</v>
      </c>
      <c r="W239" s="8" t="str">
        <f t="shared" si="25"/>
        <v/>
      </c>
    </row>
    <row r="240" spans="1:25">
      <c r="A240" s="5" t="s">
        <v>105</v>
      </c>
      <c r="B240" s="5" t="s">
        <v>106</v>
      </c>
      <c r="C240" s="5" t="s">
        <v>62</v>
      </c>
      <c r="D240" s="5" t="s">
        <v>104</v>
      </c>
      <c r="E240" s="5" t="str">
        <f t="shared" si="22"/>
        <v>Direct</v>
      </c>
      <c r="F240" s="5" t="s">
        <v>31</v>
      </c>
      <c r="G240" s="5">
        <f>9*112</f>
        <v>1008</v>
      </c>
      <c r="H240" s="5">
        <f>G240*210</f>
        <v>211680</v>
      </c>
      <c r="J240" s="5">
        <f t="shared" si="28"/>
        <v>1.3200018896447467</v>
      </c>
      <c r="K240" s="12">
        <f>279418</f>
        <v>279418</v>
      </c>
      <c r="Q240" s="5">
        <f t="shared" si="23"/>
        <v>279418</v>
      </c>
      <c r="R240" s="5">
        <f t="shared" si="24"/>
        <v>1.3200018896447467</v>
      </c>
      <c r="W240" s="8" t="str">
        <f t="shared" si="25"/>
        <v/>
      </c>
    </row>
    <row r="241" spans="1:23">
      <c r="A241" s="5" t="s">
        <v>108</v>
      </c>
      <c r="B241" s="5" t="s">
        <v>106</v>
      </c>
      <c r="C241" s="5" t="s">
        <v>62</v>
      </c>
      <c r="D241" s="5" t="s">
        <v>689</v>
      </c>
      <c r="E241" s="5" t="str">
        <f t="shared" si="22"/>
        <v>Direct</v>
      </c>
      <c r="F241" s="5" t="s">
        <v>31</v>
      </c>
      <c r="G241" s="5">
        <f>9*112</f>
        <v>1008</v>
      </c>
      <c r="H241" s="5">
        <f>G241*210</f>
        <v>211680</v>
      </c>
      <c r="J241" s="5">
        <f t="shared" si="28"/>
        <v>0.155</v>
      </c>
      <c r="K241" s="12">
        <v>32810.400000000001</v>
      </c>
      <c r="Q241" s="5">
        <f t="shared" si="23"/>
        <v>32810.400000000001</v>
      </c>
      <c r="R241" s="5">
        <f t="shared" si="24"/>
        <v>0.155</v>
      </c>
      <c r="W241" s="8" t="str">
        <f t="shared" si="25"/>
        <v/>
      </c>
    </row>
    <row r="242" spans="1:23">
      <c r="A242" s="5" t="s">
        <v>109</v>
      </c>
      <c r="B242" s="5" t="s">
        <v>103</v>
      </c>
      <c r="C242" s="5" t="s">
        <v>62</v>
      </c>
      <c r="D242" s="5" t="s">
        <v>104</v>
      </c>
      <c r="E242" s="5" t="str">
        <f t="shared" si="22"/>
        <v>Direct</v>
      </c>
      <c r="F242" s="5" t="s">
        <v>31</v>
      </c>
      <c r="G242" s="5">
        <v>336</v>
      </c>
      <c r="H242" s="5">
        <f>G242*210</f>
        <v>70560</v>
      </c>
      <c r="J242" s="5">
        <f t="shared" si="28"/>
        <v>1.2839999999999998</v>
      </c>
      <c r="K242" s="12">
        <v>90599.039999999994</v>
      </c>
      <c r="Q242" s="5">
        <f t="shared" si="23"/>
        <v>90599.039999999994</v>
      </c>
      <c r="R242" s="5">
        <f t="shared" si="24"/>
        <v>1.2839999999999998</v>
      </c>
      <c r="W242" s="8" t="str">
        <f t="shared" si="25"/>
        <v/>
      </c>
    </row>
    <row r="243" spans="1:23">
      <c r="A243" s="5" t="s">
        <v>111</v>
      </c>
      <c r="B243" s="5" t="s">
        <v>93</v>
      </c>
      <c r="C243" s="5" t="s">
        <v>90</v>
      </c>
      <c r="D243" s="5" t="s">
        <v>112</v>
      </c>
      <c r="E243" s="5" t="str">
        <f t="shared" si="22"/>
        <v>Direct</v>
      </c>
      <c r="F243" s="5" t="s">
        <v>59</v>
      </c>
      <c r="G243" s="5">
        <v>112</v>
      </c>
      <c r="H243" s="5">
        <f>G243*205</f>
        <v>22960</v>
      </c>
      <c r="J243" s="5">
        <f t="shared" si="28"/>
        <v>0</v>
      </c>
      <c r="Q243" s="5">
        <f t="shared" si="23"/>
        <v>0</v>
      </c>
      <c r="R243" s="5">
        <f t="shared" si="24"/>
        <v>0</v>
      </c>
      <c r="W243" s="8" t="str">
        <f t="shared" si="25"/>
        <v/>
      </c>
    </row>
    <row r="244" spans="1:23">
      <c r="A244" s="5" t="s">
        <v>113</v>
      </c>
      <c r="B244" s="5" t="s">
        <v>89</v>
      </c>
      <c r="C244" s="5" t="s">
        <v>90</v>
      </c>
      <c r="D244" s="5" t="s">
        <v>30</v>
      </c>
      <c r="E244" s="5" t="str">
        <f t="shared" si="22"/>
        <v>Hiwa</v>
      </c>
      <c r="F244" s="5" t="s">
        <v>59</v>
      </c>
      <c r="G244" s="5">
        <v>256</v>
      </c>
      <c r="H244" s="5">
        <f>G244*205</f>
        <v>52480</v>
      </c>
      <c r="J244" s="5">
        <f t="shared" si="28"/>
        <v>0</v>
      </c>
      <c r="Q244" s="5">
        <f t="shared" si="23"/>
        <v>0</v>
      </c>
      <c r="R244" s="5">
        <f t="shared" si="24"/>
        <v>0</v>
      </c>
      <c r="W244" s="8" t="str">
        <f t="shared" si="25"/>
        <v/>
      </c>
    </row>
    <row r="245" spans="1:23">
      <c r="A245" s="5" t="s">
        <v>115</v>
      </c>
      <c r="B245" s="5" t="s">
        <v>106</v>
      </c>
      <c r="C245" s="5" t="s">
        <v>62</v>
      </c>
      <c r="D245" s="5" t="s">
        <v>116</v>
      </c>
      <c r="E245" s="5" t="str">
        <f t="shared" si="22"/>
        <v>Direct</v>
      </c>
      <c r="F245" s="5" t="s">
        <v>31</v>
      </c>
      <c r="G245" s="5">
        <f>9*112</f>
        <v>1008</v>
      </c>
      <c r="H245" s="5">
        <f>G245*210</f>
        <v>211680</v>
      </c>
      <c r="J245" s="5">
        <f t="shared" si="28"/>
        <v>1.41</v>
      </c>
      <c r="K245" s="12">
        <v>298468.8</v>
      </c>
      <c r="Q245" s="5">
        <f t="shared" si="23"/>
        <v>298468.8</v>
      </c>
      <c r="R245" s="5">
        <f t="shared" si="24"/>
        <v>1.41</v>
      </c>
      <c r="W245" s="8" t="str">
        <f t="shared" si="25"/>
        <v/>
      </c>
    </row>
    <row r="246" spans="1:23">
      <c r="A246" s="5" t="s">
        <v>117</v>
      </c>
      <c r="B246" s="5" t="s">
        <v>118</v>
      </c>
      <c r="C246" s="5" t="s">
        <v>119</v>
      </c>
      <c r="D246" s="5" t="s">
        <v>120</v>
      </c>
      <c r="E246" s="5" t="str">
        <f>IF(B246="","",IF(D246="Godfroy","Godfroy",(IF(LEFT(B246,1)="1","Hiwa","Direct"))))</f>
        <v>Direct</v>
      </c>
      <c r="F246" s="5" t="s">
        <v>128</v>
      </c>
      <c r="G246" s="5">
        <v>52</v>
      </c>
      <c r="H246" s="5">
        <v>10400</v>
      </c>
      <c r="J246" s="5">
        <f t="shared" si="28"/>
        <v>0</v>
      </c>
      <c r="Q246" s="5">
        <f t="shared" si="23"/>
        <v>0</v>
      </c>
      <c r="R246" s="5">
        <f t="shared" si="24"/>
        <v>0</v>
      </c>
      <c r="W246" s="8" t="str">
        <f t="shared" si="25"/>
        <v/>
      </c>
    </row>
    <row r="247" spans="1:23">
      <c r="A247" s="5" t="s">
        <v>122</v>
      </c>
      <c r="B247" s="5" t="s">
        <v>51</v>
      </c>
      <c r="C247" s="5" t="s">
        <v>52</v>
      </c>
      <c r="D247" s="5" t="s">
        <v>30</v>
      </c>
      <c r="E247" s="5" t="str">
        <f t="shared" ref="E247" si="29">IF(B247="","",IF(D247="Godfroy","Godfroy",(IF(LEFT(B247,1)="1","Hiwa","Direct"))))</f>
        <v>Hiwa</v>
      </c>
      <c r="F247" s="5" t="s">
        <v>46</v>
      </c>
      <c r="G247" s="5">
        <v>80</v>
      </c>
      <c r="H247" s="5">
        <v>16800</v>
      </c>
      <c r="J247" s="5">
        <f t="shared" si="28"/>
        <v>3.8447831726780617</v>
      </c>
      <c r="K247" s="12">
        <f>67105/1.0389</f>
        <v>64592.35730099144</v>
      </c>
      <c r="Q247" s="5">
        <f t="shared" si="23"/>
        <v>64592.35730099144</v>
      </c>
      <c r="R247" s="5">
        <f t="shared" si="24"/>
        <v>3.8447831726780617</v>
      </c>
      <c r="W247" s="8" t="str">
        <f t="shared" si="25"/>
        <v/>
      </c>
    </row>
    <row r="248" spans="1:23">
      <c r="A248" s="5" t="s">
        <v>124</v>
      </c>
      <c r="B248" s="5" t="s">
        <v>125</v>
      </c>
      <c r="C248" s="5" t="s">
        <v>126</v>
      </c>
      <c r="D248" s="5" t="s">
        <v>127</v>
      </c>
      <c r="E248" s="5" t="str">
        <f>IF(B248="","",IF(D248="Godfroy","Godfroy",(IF(LEFT(B248,1)="1","Hiwa","Direct"))))</f>
        <v>Direct</v>
      </c>
      <c r="F248" s="5" t="s">
        <v>128</v>
      </c>
      <c r="G248" s="5">
        <v>4</v>
      </c>
      <c r="H248" s="5">
        <v>880</v>
      </c>
      <c r="J248" s="5">
        <f>IF(H248="","",+K248/H248)</f>
        <v>0.92</v>
      </c>
      <c r="K248" s="12">
        <v>809.6</v>
      </c>
      <c r="L248" s="8">
        <v>294</v>
      </c>
      <c r="Q248" s="5">
        <f t="shared" si="23"/>
        <v>1103.5999999999999</v>
      </c>
      <c r="R248" s="5">
        <f>IF(J248="","",+Q248/H248)</f>
        <v>1.2540909090909089</v>
      </c>
      <c r="W248" s="8" t="str">
        <f>IF(V248&gt;0,(((H248/G248)*V248)*R248),"")</f>
        <v/>
      </c>
    </row>
    <row r="249" spans="1:23">
      <c r="A249" s="5" t="s">
        <v>129</v>
      </c>
      <c r="B249" s="5" t="s">
        <v>106</v>
      </c>
      <c r="C249" s="5" t="s">
        <v>62</v>
      </c>
      <c r="D249" s="5" t="s">
        <v>104</v>
      </c>
      <c r="E249" s="5" t="str">
        <f t="shared" ref="E249:E253" si="30">IF(B249="","",IF(D249="Godfroy","Godfroy",(IF(LEFT(B249,1)="1","Hiwa","Direct"))))</f>
        <v>Direct</v>
      </c>
      <c r="F249" s="5" t="s">
        <v>31</v>
      </c>
      <c r="G249" s="5">
        <f>6*112</f>
        <v>672</v>
      </c>
      <c r="H249" s="5">
        <f>G249*210</f>
        <v>141120</v>
      </c>
      <c r="J249" s="5">
        <f>IF(H249="","",+K249/H249)</f>
        <v>1.32</v>
      </c>
      <c r="K249" s="12">
        <v>186278.39999999999</v>
      </c>
      <c r="Q249" s="5">
        <f t="shared" si="23"/>
        <v>186278.39999999999</v>
      </c>
      <c r="R249" s="5">
        <f>IF(J249="","",+Q249/H249)</f>
        <v>1.32</v>
      </c>
      <c r="W249" s="8" t="str">
        <f>IF(V249&gt;0,(((H249/G249)*V249)*R249),"")</f>
        <v/>
      </c>
    </row>
    <row r="250" spans="1:23">
      <c r="A250" s="5" t="s">
        <v>131</v>
      </c>
      <c r="B250" s="5" t="s">
        <v>132</v>
      </c>
      <c r="C250" s="5" t="s">
        <v>133</v>
      </c>
      <c r="D250" s="5" t="s">
        <v>134</v>
      </c>
      <c r="E250" s="5" t="str">
        <f t="shared" si="30"/>
        <v>Direct</v>
      </c>
      <c r="F250" s="5" t="s">
        <v>121</v>
      </c>
      <c r="G250" s="5">
        <v>32</v>
      </c>
      <c r="H250" s="5">
        <f>G250*220</f>
        <v>7040</v>
      </c>
      <c r="J250" s="5">
        <f t="shared" ref="J250:J254" si="31">IF(H250="","",+K250/H250)</f>
        <v>0</v>
      </c>
      <c r="Q250" s="5">
        <f>IF(J250="","",K250+SUM(L250:P250))</f>
        <v>0</v>
      </c>
      <c r="R250" s="5">
        <f t="shared" ref="R250:R254" si="32">IF(J250="","",+Q250/H250)</f>
        <v>0</v>
      </c>
    </row>
    <row r="251" spans="1:23">
      <c r="A251" s="5" t="s">
        <v>135</v>
      </c>
      <c r="B251" s="5" t="s">
        <v>136</v>
      </c>
      <c r="C251" s="5" t="s">
        <v>133</v>
      </c>
      <c r="D251" s="5" t="s">
        <v>134</v>
      </c>
      <c r="E251" s="5" t="str">
        <f t="shared" si="30"/>
        <v>Direct</v>
      </c>
      <c r="F251" s="5" t="s">
        <v>121</v>
      </c>
      <c r="G251" s="5">
        <v>8</v>
      </c>
      <c r="H251" s="5">
        <f>G251*220</f>
        <v>1760</v>
      </c>
      <c r="J251" s="5">
        <f t="shared" si="31"/>
        <v>0</v>
      </c>
      <c r="Q251" s="5">
        <f t="shared" ref="Q251:Q254" si="33">IF(J251="","",K251+SUM(L251:P251))</f>
        <v>0</v>
      </c>
      <c r="R251" s="5">
        <f t="shared" si="32"/>
        <v>0</v>
      </c>
    </row>
    <row r="252" spans="1:23">
      <c r="A252" s="5" t="s">
        <v>137</v>
      </c>
      <c r="B252" s="5" t="s">
        <v>103</v>
      </c>
      <c r="C252" s="5" t="s">
        <v>62</v>
      </c>
      <c r="D252" s="5" t="s">
        <v>104</v>
      </c>
      <c r="E252" s="5" t="str">
        <f t="shared" si="30"/>
        <v>Direct</v>
      </c>
      <c r="F252" s="5" t="s">
        <v>31</v>
      </c>
      <c r="G252" s="5">
        <f>6*112</f>
        <v>672</v>
      </c>
      <c r="H252" s="5">
        <f>G252*210</f>
        <v>141120</v>
      </c>
      <c r="J252" s="5">
        <f t="shared" si="31"/>
        <v>0</v>
      </c>
      <c r="Q252" s="5">
        <f t="shared" si="33"/>
        <v>0</v>
      </c>
      <c r="R252" s="5">
        <f t="shared" si="32"/>
        <v>0</v>
      </c>
    </row>
    <row r="253" spans="1:23">
      <c r="A253" s="5" t="s">
        <v>138</v>
      </c>
      <c r="B253" s="5" t="s">
        <v>106</v>
      </c>
      <c r="C253" s="5" t="s">
        <v>62</v>
      </c>
      <c r="D253" s="5" t="s">
        <v>104</v>
      </c>
      <c r="E253" s="5" t="str">
        <f t="shared" si="30"/>
        <v>Direct</v>
      </c>
      <c r="F253" s="5" t="s">
        <v>31</v>
      </c>
      <c r="G253" s="5">
        <f>12*112</f>
        <v>1344</v>
      </c>
      <c r="H253" s="5">
        <f>G253*210</f>
        <v>282240</v>
      </c>
      <c r="J253" s="5">
        <f t="shared" si="31"/>
        <v>0</v>
      </c>
      <c r="Q253" s="5">
        <f t="shared" si="33"/>
        <v>0</v>
      </c>
      <c r="R253" s="5">
        <f t="shared" si="32"/>
        <v>0</v>
      </c>
    </row>
    <row r="254" spans="1:23">
      <c r="A254" s="5" t="s">
        <v>139</v>
      </c>
      <c r="B254" s="5" t="s">
        <v>140</v>
      </c>
      <c r="C254" s="5" t="s">
        <v>62</v>
      </c>
      <c r="D254" s="5" t="s">
        <v>104</v>
      </c>
      <c r="E254" s="5" t="str">
        <f t="shared" si="22"/>
        <v>Direct</v>
      </c>
      <c r="F254" s="5" t="s">
        <v>31</v>
      </c>
      <c r="G254" s="5">
        <v>896</v>
      </c>
      <c r="H254" s="5">
        <f>+G254*210</f>
        <v>188160</v>
      </c>
      <c r="J254" s="5">
        <f t="shared" si="31"/>
        <v>0</v>
      </c>
      <c r="Q254" s="5">
        <f t="shared" si="33"/>
        <v>0</v>
      </c>
      <c r="R254" s="5">
        <f t="shared" si="32"/>
        <v>0</v>
      </c>
      <c r="W254" s="8" t="str">
        <f t="shared" si="25"/>
        <v/>
      </c>
    </row>
  </sheetData>
  <autoFilter ref="A2:X254" xr:uid="{969E45CB-FC1E-4835-BA2F-DA99948549B1}"/>
  <mergeCells count="1">
    <mergeCell ref="AA1:AB1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50111B8A4E74C93E1AF31E9A7E597" ma:contentTypeVersion="19" ma:contentTypeDescription="Crée un document." ma:contentTypeScope="" ma:versionID="1acd79f78cf315ba9cb82c8515bb1027">
  <xsd:schema xmlns:xsd="http://www.w3.org/2001/XMLSchema" xmlns:xs="http://www.w3.org/2001/XMLSchema" xmlns:p="http://schemas.microsoft.com/office/2006/metadata/properties" xmlns:ns2="120f28cf-9119-4050-b07f-3a67ff033704" xmlns:ns3="6e3cf518-840d-47b7-b8f5-c8e82aa00445" targetNamespace="http://schemas.microsoft.com/office/2006/metadata/properties" ma:root="true" ma:fieldsID="05c3d925650081276d5f99e32cdd5a0b" ns2:_="" ns3:_="">
    <xsd:import namespace="120f28cf-9119-4050-b07f-3a67ff033704"/>
    <xsd:import namespace="6e3cf518-840d-47b7-b8f5-c8e82aa004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f28cf-9119-4050-b07f-3a67ff0337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cf745965-07d9-464a-a726-4a19d6a652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État de validation" ma:internalName="_x00c9_tat_x0020_de_x0020_validation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cf518-840d-47b7-b8f5-c8e82aa0044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d4243a9-fd3b-4ea8-84f6-2442fa7d6f26}" ma:internalName="TaxCatchAll" ma:showField="CatchAllData" ma:web="6e3cf518-840d-47b7-b8f5-c8e82aa004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3cf518-840d-47b7-b8f5-c8e82aa00445" xsi:nil="true"/>
    <_Flow_SignoffStatus xmlns="120f28cf-9119-4050-b07f-3a67ff033704" xsi:nil="true"/>
    <lcf76f155ced4ddcb4097134ff3c332f xmlns="120f28cf-9119-4050-b07f-3a67ff03370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AB8CA0-22B1-4925-B52B-A013E6141D03}"/>
</file>

<file path=customXml/itemProps2.xml><?xml version="1.0" encoding="utf-8"?>
<ds:datastoreItem xmlns:ds="http://schemas.openxmlformats.org/officeDocument/2006/customXml" ds:itemID="{133BD3FC-EC83-425C-ADC7-B83BFEDB4C6B}"/>
</file>

<file path=customXml/itemProps3.xml><?xml version="1.0" encoding="utf-8"?>
<ds:datastoreItem xmlns:ds="http://schemas.openxmlformats.org/officeDocument/2006/customXml" ds:itemID="{C8DF3A29-2465-4AD9-B833-B3B818E16E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Dominique Laheurte</dc:creator>
  <cp:keywords/>
  <dc:description/>
  <cp:lastModifiedBy/>
  <cp:revision/>
  <dcterms:created xsi:type="dcterms:W3CDTF">2023-12-29T16:02:17Z</dcterms:created>
  <dcterms:modified xsi:type="dcterms:W3CDTF">2025-08-22T14:08:41Z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0x010100B1950111B8A4E74C93E1AF31E9A7E597</vt:lpwstr>
  </property>
  <property fmtid="{D5CDD505-2E9C-101B-9397-08002B2CF9AE}" pid="3" name="MediaServiceImageTags">
    <vt:lpwstr/>
  </property>
</Properties>
</file>